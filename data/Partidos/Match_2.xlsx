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8800" windowHeight="12315"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workbook>
</file>

<file path=xl/calcChain.xml><?xml version="1.0" encoding="utf-8"?>
<calcChain xmlns="http://schemas.openxmlformats.org/spreadsheetml/2006/main">
  <c r="A90" i="2" l="1"/>
  <c r="A89" i="2" l="1"/>
  <c r="A60" i="11" l="1"/>
  <c r="T1" i="20"/>
  <c r="E1" i="48" s="1"/>
  <c r="A1" i="20"/>
  <c r="C1" i="48" s="1"/>
  <c r="C1" i="49" s="1"/>
  <c r="A4" i="48"/>
  <c r="D5" i="50" s="1"/>
  <c r="A3" i="48"/>
  <c r="D4" i="50" s="1"/>
  <c r="A1" i="48"/>
  <c r="B2" i="50" s="1"/>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84" i="47" s="1"/>
  <c r="BG38" i="47"/>
  <c r="BG82" i="47" s="1"/>
  <c r="BG36" i="47"/>
  <c r="BG80" i="47" s="1"/>
  <c r="BG34" i="47"/>
  <c r="BG78" i="47" s="1"/>
  <c r="BG32" i="47"/>
  <c r="BG76" i="47" s="1"/>
  <c r="BG30" i="47"/>
  <c r="BG74" i="47" s="1"/>
  <c r="BG28" i="47"/>
  <c r="BG72" i="47" s="1"/>
  <c r="BG26" i="47"/>
  <c r="BG24" i="47"/>
  <c r="BG22" i="47"/>
  <c r="BG66" i="47" s="1"/>
  <c r="BG20" i="47"/>
  <c r="BG18" i="47"/>
  <c r="BG62" i="47" s="1"/>
  <c r="BG16" i="47"/>
  <c r="BG60" i="47" s="1"/>
  <c r="BG14" i="47"/>
  <c r="BG58" i="47" s="1"/>
  <c r="BG12" i="47"/>
  <c r="BG56" i="47" s="1"/>
  <c r="BG10" i="47"/>
  <c r="BG54" i="47" s="1"/>
  <c r="BG8" i="47"/>
  <c r="BG52" i="47" s="1"/>
  <c r="BG6" i="47"/>
  <c r="BG50" i="47" s="1"/>
  <c r="BG4" i="47"/>
  <c r="BG48" i="47" s="1"/>
  <c r="X42" i="47"/>
  <c r="X86" i="47" s="1"/>
  <c r="X40" i="47"/>
  <c r="X84" i="47" s="1"/>
  <c r="X38" i="47"/>
  <c r="X82" i="47" s="1"/>
  <c r="X36" i="47"/>
  <c r="X80" i="47" s="1"/>
  <c r="X34" i="47"/>
  <c r="X78" i="47" s="1"/>
  <c r="X32" i="47"/>
  <c r="X76" i="47" s="1"/>
  <c r="X30" i="47"/>
  <c r="X74" i="47" s="1"/>
  <c r="X28" i="47"/>
  <c r="X72" i="47" s="1"/>
  <c r="X26" i="47"/>
  <c r="X70" i="47" s="1"/>
  <c r="X24" i="47"/>
  <c r="X22" i="47"/>
  <c r="X66" i="47" s="1"/>
  <c r="X20" i="47"/>
  <c r="X64" i="47" s="1"/>
  <c r="X18" i="47"/>
  <c r="X62" i="47" s="1"/>
  <c r="X16" i="47"/>
  <c r="X60" i="47" s="1"/>
  <c r="X14" i="47"/>
  <c r="X58" i="47" s="1"/>
  <c r="X12" i="47"/>
  <c r="X56" i="47" s="1"/>
  <c r="X10" i="47"/>
  <c r="X54" i="47" s="1"/>
  <c r="X8" i="47"/>
  <c r="X52" i="47" s="1"/>
  <c r="X6" i="47"/>
  <c r="X50" i="47" s="1"/>
  <c r="X4" i="47"/>
  <c r="X48" i="47" s="1"/>
  <c r="AF2" i="47"/>
  <c r="BO2" i="47" s="1"/>
  <c r="BO46" i="47" s="1"/>
  <c r="AT1" i="47"/>
  <c r="AT45" i="47" s="1"/>
  <c r="P1" i="47"/>
  <c r="P45" i="47" s="1"/>
  <c r="K1" i="47"/>
  <c r="K45" i="47" s="1"/>
  <c r="AJ1" i="47"/>
  <c r="AJ45" i="47" s="1"/>
  <c r="A1" i="47"/>
  <c r="A45" i="47" s="1"/>
  <c r="BG86" i="47"/>
  <c r="BG70" i="47"/>
  <c r="BG68" i="47"/>
  <c r="X68" i="47"/>
  <c r="BG64" i="47"/>
  <c r="U9" i="17"/>
  <c r="AG9" i="17" s="1"/>
  <c r="B9" i="17"/>
  <c r="A28" i="46"/>
  <c r="A29" i="46"/>
  <c r="A30" i="46"/>
  <c r="A31" i="46"/>
  <c r="A32" i="46"/>
  <c r="C32" i="46" s="1"/>
  <c r="N32" i="46" s="1"/>
  <c r="A33" i="46"/>
  <c r="C33" i="46" s="1"/>
  <c r="A34" i="46"/>
  <c r="A35" i="46"/>
  <c r="A36" i="46"/>
  <c r="A37" i="46"/>
  <c r="A38" i="46"/>
  <c r="A39" i="46"/>
  <c r="A40" i="46"/>
  <c r="A41" i="46"/>
  <c r="A42" i="46"/>
  <c r="A43" i="46"/>
  <c r="A44" i="46"/>
  <c r="C44" i="46" s="1"/>
  <c r="N44" i="46" s="1"/>
  <c r="A45" i="46"/>
  <c r="A46" i="46"/>
  <c r="A47" i="46"/>
  <c r="C47" i="46" s="1"/>
  <c r="M47" i="46" s="1"/>
  <c r="B10" i="17"/>
  <c r="B11" i="17"/>
  <c r="B12" i="17"/>
  <c r="B13" i="17"/>
  <c r="B112" i="17" s="1"/>
  <c r="B14" i="17"/>
  <c r="B15" i="17"/>
  <c r="B16" i="17"/>
  <c r="Q16" i="17" s="1"/>
  <c r="B17" i="17"/>
  <c r="F17" i="17" s="1"/>
  <c r="B18" i="17"/>
  <c r="L18" i="17" s="1"/>
  <c r="B19" i="17"/>
  <c r="P19" i="17" s="1"/>
  <c r="B20" i="17"/>
  <c r="N20" i="17" s="1"/>
  <c r="B21" i="17"/>
  <c r="O21" i="17" s="1"/>
  <c r="B22" i="17"/>
  <c r="B23" i="17"/>
  <c r="B24" i="17"/>
  <c r="B25" i="17"/>
  <c r="Q25" i="17" s="1"/>
  <c r="B124" i="17"/>
  <c r="B193" i="17" s="1"/>
  <c r="B26" i="17"/>
  <c r="B125" i="17" s="1"/>
  <c r="B27" i="17"/>
  <c r="B126" i="17" s="1"/>
  <c r="B195" i="17" s="1"/>
  <c r="B28" i="17"/>
  <c r="B127" i="17" s="1"/>
  <c r="E127" i="17" s="1"/>
  <c r="U10" i="17"/>
  <c r="AF10" i="17" s="1"/>
  <c r="U11" i="17"/>
  <c r="AA11" i="17" s="1"/>
  <c r="U12" i="17"/>
  <c r="AJ12" i="17" s="1"/>
  <c r="U13" i="17"/>
  <c r="AG13" i="17" s="1"/>
  <c r="U14" i="17"/>
  <c r="AE14" i="17" s="1"/>
  <c r="U15" i="17"/>
  <c r="U16" i="17"/>
  <c r="U17" i="17"/>
  <c r="U40" i="17" s="1"/>
  <c r="U18" i="17"/>
  <c r="AF18" i="17" s="1"/>
  <c r="U19" i="17"/>
  <c r="AF19" i="17" s="1"/>
  <c r="U20" i="17"/>
  <c r="U119" i="17" s="1"/>
  <c r="U21" i="17"/>
  <c r="U90" i="17" s="1"/>
  <c r="U22" i="17"/>
  <c r="U91" i="17" s="1"/>
  <c r="U23" i="17"/>
  <c r="U122" i="17"/>
  <c r="U24" i="17"/>
  <c r="U25" i="17"/>
  <c r="AA25" i="17" s="1"/>
  <c r="U26" i="17"/>
  <c r="U27" i="17"/>
  <c r="U28" i="17"/>
  <c r="AJ28" i="17" s="1"/>
  <c r="U127" i="17"/>
  <c r="U150" i="17" s="1"/>
  <c r="A7" i="46"/>
  <c r="E7" i="46" s="1"/>
  <c r="A8" i="46"/>
  <c r="E8" i="46" s="1"/>
  <c r="A9" i="46"/>
  <c r="A10" i="46"/>
  <c r="D10" i="46" s="1"/>
  <c r="A11" i="46"/>
  <c r="C11" i="46" s="1"/>
  <c r="AG11" i="46" s="1"/>
  <c r="A12" i="46"/>
  <c r="C12" i="46" s="1"/>
  <c r="A13" i="46"/>
  <c r="A14" i="46"/>
  <c r="C14" i="46" s="1"/>
  <c r="A15" i="46"/>
  <c r="F15" i="46" s="1"/>
  <c r="A16" i="46"/>
  <c r="A17" i="46"/>
  <c r="C17" i="46" s="1"/>
  <c r="A18" i="46"/>
  <c r="E18" i="46" s="1"/>
  <c r="A19" i="46"/>
  <c r="C19" i="46" s="1"/>
  <c r="A20" i="46"/>
  <c r="C20" i="46" s="1"/>
  <c r="H20" i="46" s="1"/>
  <c r="A21" i="46"/>
  <c r="C21" i="46" s="1"/>
  <c r="H21" i="46" s="1"/>
  <c r="A22" i="46"/>
  <c r="C22" i="46" s="1"/>
  <c r="A23" i="46"/>
  <c r="C23" i="46"/>
  <c r="N23" i="46" s="1"/>
  <c r="A24" i="46"/>
  <c r="E24" i="46" s="1"/>
  <c r="A25" i="46"/>
  <c r="A6" i="46"/>
  <c r="T6" i="46" s="1"/>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AZ2" i="31" s="1"/>
  <c r="AZ44" i="31" s="1"/>
  <c r="AH1" i="31"/>
  <c r="AH43" i="31" s="1"/>
  <c r="L1" i="31"/>
  <c r="H1" i="31"/>
  <c r="H43" i="31" s="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s="1"/>
  <c r="Q6" i="13"/>
  <c r="Q49" i="13" s="1"/>
  <c r="A28" i="36"/>
  <c r="A23" i="36"/>
  <c r="A18" i="37"/>
  <c r="A3" i="37"/>
  <c r="A1" i="37"/>
  <c r="D29" i="36"/>
  <c r="D24" i="36"/>
  <c r="B5" i="36"/>
  <c r="H1" i="13"/>
  <c r="H44" i="13" s="1"/>
  <c r="E2" i="11"/>
  <c r="E53" i="11"/>
  <c r="E1" i="11"/>
  <c r="E52" i="11" s="1"/>
  <c r="Z1" i="32"/>
  <c r="BB1" i="32" s="1"/>
  <c r="I1" i="32"/>
  <c r="AK1" i="32" s="1"/>
  <c r="AB1" i="20"/>
  <c r="AB43" i="20" s="1"/>
  <c r="I1" i="20"/>
  <c r="I43" i="20" s="1"/>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A84" i="20"/>
  <c r="T84" i="20"/>
  <c r="D102" i="17"/>
  <c r="B73" i="17"/>
  <c r="I73" i="17" s="1"/>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U226" i="15" s="1"/>
  <c r="AA226" i="15" s="1"/>
  <c r="R223" i="15"/>
  <c r="R220" i="15"/>
  <c r="R217" i="15"/>
  <c r="AY6" i="31"/>
  <c r="AY48" i="31" s="1"/>
  <c r="AZ6" i="31"/>
  <c r="AZ48" i="31" s="1"/>
  <c r="AY8" i="31"/>
  <c r="AY50" i="31" s="1"/>
  <c r="AZ8" i="31"/>
  <c r="AZ50" i="31" s="1"/>
  <c r="AY10" i="31"/>
  <c r="AY52" i="31" s="1"/>
  <c r="AZ10" i="31"/>
  <c r="AZ52" i="31" s="1"/>
  <c r="AY12" i="31"/>
  <c r="AY54" i="31" s="1"/>
  <c r="AZ12" i="31"/>
  <c r="AZ54" i="31" s="1"/>
  <c r="AY14" i="31"/>
  <c r="AY56" i="31" s="1"/>
  <c r="AZ14" i="31"/>
  <c r="AZ56" i="31" s="1"/>
  <c r="AY16" i="31"/>
  <c r="AY58" i="31" s="1"/>
  <c r="AZ16" i="31"/>
  <c r="AZ58" i="31" s="1"/>
  <c r="AY18" i="31"/>
  <c r="AY60" i="31" s="1"/>
  <c r="AZ18" i="31"/>
  <c r="AZ60" i="31" s="1"/>
  <c r="AY20" i="31"/>
  <c r="AY62" i="31" s="1"/>
  <c r="AZ20" i="31"/>
  <c r="AZ62" i="31" s="1"/>
  <c r="AY22" i="31"/>
  <c r="AY64" i="31" s="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s="1"/>
  <c r="AY34" i="31"/>
  <c r="AY76" i="31" s="1"/>
  <c r="AZ34" i="31"/>
  <c r="AZ76" i="31" s="1"/>
  <c r="AY36" i="31"/>
  <c r="AY78" i="31" s="1"/>
  <c r="AZ36" i="31"/>
  <c r="AZ78" i="31" s="1"/>
  <c r="AY38" i="31"/>
  <c r="AY80" i="31" s="1"/>
  <c r="AZ38" i="31"/>
  <c r="AZ80" i="31" s="1"/>
  <c r="AY40" i="31"/>
  <c r="AY82" i="31" s="1"/>
  <c r="AZ40" i="31"/>
  <c r="AZ82" i="31" s="1"/>
  <c r="AY41" i="31"/>
  <c r="AY83" i="31" s="1"/>
  <c r="AZ41" i="31"/>
  <c r="AZ83" i="31" s="1"/>
  <c r="Y6" i="31"/>
  <c r="Y48" i="31" s="1"/>
  <c r="Z6" i="31"/>
  <c r="Z48" i="31" s="1"/>
  <c r="Y8" i="31"/>
  <c r="Y50" i="31" s="1"/>
  <c r="Z8" i="31"/>
  <c r="Z50" i="31" s="1"/>
  <c r="Y10" i="31"/>
  <c r="Y52" i="31" s="1"/>
  <c r="Z10" i="31"/>
  <c r="Z52" i="31" s="1"/>
  <c r="Y12" i="31"/>
  <c r="Y54" i="31" s="1"/>
  <c r="Z12" i="31"/>
  <c r="Z54" i="31" s="1"/>
  <c r="Y14" i="31"/>
  <c r="Y56" i="31" s="1"/>
  <c r="Z14" i="31"/>
  <c r="Z56" i="31" s="1"/>
  <c r="Y16" i="31"/>
  <c r="Y58" i="31" s="1"/>
  <c r="Z16" i="31"/>
  <c r="Z58" i="31" s="1"/>
  <c r="Y18" i="31"/>
  <c r="Y60" i="31" s="1"/>
  <c r="Z18" i="31"/>
  <c r="Z60" i="31" s="1"/>
  <c r="Y20" i="31"/>
  <c r="Y62" i="31" s="1"/>
  <c r="Z20" i="31"/>
  <c r="Z62" i="31" s="1"/>
  <c r="Y22" i="31"/>
  <c r="Y64" i="31" s="1"/>
  <c r="Z22" i="31"/>
  <c r="Z64" i="31" s="1"/>
  <c r="Y24" i="31"/>
  <c r="Y66" i="31" s="1"/>
  <c r="Z24" i="31"/>
  <c r="Z66" i="31" s="1"/>
  <c r="Y26" i="31"/>
  <c r="Y68" i="31" s="1"/>
  <c r="Z26" i="31"/>
  <c r="Z68" i="31" s="1"/>
  <c r="Y28" i="31"/>
  <c r="Y70" i="31" s="1"/>
  <c r="Z28" i="31"/>
  <c r="Z70" i="31" s="1"/>
  <c r="Y30" i="31"/>
  <c r="Y72" i="31" s="1"/>
  <c r="Z30" i="31"/>
  <c r="Z72" i="31" s="1"/>
  <c r="Y32" i="31"/>
  <c r="Y74" i="31" s="1"/>
  <c r="Z32" i="31"/>
  <c r="Z74" i="31"/>
  <c r="Y34" i="31"/>
  <c r="Y76" i="31" s="1"/>
  <c r="Z34" i="31"/>
  <c r="Z76" i="31" s="1"/>
  <c r="Y36" i="31"/>
  <c r="Y78" i="31" s="1"/>
  <c r="Z36" i="31"/>
  <c r="Z78" i="31" s="1"/>
  <c r="Y38" i="31"/>
  <c r="Y80" i="31" s="1"/>
  <c r="Z38" i="31"/>
  <c r="Z80" i="31" s="1"/>
  <c r="Y40" i="31"/>
  <c r="Y82" i="31" s="1"/>
  <c r="Z40" i="31"/>
  <c r="Z82" i="31" s="1"/>
  <c r="Y41" i="31"/>
  <c r="Y83" i="31" s="1"/>
  <c r="Z41" i="31"/>
  <c r="Z83" i="31" s="1"/>
  <c r="AH3" i="13"/>
  <c r="AH46" i="13"/>
  <c r="Q46" i="13"/>
  <c r="W31" i="33"/>
  <c r="D31" i="33"/>
  <c r="A33" i="33"/>
  <c r="B56" i="34"/>
  <c r="G56" i="34" s="1"/>
  <c r="A34" i="33"/>
  <c r="B58" i="34"/>
  <c r="A35" i="33"/>
  <c r="B60" i="34"/>
  <c r="F60" i="34" s="1"/>
  <c r="A36" i="33"/>
  <c r="T36" i="33" s="1"/>
  <c r="B62" i="34"/>
  <c r="A37" i="33"/>
  <c r="T37" i="33" s="1"/>
  <c r="B64" i="34"/>
  <c r="AF64" i="34" s="1"/>
  <c r="A38" i="33"/>
  <c r="B66" i="34"/>
  <c r="I66" i="34" s="1"/>
  <c r="A39" i="33"/>
  <c r="B68" i="34"/>
  <c r="A40" i="33"/>
  <c r="B70" i="34"/>
  <c r="F71" i="34" s="1"/>
  <c r="A41" i="33"/>
  <c r="V41" i="33" s="1"/>
  <c r="B72" i="34"/>
  <c r="R73" i="34" s="1"/>
  <c r="A42" i="33"/>
  <c r="B74" i="34"/>
  <c r="A43" i="33"/>
  <c r="B76" i="34"/>
  <c r="P77" i="34" s="1"/>
  <c r="A44" i="33"/>
  <c r="V44" i="33" s="1"/>
  <c r="B78" i="34"/>
  <c r="A45" i="33"/>
  <c r="B80" i="34"/>
  <c r="R80" i="34" s="1"/>
  <c r="A46" i="33"/>
  <c r="B82" i="34"/>
  <c r="E82" i="34" s="1"/>
  <c r="M82" i="34"/>
  <c r="A47" i="33"/>
  <c r="E47" i="33" s="1"/>
  <c r="B84" i="34"/>
  <c r="A48" i="33"/>
  <c r="B86" i="34"/>
  <c r="H87" i="34" s="1"/>
  <c r="A49" i="33"/>
  <c r="G49" i="33" s="1"/>
  <c r="B88" i="34"/>
  <c r="AE88" i="34" s="1"/>
  <c r="A50" i="33"/>
  <c r="B90" i="34"/>
  <c r="P91" i="34" s="1"/>
  <c r="A51" i="33"/>
  <c r="E51" i="33" s="1"/>
  <c r="B92" i="34"/>
  <c r="AD93" i="34" s="1"/>
  <c r="A52" i="33"/>
  <c r="B94" i="34"/>
  <c r="AI96" i="34"/>
  <c r="AI97" i="34"/>
  <c r="AI98" i="34"/>
  <c r="AI99" i="34"/>
  <c r="B3" i="34"/>
  <c r="B5" i="34"/>
  <c r="AC6" i="34" s="1"/>
  <c r="B7" i="34"/>
  <c r="B9" i="34"/>
  <c r="M10" i="34" s="1"/>
  <c r="B11" i="34"/>
  <c r="B13" i="34"/>
  <c r="N14" i="34" s="1"/>
  <c r="B15" i="34"/>
  <c r="B17" i="34"/>
  <c r="X18" i="34" s="1"/>
  <c r="B19" i="34"/>
  <c r="B21" i="34"/>
  <c r="X22" i="34" s="1"/>
  <c r="B23" i="34"/>
  <c r="B25" i="34"/>
  <c r="B27" i="34"/>
  <c r="AE28" i="34" s="1"/>
  <c r="B29" i="34"/>
  <c r="X29" i="34"/>
  <c r="B31" i="34"/>
  <c r="B33" i="34"/>
  <c r="B35" i="34"/>
  <c r="V35" i="34" s="1"/>
  <c r="B37" i="34"/>
  <c r="B39" i="34"/>
  <c r="AE40" i="34" s="1"/>
  <c r="B41" i="34"/>
  <c r="U42" i="34" s="1"/>
  <c r="AH43" i="34"/>
  <c r="AI43" i="34"/>
  <c r="AH44" i="34"/>
  <c r="AI44" i="34"/>
  <c r="AH45" i="34"/>
  <c r="AI45" i="34"/>
  <c r="AH46" i="34"/>
  <c r="AI46" i="34"/>
  <c r="A4" i="33"/>
  <c r="V4" i="33" s="1"/>
  <c r="A5" i="33"/>
  <c r="Q5" i="33" s="1"/>
  <c r="A6" i="33"/>
  <c r="A7" i="33"/>
  <c r="A8" i="33"/>
  <c r="A9" i="33"/>
  <c r="A10" i="33"/>
  <c r="G10" i="33" s="1"/>
  <c r="A11" i="33"/>
  <c r="A12" i="33"/>
  <c r="L12" i="33" s="1"/>
  <c r="A13" i="33"/>
  <c r="A14" i="33"/>
  <c r="A15" i="33"/>
  <c r="M15" i="33" s="1"/>
  <c r="A16" i="33"/>
  <c r="J16" i="33" s="1"/>
  <c r="A17" i="33"/>
  <c r="A18" i="33"/>
  <c r="A19" i="33"/>
  <c r="E19" i="33" s="1"/>
  <c r="A20" i="33"/>
  <c r="U20" i="33" s="1"/>
  <c r="A21" i="33"/>
  <c r="Q21" i="33" s="1"/>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9" i="17"/>
  <c r="AC69" i="17" s="1"/>
  <c r="BC4" i="32"/>
  <c r="BC6" i="32"/>
  <c r="BC8" i="32"/>
  <c r="AV44" i="32"/>
  <c r="BC10" i="32"/>
  <c r="BC12" i="32"/>
  <c r="BC14" i="32"/>
  <c r="BC16" i="32"/>
  <c r="BC18" i="32"/>
  <c r="BC20" i="32"/>
  <c r="BC22" i="32"/>
  <c r="BC24" i="32"/>
  <c r="BC26" i="32"/>
  <c r="BC28" i="32"/>
  <c r="BC30" i="32"/>
  <c r="BC32" i="32"/>
  <c r="BC34" i="32"/>
  <c r="BC36" i="32"/>
  <c r="BC38" i="32"/>
  <c r="BC40" i="32"/>
  <c r="BC42" i="32"/>
  <c r="BC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J3" i="11"/>
  <c r="J54" i="11" s="1"/>
  <c r="R2" i="20"/>
  <c r="R44" i="20" s="1"/>
  <c r="AB2" i="32"/>
  <c r="BD2" i="32" s="1"/>
  <c r="AK2" i="20"/>
  <c r="AK44" i="20" s="1"/>
  <c r="L37" i="2"/>
  <c r="F37" i="2"/>
  <c r="AH42" i="13"/>
  <c r="AH85" i="13" s="1"/>
  <c r="AH40" i="13"/>
  <c r="AH83" i="13" s="1"/>
  <c r="AH38" i="13"/>
  <c r="AH81" i="13" s="1"/>
  <c r="AH36" i="13"/>
  <c r="AH79" i="13" s="1"/>
  <c r="AH34" i="13"/>
  <c r="AH77" i="13" s="1"/>
  <c r="AH32" i="13"/>
  <c r="AH75" i="13" s="1"/>
  <c r="AH30" i="13"/>
  <c r="AH73" i="13" s="1"/>
  <c r="AH28" i="13"/>
  <c r="AH71" i="13" s="1"/>
  <c r="AH26" i="13"/>
  <c r="AH69" i="13" s="1"/>
  <c r="AH24" i="13"/>
  <c r="AH67" i="13" s="1"/>
  <c r="AH22" i="13"/>
  <c r="AH65" i="13" s="1"/>
  <c r="AH20" i="13"/>
  <c r="AH63" i="13" s="1"/>
  <c r="AH18" i="13"/>
  <c r="AH61" i="13" s="1"/>
  <c r="AH16" i="13"/>
  <c r="AH59" i="13" s="1"/>
  <c r="AH14" i="13"/>
  <c r="AH57" i="13" s="1"/>
  <c r="AH12" i="13"/>
  <c r="AH55" i="13" s="1"/>
  <c r="AH10" i="13"/>
  <c r="AH53" i="13" s="1"/>
  <c r="AH8" i="13"/>
  <c r="AH51" i="13" s="1"/>
  <c r="AH6" i="13"/>
  <c r="AH49" i="13" s="1"/>
  <c r="AH4" i="13"/>
  <c r="AH47" i="13" s="1"/>
  <c r="Q42" i="13"/>
  <c r="Q85" i="13" s="1"/>
  <c r="Q40" i="13"/>
  <c r="Q83" i="13" s="1"/>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V216" i="15" s="1"/>
  <c r="R211" i="15"/>
  <c r="R208" i="15"/>
  <c r="R205" i="15"/>
  <c r="W207" i="15" s="1"/>
  <c r="R202" i="15"/>
  <c r="Z204" i="15" s="1"/>
  <c r="R199" i="15"/>
  <c r="R196" i="15"/>
  <c r="R193" i="15"/>
  <c r="Z195" i="15" s="1"/>
  <c r="R190" i="15"/>
  <c r="R187" i="15"/>
  <c r="R184" i="15"/>
  <c r="R181" i="15"/>
  <c r="R178" i="15"/>
  <c r="U180" i="15" s="1"/>
  <c r="I30" i="46" s="1"/>
  <c r="R175" i="15"/>
  <c r="AC177" i="15" s="1"/>
  <c r="R172" i="15"/>
  <c r="B229" i="15"/>
  <c r="B226" i="15"/>
  <c r="B223" i="15"/>
  <c r="B220" i="15"/>
  <c r="B217" i="15"/>
  <c r="I219" i="15" s="1"/>
  <c r="B214" i="15"/>
  <c r="I216" i="15" s="1"/>
  <c r="B211" i="15"/>
  <c r="B208" i="15"/>
  <c r="B205" i="15"/>
  <c r="B202" i="15"/>
  <c r="B199" i="15"/>
  <c r="B196" i="15"/>
  <c r="E197" i="15" s="1"/>
  <c r="B193" i="15"/>
  <c r="B190" i="15"/>
  <c r="E191" i="15" s="1"/>
  <c r="G191" i="15" s="1"/>
  <c r="B187" i="15"/>
  <c r="D189" i="15" s="1"/>
  <c r="B184" i="15"/>
  <c r="B181" i="15"/>
  <c r="B178" i="15"/>
  <c r="L180" i="15" s="1"/>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AB88" i="15"/>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12" i="17"/>
  <c r="C111" i="17" s="1"/>
  <c r="C13" i="17"/>
  <c r="C14" i="17"/>
  <c r="C15" i="17"/>
  <c r="C16" i="17"/>
  <c r="C17" i="17"/>
  <c r="C40" i="17" s="1"/>
  <c r="C18" i="17"/>
  <c r="C19" i="17"/>
  <c r="C20" i="17"/>
  <c r="C21" i="17"/>
  <c r="C67" i="17" s="1"/>
  <c r="C22" i="17"/>
  <c r="C23" i="17"/>
  <c r="C122" i="17" s="1"/>
  <c r="C24" i="17"/>
  <c r="C93" i="17" s="1"/>
  <c r="C25" i="17"/>
  <c r="C71" i="17" s="1"/>
  <c r="C26" i="17"/>
  <c r="C125" i="17" s="1"/>
  <c r="C27" i="17"/>
  <c r="C126" i="17" s="1"/>
  <c r="C28" i="17"/>
  <c r="C97"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C78" i="17" s="1"/>
  <c r="T9" i="17"/>
  <c r="T10" i="17"/>
  <c r="T11" i="17"/>
  <c r="T12" i="17"/>
  <c r="T13" i="17"/>
  <c r="T14" i="17"/>
  <c r="T15" i="17"/>
  <c r="T16" i="17"/>
  <c r="T17" i="17"/>
  <c r="T18" i="17"/>
  <c r="T19" i="17"/>
  <c r="T20" i="17"/>
  <c r="T21" i="17"/>
  <c r="T22" i="17"/>
  <c r="T23" i="17"/>
  <c r="T24" i="17"/>
  <c r="T25" i="17"/>
  <c r="T26" i="17"/>
  <c r="T27" i="17"/>
  <c r="T28" i="17"/>
  <c r="V9" i="17"/>
  <c r="V78" i="17" s="1"/>
  <c r="C10" i="17"/>
  <c r="C79" i="17" s="1"/>
  <c r="V10" i="17"/>
  <c r="V33" i="17" s="1"/>
  <c r="V11" i="17"/>
  <c r="V57" i="17" s="1"/>
  <c r="V12" i="17"/>
  <c r="V81" i="17" s="1"/>
  <c r="V13" i="17"/>
  <c r="V112" i="17" s="1"/>
  <c r="V14" i="17"/>
  <c r="V15" i="17"/>
  <c r="V16" i="17"/>
  <c r="V39" i="17" s="1"/>
  <c r="V17" i="17"/>
  <c r="V86" i="17" s="1"/>
  <c r="V18" i="17"/>
  <c r="V41" i="17" s="1"/>
  <c r="V19" i="17"/>
  <c r="V20" i="17"/>
  <c r="V21" i="17"/>
  <c r="V90" i="17" s="1"/>
  <c r="V22" i="17"/>
  <c r="V23" i="17"/>
  <c r="V24" i="17"/>
  <c r="V25" i="17"/>
  <c r="V71" i="17"/>
  <c r="V26" i="17"/>
  <c r="V27" i="17"/>
  <c r="V28" i="17"/>
  <c r="V74" i="17" s="1"/>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U34" i="17"/>
  <c r="AC34" i="17" s="1"/>
  <c r="U35" i="17"/>
  <c r="O7" i="13"/>
  <c r="N8" i="13"/>
  <c r="N9" i="13"/>
  <c r="Z88" i="15"/>
  <c r="S88" i="15"/>
  <c r="AC88" i="15"/>
  <c r="W88" i="15"/>
  <c r="AA88" i="15"/>
  <c r="U43" i="17"/>
  <c r="K88" i="15"/>
  <c r="E88" i="15"/>
  <c r="F88" i="15"/>
  <c r="M88" i="15"/>
  <c r="G88" i="15"/>
  <c r="L88" i="15"/>
  <c r="C88" i="15"/>
  <c r="J88" i="15"/>
  <c r="B53" i="11"/>
  <c r="J12" i="11"/>
  <c r="I12" i="11"/>
  <c r="AK84" i="20"/>
  <c r="R84" i="20"/>
  <c r="I15" i="11"/>
  <c r="J15" i="11"/>
  <c r="B2" i="11"/>
  <c r="I7" i="11" s="1"/>
  <c r="I58" i="11" s="1"/>
  <c r="A31" i="33"/>
  <c r="O9" i="13"/>
  <c r="N10" i="13"/>
  <c r="O8" i="13"/>
  <c r="AE8" i="13"/>
  <c r="AF7" i="13"/>
  <c r="AF6" i="13"/>
  <c r="Q92" i="15"/>
  <c r="R90" i="15"/>
  <c r="R7" i="15"/>
  <c r="Q9" i="15"/>
  <c r="R89" i="15"/>
  <c r="Z89" i="15" s="1"/>
  <c r="T88" i="15"/>
  <c r="B15" i="15"/>
  <c r="A17" i="11"/>
  <c r="J17" i="11"/>
  <c r="A17" i="15"/>
  <c r="A92" i="15"/>
  <c r="B90" i="15"/>
  <c r="B13" i="15"/>
  <c r="A16" i="11"/>
  <c r="J16" i="11"/>
  <c r="B7" i="15"/>
  <c r="A13" i="11"/>
  <c r="AH20" i="17"/>
  <c r="W11" i="17"/>
  <c r="W12" i="17"/>
  <c r="R91" i="15"/>
  <c r="AA91" i="15" s="1"/>
  <c r="T90" i="15"/>
  <c r="X90" i="15"/>
  <c r="Y90" i="15" s="1"/>
  <c r="AB90" i="15"/>
  <c r="W90" i="15"/>
  <c r="AA90" i="15"/>
  <c r="Z90" i="15"/>
  <c r="U90" i="15"/>
  <c r="AC90" i="15"/>
  <c r="V90" i="15"/>
  <c r="S90" i="15"/>
  <c r="O10" i="13"/>
  <c r="N11" i="13"/>
  <c r="O11" i="13"/>
  <c r="U165" i="17"/>
  <c r="AJ165" i="17" s="1"/>
  <c r="AI119" i="17"/>
  <c r="R92" i="15"/>
  <c r="Q94" i="15"/>
  <c r="E90" i="15"/>
  <c r="AE9" i="13"/>
  <c r="AF8" i="13"/>
  <c r="A94" i="15"/>
  <c r="B94" i="15"/>
  <c r="B92" i="15"/>
  <c r="A19" i="15"/>
  <c r="B17" i="15"/>
  <c r="A96" i="15"/>
  <c r="R93" i="15"/>
  <c r="T93" i="15" s="1"/>
  <c r="X92" i="15"/>
  <c r="Y92" i="15" s="1"/>
  <c r="T92" i="15"/>
  <c r="AB92" i="15"/>
  <c r="S92" i="15"/>
  <c r="U92" i="15"/>
  <c r="W92" i="15"/>
  <c r="AC92" i="15"/>
  <c r="Z92" i="15"/>
  <c r="AA92" i="15"/>
  <c r="V92" i="15"/>
  <c r="B19" i="15"/>
  <c r="A19" i="11"/>
  <c r="J19" i="11"/>
  <c r="A21" i="15"/>
  <c r="B21" i="15"/>
  <c r="A20" i="11"/>
  <c r="N12" i="13"/>
  <c r="O12" i="13"/>
  <c r="A64" i="11"/>
  <c r="I64" i="11"/>
  <c r="B93" i="15"/>
  <c r="M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AB95" i="15" s="1"/>
  <c r="Z94" i="15"/>
  <c r="AC94" i="15"/>
  <c r="A98" i="15"/>
  <c r="A100" i="15"/>
  <c r="B100" i="15"/>
  <c r="A68" i="11"/>
  <c r="B96" i="15"/>
  <c r="G96" i="15"/>
  <c r="A23" i="15"/>
  <c r="A25" i="15"/>
  <c r="I65" i="11"/>
  <c r="J65" i="11"/>
  <c r="N14" i="13"/>
  <c r="B23" i="15"/>
  <c r="R98" i="15"/>
  <c r="Q100" i="15"/>
  <c r="Q102" i="15"/>
  <c r="R102" i="15"/>
  <c r="B97" i="15"/>
  <c r="M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K101" i="15" s="1"/>
  <c r="M100" i="15"/>
  <c r="K100" i="15"/>
  <c r="G100" i="15"/>
  <c r="F100" i="15"/>
  <c r="E100" i="15"/>
  <c r="N16" i="13"/>
  <c r="O16" i="13"/>
  <c r="Q104" i="15"/>
  <c r="R104" i="15"/>
  <c r="N17" i="13"/>
  <c r="N18" i="13"/>
  <c r="R103" i="15"/>
  <c r="Z103" i="15" s="1"/>
  <c r="T102" i="15"/>
  <c r="X102" i="15"/>
  <c r="Y102" i="15" s="1"/>
  <c r="AB102" i="15"/>
  <c r="V102" i="15"/>
  <c r="AA102" i="15"/>
  <c r="S102" i="15"/>
  <c r="AC102" i="15"/>
  <c r="W102" i="15"/>
  <c r="O17" i="13"/>
  <c r="T7" i="15"/>
  <c r="W7" i="15"/>
  <c r="G23" i="15"/>
  <c r="M19" i="15"/>
  <c r="H19" i="15"/>
  <c r="I19" i="15" s="1"/>
  <c r="B16" i="15"/>
  <c r="D16" i="15" s="1"/>
  <c r="H15" i="15"/>
  <c r="I15" i="15" s="1"/>
  <c r="C15" i="15"/>
  <c r="J15" i="15"/>
  <c r="D15" i="15"/>
  <c r="M13" i="15"/>
  <c r="J13" i="15"/>
  <c r="K11" i="15"/>
  <c r="L11" i="15"/>
  <c r="H11" i="15"/>
  <c r="I11" i="15" s="1"/>
  <c r="G11" i="15"/>
  <c r="C11" i="15"/>
  <c r="J11" i="15"/>
  <c r="M11" i="15"/>
  <c r="B12" i="15"/>
  <c r="L12" i="15" s="1"/>
  <c r="D11" i="15"/>
  <c r="C9" i="15"/>
  <c r="M9" i="15"/>
  <c r="H9" i="15"/>
  <c r="I9" i="15" s="1"/>
  <c r="K9" i="15"/>
  <c r="J9" i="15"/>
  <c r="B10" i="15"/>
  <c r="K10" i="15" s="1"/>
  <c r="G9" i="15"/>
  <c r="L9" i="15"/>
  <c r="D9" i="15"/>
  <c r="D7" i="15"/>
  <c r="J7" i="15"/>
  <c r="B8" i="15"/>
  <c r="L8" i="15" s="1"/>
  <c r="K7" i="15"/>
  <c r="C7" i="15"/>
  <c r="M7" i="15"/>
  <c r="H7" i="15"/>
  <c r="I7" i="15" s="1"/>
  <c r="L7" i="15"/>
  <c r="G7" i="15"/>
  <c r="AA5" i="15"/>
  <c r="T5" i="15"/>
  <c r="R6" i="15"/>
  <c r="Z6" i="15" s="1"/>
  <c r="AC5" i="15"/>
  <c r="AB5" i="15"/>
  <c r="S5" i="15"/>
  <c r="Z5" i="15"/>
  <c r="X5" i="15"/>
  <c r="Y5" i="15" s="1"/>
  <c r="W5" i="15"/>
  <c r="X3" i="15"/>
  <c r="Y3" i="15" s="1"/>
  <c r="W3" i="15"/>
  <c r="AC3" i="15"/>
  <c r="Z3" i="15"/>
  <c r="AB3" i="15"/>
  <c r="AA3" i="15"/>
  <c r="T3" i="15"/>
  <c r="S3" i="15"/>
  <c r="R4" i="15"/>
  <c r="T4" i="15" s="1"/>
  <c r="C5" i="15"/>
  <c r="J5" i="15"/>
  <c r="B6" i="15"/>
  <c r="L6" i="15" s="1"/>
  <c r="M5" i="15"/>
  <c r="L5" i="15"/>
  <c r="H5" i="15"/>
  <c r="I5" i="15" s="1"/>
  <c r="D5" i="15"/>
  <c r="K5" i="15"/>
  <c r="G5" i="15"/>
  <c r="D3" i="15"/>
  <c r="J3" i="15"/>
  <c r="K3" i="15"/>
  <c r="B4" i="15"/>
  <c r="L4" i="15" s="1"/>
  <c r="M3" i="15"/>
  <c r="G3" i="15"/>
  <c r="L3" i="15"/>
  <c r="B5" i="46"/>
  <c r="V42" i="20"/>
  <c r="AB20" i="17"/>
  <c r="C70" i="17"/>
  <c r="U45" i="17"/>
  <c r="M30" i="34"/>
  <c r="R4" i="34"/>
  <c r="U68" i="17"/>
  <c r="P29" i="34"/>
  <c r="E29" i="34"/>
  <c r="R30" i="34"/>
  <c r="K29" i="34"/>
  <c r="C94" i="17"/>
  <c r="C124" i="17"/>
  <c r="V123" i="17"/>
  <c r="C48" i="17"/>
  <c r="G30" i="34"/>
  <c r="H67" i="34"/>
  <c r="AH74" i="34"/>
  <c r="W66" i="34"/>
  <c r="W82" i="34"/>
  <c r="AA91" i="34"/>
  <c r="AH23" i="17"/>
  <c r="Y20" i="17"/>
  <c r="R5" i="20"/>
  <c r="L36" i="2"/>
  <c r="L38" i="2"/>
  <c r="P67" i="34"/>
  <c r="M66" i="34"/>
  <c r="W83" i="34"/>
  <c r="AH95" i="34"/>
  <c r="P34" i="33"/>
  <c r="AE94" i="34"/>
  <c r="AJ97" i="34"/>
  <c r="C53" i="33"/>
  <c r="Z11" i="17"/>
  <c r="AH22" i="17"/>
  <c r="W42" i="20"/>
  <c r="AK5" i="20"/>
  <c r="AK6" i="20"/>
  <c r="X42" i="20"/>
  <c r="Z42" i="20"/>
  <c r="D42" i="20"/>
  <c r="U5" i="15"/>
  <c r="AB12" i="17"/>
  <c r="AA22" i="17"/>
  <c r="AA20" i="17"/>
  <c r="Z26" i="17"/>
  <c r="Z12" i="17"/>
  <c r="AA23" i="17"/>
  <c r="Z20" i="17"/>
  <c r="AK7" i="20"/>
  <c r="AK8" i="20"/>
  <c r="AK9" i="20"/>
  <c r="AK10" i="20"/>
  <c r="AK11" i="20"/>
  <c r="AK12" i="20"/>
  <c r="AK13" i="20"/>
  <c r="AK14" i="20"/>
  <c r="AK15" i="20"/>
  <c r="AK16" i="20"/>
  <c r="AK17" i="20"/>
  <c r="AK18" i="20"/>
  <c r="AK19" i="20"/>
  <c r="AK20" i="20"/>
  <c r="AK21" i="20"/>
  <c r="AK22" i="20"/>
  <c r="AK23" i="20"/>
  <c r="D3" i="17"/>
  <c r="J28" i="33"/>
  <c r="J14" i="11"/>
  <c r="E15" i="15"/>
  <c r="I20" i="11"/>
  <c r="J20" i="11"/>
  <c r="AH12" i="17"/>
  <c r="AC63" i="34"/>
  <c r="Y83" i="34"/>
  <c r="AI3" i="34"/>
  <c r="AE3" i="34"/>
  <c r="I16" i="11"/>
  <c r="I17" i="11"/>
  <c r="E11" i="15"/>
  <c r="I19" i="11"/>
  <c r="R6" i="20"/>
  <c r="R7" i="20"/>
  <c r="R8" i="20"/>
  <c r="R9" i="20"/>
  <c r="R10" i="20"/>
  <c r="R11" i="20"/>
  <c r="R12" i="20"/>
  <c r="R13" i="20"/>
  <c r="R14" i="20"/>
  <c r="R15" i="20"/>
  <c r="R16" i="20"/>
  <c r="R17" i="20"/>
  <c r="R18" i="20"/>
  <c r="R19" i="20"/>
  <c r="I11" i="11"/>
  <c r="J11" i="11"/>
  <c r="I25" i="17"/>
  <c r="M11" i="34"/>
  <c r="AD3" i="34"/>
  <c r="O4" i="33"/>
  <c r="H4" i="34"/>
  <c r="R3" i="34"/>
  <c r="N3" i="34"/>
  <c r="J3" i="34"/>
  <c r="F3" i="34"/>
  <c r="M3" i="34"/>
  <c r="AF3" i="34"/>
  <c r="AH29" i="34"/>
  <c r="AD30" i="34"/>
  <c r="AC29" i="34"/>
  <c r="Z30" i="34"/>
  <c r="Q30" i="34"/>
  <c r="K30" i="34"/>
  <c r="F30" i="34"/>
  <c r="O29" i="34"/>
  <c r="I29" i="34"/>
  <c r="AI29" i="34"/>
  <c r="W29" i="34"/>
  <c r="O30" i="34"/>
  <c r="N17" i="33"/>
  <c r="J30" i="34"/>
  <c r="E30" i="34"/>
  <c r="M29" i="34"/>
  <c r="H29" i="34"/>
  <c r="AF30" i="34"/>
  <c r="W30" i="34"/>
  <c r="N30" i="34"/>
  <c r="I30" i="34"/>
  <c r="Q29" i="34"/>
  <c r="P17" i="33"/>
  <c r="L29" i="34"/>
  <c r="G29" i="34"/>
  <c r="F17" i="33"/>
  <c r="D17" i="33"/>
  <c r="AE30" i="34"/>
  <c r="AG29" i="34"/>
  <c r="L44" i="32"/>
  <c r="F36" i="2"/>
  <c r="F38" i="2"/>
  <c r="AI83" i="34"/>
  <c r="K63" i="34"/>
  <c r="F83" i="34"/>
  <c r="M63" i="34"/>
  <c r="AE62" i="34"/>
  <c r="AB62" i="34"/>
  <c r="I63" i="34"/>
  <c r="O16" i="17"/>
  <c r="P30" i="34"/>
  <c r="L30" i="34"/>
  <c r="H30" i="34"/>
  <c r="R29" i="34"/>
  <c r="Q17" i="33"/>
  <c r="N29" i="34"/>
  <c r="J29" i="34"/>
  <c r="F29" i="34"/>
  <c r="AI30" i="34"/>
  <c r="AD29" i="34"/>
  <c r="F26" i="17"/>
  <c r="H28" i="17"/>
  <c r="L34" i="34"/>
  <c r="L33" i="34"/>
  <c r="P34" i="34"/>
  <c r="H18" i="17"/>
  <c r="H16" i="17"/>
  <c r="I16" i="17"/>
  <c r="G16" i="17"/>
  <c r="D16" i="17"/>
  <c r="B39" i="17"/>
  <c r="D39" i="17" s="1"/>
  <c r="I24" i="17"/>
  <c r="F16" i="17"/>
  <c r="AH30" i="34"/>
  <c r="AG30" i="34"/>
  <c r="AE29" i="34"/>
  <c r="AJ46" i="34"/>
  <c r="C25" i="33"/>
  <c r="AJ99" i="34"/>
  <c r="C54" i="33"/>
  <c r="AJ44" i="34"/>
  <c r="C24" i="33"/>
  <c r="O26" i="34"/>
  <c r="K26" i="34"/>
  <c r="G26" i="34"/>
  <c r="AH25" i="34"/>
  <c r="AG34" i="34"/>
  <c r="B71" i="17"/>
  <c r="P19" i="33"/>
  <c r="L19" i="33"/>
  <c r="M26" i="34"/>
  <c r="I26" i="34"/>
  <c r="E26" i="34"/>
  <c r="AI34" i="34"/>
  <c r="AE95" i="34"/>
  <c r="R94" i="34"/>
  <c r="E94" i="34"/>
  <c r="W94" i="34"/>
  <c r="AI82" i="34"/>
  <c r="AG83" i="34"/>
  <c r="AF94" i="34"/>
  <c r="AA83" i="34"/>
  <c r="H95" i="34"/>
  <c r="L94" i="34"/>
  <c r="M83" i="34"/>
  <c r="L46" i="33"/>
  <c r="AD82" i="34"/>
  <c r="Z82" i="34"/>
  <c r="Y87" i="34"/>
  <c r="X95" i="34"/>
  <c r="Q95" i="34"/>
  <c r="G95" i="34"/>
  <c r="J94" i="34"/>
  <c r="Z91" i="34"/>
  <c r="K91" i="34"/>
  <c r="AD62" i="34"/>
  <c r="I62" i="34"/>
  <c r="AA63" i="34"/>
  <c r="P62" i="34"/>
  <c r="AH90" i="34"/>
  <c r="Z90" i="34"/>
  <c r="E91" i="34"/>
  <c r="N83" i="34"/>
  <c r="I83" i="34"/>
  <c r="R82" i="34"/>
  <c r="F82" i="34"/>
  <c r="M62" i="34"/>
  <c r="E63" i="34"/>
  <c r="L90" i="34"/>
  <c r="K62" i="34"/>
  <c r="W62" i="34"/>
  <c r="AB90" i="34"/>
  <c r="E90" i="34"/>
  <c r="O91" i="34"/>
  <c r="AF90" i="34"/>
  <c r="F63" i="34"/>
  <c r="G62" i="34"/>
  <c r="AD94" i="34"/>
  <c r="AC83" i="34"/>
  <c r="AB83" i="34"/>
  <c r="AA95" i="34"/>
  <c r="AA94" i="34"/>
  <c r="Z83" i="34"/>
  <c r="L83" i="34"/>
  <c r="D25" i="17"/>
  <c r="O27" i="17"/>
  <c r="Y24" i="34"/>
  <c r="R11" i="34"/>
  <c r="N11" i="34"/>
  <c r="Y26" i="34"/>
  <c r="M23" i="34"/>
  <c r="B57" i="17"/>
  <c r="W24" i="34"/>
  <c r="AI24" i="34"/>
  <c r="O25" i="17"/>
  <c r="B48" i="17"/>
  <c r="D48" i="17" s="1"/>
  <c r="H25" i="17"/>
  <c r="G25" i="17"/>
  <c r="H27" i="17"/>
  <c r="G27" i="17"/>
  <c r="D27" i="17"/>
  <c r="B50" i="17"/>
  <c r="F25" i="17"/>
  <c r="Z25" i="34"/>
  <c r="L5" i="34"/>
  <c r="V80" i="17"/>
  <c r="V110" i="17"/>
  <c r="V133" i="17" s="1"/>
  <c r="O34" i="33"/>
  <c r="AE69" i="34"/>
  <c r="V89" i="17"/>
  <c r="V43" i="17"/>
  <c r="U44" i="17"/>
  <c r="AA44" i="17" s="1"/>
  <c r="V66" i="17"/>
  <c r="K6" i="34"/>
  <c r="R8" i="15"/>
  <c r="S8" i="15" s="1"/>
  <c r="R9" i="15"/>
  <c r="R10" i="15"/>
  <c r="AA10" i="15" s="1"/>
  <c r="Q11" i="15"/>
  <c r="R11" i="15"/>
  <c r="R12" i="15"/>
  <c r="S12" i="15" s="1"/>
  <c r="Q13" i="15"/>
  <c r="R13" i="15"/>
  <c r="R14" i="15"/>
  <c r="AC14" i="15" s="1"/>
  <c r="Q15" i="15"/>
  <c r="R15" i="15"/>
  <c r="R16" i="15"/>
  <c r="AB16" i="15" s="1"/>
  <c r="Q17" i="15"/>
  <c r="R17" i="15"/>
  <c r="R18" i="15"/>
  <c r="S18" i="15" s="1"/>
  <c r="Q19" i="15"/>
  <c r="R19" i="15"/>
  <c r="R20" i="15"/>
  <c r="Q21" i="15"/>
  <c r="R21" i="15"/>
  <c r="R22" i="15"/>
  <c r="AB22" i="15" s="1"/>
  <c r="Q23" i="15"/>
  <c r="R23" i="15"/>
  <c r="R24" i="15"/>
  <c r="T24" i="15" s="1"/>
  <c r="Q25" i="15"/>
  <c r="R25" i="15"/>
  <c r="R26" i="15"/>
  <c r="Z26" i="15" s="1"/>
  <c r="Q27" i="15"/>
  <c r="R27" i="15"/>
  <c r="R28" i="15"/>
  <c r="AB28" i="15" s="1"/>
  <c r="Q29" i="15"/>
  <c r="R29" i="15"/>
  <c r="R30" i="15"/>
  <c r="T30" i="15" s="1"/>
  <c r="Q31" i="15"/>
  <c r="R31" i="15"/>
  <c r="R32" i="15"/>
  <c r="T32" i="15" s="1"/>
  <c r="Q33" i="15"/>
  <c r="R33" i="15"/>
  <c r="R34" i="15"/>
  <c r="AA34" i="15" s="1"/>
  <c r="Q35" i="15"/>
  <c r="R35" i="15"/>
  <c r="R36" i="15"/>
  <c r="Q37" i="15"/>
  <c r="R37" i="15"/>
  <c r="R38" i="15"/>
  <c r="AC38" i="15" s="1"/>
  <c r="Q39" i="15"/>
  <c r="R39" i="15"/>
  <c r="R40" i="15"/>
  <c r="AB40" i="15" s="1"/>
  <c r="Q41" i="15"/>
  <c r="R41" i="15"/>
  <c r="R42" i="15"/>
  <c r="AA42" i="15" s="1"/>
  <c r="Q43" i="15"/>
  <c r="R43" i="15"/>
  <c r="R44" i="15"/>
  <c r="AC44" i="15" s="1"/>
  <c r="Q45" i="15"/>
  <c r="R45" i="15"/>
  <c r="R46" i="15"/>
  <c r="AC46" i="15" s="1"/>
  <c r="Q47" i="15"/>
  <c r="R47" i="15"/>
  <c r="R48" i="15"/>
  <c r="AB48" i="15" s="1"/>
  <c r="Q49" i="15"/>
  <c r="R49" i="15"/>
  <c r="R50" i="15"/>
  <c r="AC50" i="15" s="1"/>
  <c r="Q51" i="15"/>
  <c r="R51" i="15"/>
  <c r="R52" i="15"/>
  <c r="AC52" i="15" s="1"/>
  <c r="Q53" i="15"/>
  <c r="R53" i="15"/>
  <c r="R54" i="15"/>
  <c r="T54" i="15" s="1"/>
  <c r="Q55" i="15"/>
  <c r="R55" i="15"/>
  <c r="R56" i="15"/>
  <c r="S56" i="15" s="1"/>
  <c r="Q57" i="15"/>
  <c r="R57" i="15"/>
  <c r="R58" i="15"/>
  <c r="Q59" i="15"/>
  <c r="R59" i="15"/>
  <c r="R60" i="15"/>
  <c r="AB60" i="15" s="1"/>
  <c r="Q61" i="15"/>
  <c r="R61" i="15"/>
  <c r="R62" i="15"/>
  <c r="S62" i="15" s="1"/>
  <c r="Q63" i="15"/>
  <c r="R63" i="15"/>
  <c r="R64" i="15"/>
  <c r="T64" i="15" s="1"/>
  <c r="Q65" i="15"/>
  <c r="R65" i="15"/>
  <c r="R66" i="15"/>
  <c r="S66" i="15" s="1"/>
  <c r="Q67" i="15"/>
  <c r="R67" i="15"/>
  <c r="R68" i="15"/>
  <c r="Q69" i="15"/>
  <c r="R69" i="15"/>
  <c r="R70" i="15"/>
  <c r="Z70" i="15" s="1"/>
  <c r="Q71" i="15"/>
  <c r="R71" i="15"/>
  <c r="R72" i="15"/>
  <c r="AB72" i="15" s="1"/>
  <c r="Q73" i="15"/>
  <c r="R73" i="15"/>
  <c r="R74" i="15"/>
  <c r="AC74" i="15" s="1"/>
  <c r="Q75" i="15"/>
  <c r="R75" i="15"/>
  <c r="R76" i="15"/>
  <c r="T76" i="15" s="1"/>
  <c r="Q77" i="15"/>
  <c r="R77" i="15"/>
  <c r="R78" i="15"/>
  <c r="AB78" i="15" s="1"/>
  <c r="T9" i="15"/>
  <c r="T11" i="15"/>
  <c r="T13" i="15"/>
  <c r="T15" i="15"/>
  <c r="T17" i="15"/>
  <c r="T19" i="15"/>
  <c r="T21" i="15"/>
  <c r="T23" i="15"/>
  <c r="T25" i="15"/>
  <c r="T27" i="15"/>
  <c r="T29" i="15"/>
  <c r="T31" i="15"/>
  <c r="T33" i="15"/>
  <c r="T35" i="15"/>
  <c r="T37" i="15"/>
  <c r="T39" i="15"/>
  <c r="T41" i="15"/>
  <c r="T43" i="15"/>
  <c r="T45" i="15"/>
  <c r="T47" i="15"/>
  <c r="T49" i="15"/>
  <c r="T51" i="15"/>
  <c r="T53" i="15"/>
  <c r="T55" i="15"/>
  <c r="T57" i="15"/>
  <c r="T59" i="15"/>
  <c r="T61" i="15"/>
  <c r="T63" i="15"/>
  <c r="T65" i="15"/>
  <c r="T67" i="15"/>
  <c r="T69" i="15"/>
  <c r="T71" i="15"/>
  <c r="T73" i="15"/>
  <c r="T75" i="15"/>
  <c r="T77" i="15"/>
  <c r="AW4" i="31"/>
  <c r="AW5" i="31"/>
  <c r="AW6" i="31"/>
  <c r="AW7" i="31"/>
  <c r="AW8" i="31"/>
  <c r="AW9" i="31"/>
  <c r="AW10" i="31"/>
  <c r="AW11" i="31"/>
  <c r="AW12" i="31"/>
  <c r="AW13" i="31"/>
  <c r="AW14" i="31"/>
  <c r="AW15" i="31"/>
  <c r="AW16" i="31"/>
  <c r="AW17" i="31"/>
  <c r="AW18" i="31"/>
  <c r="AW19" i="31"/>
  <c r="AW20" i="31"/>
  <c r="AW21" i="31"/>
  <c r="AW22" i="31"/>
  <c r="AW23" i="31"/>
  <c r="F13" i="17"/>
  <c r="R14" i="34"/>
  <c r="B58" i="17"/>
  <c r="G11" i="17"/>
  <c r="AC119" i="17"/>
  <c r="AE119" i="17"/>
  <c r="V119" i="17"/>
  <c r="V34" i="17"/>
  <c r="V62" i="17"/>
  <c r="V115" i="17"/>
  <c r="V161" i="17" s="1"/>
  <c r="Z78" i="34"/>
  <c r="W78" i="34"/>
  <c r="F79" i="34"/>
  <c r="G78" i="34"/>
  <c r="AB78" i="34"/>
  <c r="AA1" i="31"/>
  <c r="AA43" i="31" s="1"/>
  <c r="A1" i="31"/>
  <c r="A43" i="31" s="1"/>
  <c r="Q1" i="32"/>
  <c r="AS1" i="32" s="1"/>
  <c r="T43" i="20"/>
  <c r="Z21" i="17"/>
  <c r="AH21" i="17"/>
  <c r="AA21" i="17"/>
  <c r="U67" i="17"/>
  <c r="AC67" i="17" s="1"/>
  <c r="W21" i="17"/>
  <c r="AB21" i="17"/>
  <c r="N66" i="34"/>
  <c r="AD67" i="34"/>
  <c r="W67" i="34"/>
  <c r="AE90" i="34"/>
  <c r="AB22" i="17"/>
  <c r="Y22" i="17"/>
  <c r="O28" i="17"/>
  <c r="G26" i="17"/>
  <c r="B49" i="17"/>
  <c r="B72" i="17"/>
  <c r="B67" i="17"/>
  <c r="F127" i="17"/>
  <c r="B148" i="17"/>
  <c r="D28" i="17"/>
  <c r="I28" i="17"/>
  <c r="B51" i="17"/>
  <c r="F51" i="17" s="1"/>
  <c r="M40" i="34"/>
  <c r="Q40" i="34"/>
  <c r="G39" i="34"/>
  <c r="E23" i="34"/>
  <c r="H24" i="34"/>
  <c r="AH23" i="34"/>
  <c r="AD8" i="34"/>
  <c r="AG7" i="34"/>
  <c r="AH8" i="34"/>
  <c r="I26" i="17"/>
  <c r="G28" i="17"/>
  <c r="B74" i="17"/>
  <c r="O74" i="17" s="1"/>
  <c r="F28" i="17"/>
  <c r="F11" i="17"/>
  <c r="Y30" i="34"/>
  <c r="G13" i="17"/>
  <c r="I95" i="34"/>
  <c r="M94" i="34"/>
  <c r="H94" i="34"/>
  <c r="N91" i="34"/>
  <c r="I46" i="33"/>
  <c r="Z22" i="17"/>
  <c r="W22" i="17"/>
  <c r="W20" i="17"/>
  <c r="AA79" i="34"/>
  <c r="AF79" i="34"/>
  <c r="F68" i="34"/>
  <c r="AH66" i="34"/>
  <c r="AG66" i="34"/>
  <c r="AB67" i="34"/>
  <c r="J37" i="33"/>
  <c r="X63" i="34"/>
  <c r="L62" i="34"/>
  <c r="AA12" i="17"/>
  <c r="AC12" i="17"/>
  <c r="I21" i="17"/>
  <c r="AF29" i="34"/>
  <c r="AB30" i="34"/>
  <c r="G24" i="34"/>
  <c r="P23" i="34"/>
  <c r="F24" i="34"/>
  <c r="O23" i="34"/>
  <c r="K23" i="34"/>
  <c r="AF24" i="34"/>
  <c r="F23" i="34"/>
  <c r="Z14" i="34"/>
  <c r="AD4" i="34"/>
  <c r="AB3" i="34"/>
  <c r="Z4" i="34"/>
  <c r="F2" i="42"/>
  <c r="B2" i="42"/>
  <c r="A43" i="20"/>
  <c r="H1" i="35"/>
  <c r="H43" i="35" s="1"/>
  <c r="R1" i="13"/>
  <c r="R44" i="13" s="1"/>
  <c r="U3" i="15"/>
  <c r="A1" i="32"/>
  <c r="AC1" i="32"/>
  <c r="B52" i="11"/>
  <c r="B1" i="11"/>
  <c r="I5" i="11" s="1"/>
  <c r="I56" i="11" s="1"/>
  <c r="A2" i="33"/>
  <c r="A1" i="13"/>
  <c r="A44" i="13" s="1"/>
  <c r="G19" i="37"/>
  <c r="G2" i="37"/>
  <c r="A1" i="35"/>
  <c r="A43" i="35"/>
  <c r="G1" i="37"/>
  <c r="G18" i="37"/>
  <c r="E5" i="15"/>
  <c r="O18" i="13"/>
  <c r="N19" i="13"/>
  <c r="X104" i="15"/>
  <c r="Y104" i="15" s="1"/>
  <c r="Z104" i="15"/>
  <c r="V104" i="15"/>
  <c r="AB104" i="15"/>
  <c r="AC104" i="15"/>
  <c r="W104" i="15"/>
  <c r="U104" i="15"/>
  <c r="R105" i="15"/>
  <c r="T105" i="15" s="1"/>
  <c r="S104" i="15"/>
  <c r="T104" i="15"/>
  <c r="AA104" i="15"/>
  <c r="B25" i="15"/>
  <c r="A27" i="15"/>
  <c r="J68" i="11"/>
  <c r="I68" i="11"/>
  <c r="V98" i="15"/>
  <c r="AB98" i="15"/>
  <c r="X94" i="15"/>
  <c r="Y94" i="15" s="1"/>
  <c r="U94" i="15"/>
  <c r="S94" i="15"/>
  <c r="E94" i="15"/>
  <c r="H94" i="15"/>
  <c r="I94" i="15" s="1"/>
  <c r="K94" i="15"/>
  <c r="K90" i="15"/>
  <c r="F90" i="15"/>
  <c r="B91" i="15"/>
  <c r="M91" i="15" s="1"/>
  <c r="J90" i="15"/>
  <c r="A63" i="11"/>
  <c r="G90" i="15"/>
  <c r="D90" i="15"/>
  <c r="L90" i="15"/>
  <c r="H90" i="15"/>
  <c r="I90" i="15" s="1"/>
  <c r="C90" i="15"/>
  <c r="M90" i="15"/>
  <c r="J100" i="15"/>
  <c r="A102" i="15"/>
  <c r="AC98" i="15"/>
  <c r="R100" i="15"/>
  <c r="AA94" i="15"/>
  <c r="S98" i="15"/>
  <c r="B98" i="15"/>
  <c r="J96" i="15"/>
  <c r="A66" i="11"/>
  <c r="M96" i="15"/>
  <c r="W94" i="15"/>
  <c r="I13" i="11"/>
  <c r="J13" i="11"/>
  <c r="A21" i="11"/>
  <c r="X98" i="15"/>
  <c r="Y98" i="15" s="1"/>
  <c r="C100" i="15"/>
  <c r="H100" i="15"/>
  <c r="I100" i="15" s="1"/>
  <c r="L100" i="15"/>
  <c r="Z96" i="15"/>
  <c r="R97" i="15"/>
  <c r="AC97" i="15" s="1"/>
  <c r="S96" i="15"/>
  <c r="T98" i="15"/>
  <c r="V94" i="15"/>
  <c r="A18" i="11"/>
  <c r="Q106" i="15"/>
  <c r="AA98" i="15"/>
  <c r="AB94" i="15"/>
  <c r="AF9" i="13"/>
  <c r="AE10" i="13"/>
  <c r="Z98" i="15"/>
  <c r="Z102" i="15"/>
  <c r="U102" i="15"/>
  <c r="T94" i="15"/>
  <c r="AJ42" i="20"/>
  <c r="V88" i="17"/>
  <c r="Q42" i="20"/>
  <c r="AK47" i="20"/>
  <c r="AJ84" i="20"/>
  <c r="V68" i="17"/>
  <c r="V91" i="17"/>
  <c r="R58" i="20"/>
  <c r="Q84" i="20"/>
  <c r="M31" i="34"/>
  <c r="L32" i="34"/>
  <c r="K18" i="33"/>
  <c r="F31" i="34"/>
  <c r="O31" i="34"/>
  <c r="P31" i="34"/>
  <c r="G32" i="34"/>
  <c r="O32" i="34"/>
  <c r="Y31" i="34"/>
  <c r="AD31" i="34"/>
  <c r="J32" i="34"/>
  <c r="W32" i="34"/>
  <c r="AB21" i="34"/>
  <c r="J21" i="34"/>
  <c r="AC22" i="34"/>
  <c r="O48" i="13"/>
  <c r="N49" i="13"/>
  <c r="C95" i="17"/>
  <c r="C49" i="17"/>
  <c r="AE49" i="13"/>
  <c r="AN44" i="32"/>
  <c r="M20" i="33"/>
  <c r="I67" i="34"/>
  <c r="AG60" i="34"/>
  <c r="AH60" i="34"/>
  <c r="X30" i="34"/>
  <c r="Z29" i="34"/>
  <c r="AA29" i="34"/>
  <c r="AA30" i="34"/>
  <c r="AB29" i="34"/>
  <c r="Y29" i="34"/>
  <c r="AC30" i="34"/>
  <c r="Z8" i="34"/>
  <c r="AA8" i="34"/>
  <c r="AI81" i="34"/>
  <c r="H81" i="34"/>
  <c r="P80" i="34"/>
  <c r="D34" i="33"/>
  <c r="F74" i="34"/>
  <c r="N74" i="34"/>
  <c r="AF75" i="34"/>
  <c r="I75" i="34"/>
  <c r="A62" i="11"/>
  <c r="B89" i="15"/>
  <c r="D89" i="15" s="1"/>
  <c r="D88" i="15"/>
  <c r="H78" i="34"/>
  <c r="E79" i="34"/>
  <c r="AC78" i="34"/>
  <c r="M78" i="34"/>
  <c r="K79" i="34"/>
  <c r="AI79" i="34"/>
  <c r="G66" i="34"/>
  <c r="X67" i="34"/>
  <c r="Z66" i="34"/>
  <c r="AB66" i="34"/>
  <c r="AD66" i="34"/>
  <c r="AF67" i="34"/>
  <c r="H66" i="34"/>
  <c r="M67" i="34"/>
  <c r="AA67" i="34"/>
  <c r="K66" i="34"/>
  <c r="E67" i="34"/>
  <c r="O67" i="34"/>
  <c r="Y67" i="34"/>
  <c r="AE67" i="34"/>
  <c r="L66" i="34"/>
  <c r="F67" i="34"/>
  <c r="F58" i="34"/>
  <c r="H34" i="33"/>
  <c r="X58" i="34"/>
  <c r="G34" i="33"/>
  <c r="I34" i="33"/>
  <c r="L34" i="33"/>
  <c r="M34" i="33"/>
  <c r="O58" i="34"/>
  <c r="R59" i="34"/>
  <c r="Q34" i="33"/>
  <c r="Z59" i="34"/>
  <c r="X23" i="34"/>
  <c r="AA23" i="34"/>
  <c r="AD23" i="34"/>
  <c r="Z24" i="34"/>
  <c r="AC81" i="34"/>
  <c r="F27" i="17"/>
  <c r="I27" i="17"/>
  <c r="N95" i="34"/>
  <c r="P83" i="34"/>
  <c r="H83" i="34"/>
  <c r="Q82" i="34"/>
  <c r="H82" i="34"/>
  <c r="M68" i="34"/>
  <c r="L39" i="33"/>
  <c r="P82" i="34"/>
  <c r="R95" i="34"/>
  <c r="J95" i="34"/>
  <c r="H69" i="34"/>
  <c r="D26" i="17"/>
  <c r="I15" i="17"/>
  <c r="O26" i="17"/>
  <c r="H26" i="17"/>
  <c r="S7" i="15"/>
  <c r="X7" i="15"/>
  <c r="Y7" i="15" s="1"/>
  <c r="AA7" i="15"/>
  <c r="AB7" i="15"/>
  <c r="Z7" i="15"/>
  <c r="AC7" i="15"/>
  <c r="C23" i="15"/>
  <c r="H23" i="15"/>
  <c r="I23" i="15" s="1"/>
  <c r="L23" i="15"/>
  <c r="B24" i="15"/>
  <c r="C24" i="15" s="1"/>
  <c r="D23" i="15"/>
  <c r="K23" i="15"/>
  <c r="J23" i="15"/>
  <c r="M23" i="15"/>
  <c r="B22" i="15"/>
  <c r="D22" i="15" s="1"/>
  <c r="G21" i="15"/>
  <c r="M21" i="15"/>
  <c r="L21" i="15"/>
  <c r="C21" i="15"/>
  <c r="J21" i="15"/>
  <c r="H21" i="15"/>
  <c r="I21" i="15" s="1"/>
  <c r="K21" i="15"/>
  <c r="D21" i="15"/>
  <c r="G19" i="15"/>
  <c r="L19" i="15"/>
  <c r="C19" i="15"/>
  <c r="D19" i="15"/>
  <c r="J19" i="15"/>
  <c r="B20" i="15"/>
  <c r="D20" i="15" s="1"/>
  <c r="K19" i="15"/>
  <c r="G17" i="15"/>
  <c r="H17" i="15"/>
  <c r="I17" i="15" s="1"/>
  <c r="M17" i="15"/>
  <c r="D17" i="15"/>
  <c r="K17" i="15"/>
  <c r="C17" i="15"/>
  <c r="B18" i="15"/>
  <c r="D18" i="15" s="1"/>
  <c r="L17" i="15"/>
  <c r="J17" i="15"/>
  <c r="G15" i="15"/>
  <c r="M15" i="15"/>
  <c r="K15" i="15"/>
  <c r="L15" i="15"/>
  <c r="H13" i="15"/>
  <c r="I13" i="15" s="1"/>
  <c r="K13" i="15"/>
  <c r="L13" i="15"/>
  <c r="C13" i="15"/>
  <c r="B14" i="15"/>
  <c r="G13" i="15"/>
  <c r="D13" i="15"/>
  <c r="C3" i="15"/>
  <c r="H3" i="15"/>
  <c r="I3" i="15" s="1"/>
  <c r="P46" i="33"/>
  <c r="G21" i="33"/>
  <c r="I21" i="33"/>
  <c r="O17" i="33"/>
  <c r="L17" i="33"/>
  <c r="Q20" i="33"/>
  <c r="E20" i="33"/>
  <c r="T20" i="33"/>
  <c r="AC20" i="17"/>
  <c r="K34" i="33"/>
  <c r="F34" i="33"/>
  <c r="G17" i="33"/>
  <c r="G4" i="33"/>
  <c r="J17" i="33"/>
  <c r="F6" i="33"/>
  <c r="E45" i="46"/>
  <c r="AI45" i="46" s="1"/>
  <c r="O21" i="33"/>
  <c r="I4" i="33"/>
  <c r="L20" i="33"/>
  <c r="N20" i="33"/>
  <c r="AC23" i="17"/>
  <c r="AE23" i="17"/>
  <c r="M39" i="33"/>
  <c r="P21" i="33"/>
  <c r="G52" i="33"/>
  <c r="O46" i="33"/>
  <c r="Q50" i="33"/>
  <c r="M17" i="33"/>
  <c r="D21" i="33"/>
  <c r="AC16" i="17"/>
  <c r="D45" i="46"/>
  <c r="R42" i="20"/>
  <c r="R45" i="20"/>
  <c r="E21" i="15"/>
  <c r="E13" i="15"/>
  <c r="E13" i="17"/>
  <c r="E27" i="17"/>
  <c r="E17" i="17"/>
  <c r="E11" i="17"/>
  <c r="E25" i="17"/>
  <c r="P26" i="17"/>
  <c r="P16" i="17"/>
  <c r="W3" i="17"/>
  <c r="M43" i="33"/>
  <c r="H46" i="33"/>
  <c r="J46" i="33"/>
  <c r="E46" i="33"/>
  <c r="L21" i="33"/>
  <c r="F21" i="33"/>
  <c r="I17" i="33"/>
  <c r="P52" i="33"/>
  <c r="E28" i="17"/>
  <c r="P28" i="17"/>
  <c r="E16" i="17"/>
  <c r="AC18" i="17"/>
  <c r="P21" i="17"/>
  <c r="E26" i="17"/>
  <c r="P13" i="17"/>
  <c r="P11" i="17"/>
  <c r="P25" i="17"/>
  <c r="P27" i="17"/>
  <c r="K4" i="33"/>
  <c r="H43" i="33"/>
  <c r="Q45" i="33"/>
  <c r="G22" i="33"/>
  <c r="I20" i="33"/>
  <c r="F5" i="15"/>
  <c r="U7" i="15"/>
  <c r="AI21" i="17"/>
  <c r="AK42" i="20"/>
  <c r="V5" i="15"/>
  <c r="E19" i="15"/>
  <c r="L43" i="33"/>
  <c r="L44" i="33"/>
  <c r="D127" i="17"/>
  <c r="M127" i="17"/>
  <c r="H127" i="17"/>
  <c r="B173" i="17"/>
  <c r="J21" i="33"/>
  <c r="Q7" i="33"/>
  <c r="K17" i="33"/>
  <c r="J13" i="17"/>
  <c r="E9" i="15"/>
  <c r="E7" i="15"/>
  <c r="J16" i="17"/>
  <c r="E3" i="15"/>
  <c r="F3" i="15"/>
  <c r="C36" i="2"/>
  <c r="C38" i="2"/>
  <c r="J26" i="17"/>
  <c r="H21" i="33"/>
  <c r="U30" i="34"/>
  <c r="H5" i="33"/>
  <c r="N5" i="33"/>
  <c r="K5" i="33"/>
  <c r="U16" i="33"/>
  <c r="V30" i="34"/>
  <c r="U29" i="34"/>
  <c r="E17" i="33"/>
  <c r="H17" i="33"/>
  <c r="O18" i="33"/>
  <c r="J24" i="17"/>
  <c r="G125" i="17"/>
  <c r="H18" i="33"/>
  <c r="V29" i="34"/>
  <c r="Q15" i="33"/>
  <c r="F15" i="33"/>
  <c r="M46" i="33"/>
  <c r="K46" i="33"/>
  <c r="V33" i="34"/>
  <c r="D7" i="33"/>
  <c r="V26" i="34"/>
  <c r="M5" i="33"/>
  <c r="I19" i="33"/>
  <c r="P15" i="33"/>
  <c r="P18" i="33"/>
  <c r="V46" i="33"/>
  <c r="V50" i="33"/>
  <c r="G46" i="33"/>
  <c r="AC22" i="17"/>
  <c r="N46" i="33"/>
  <c r="Q46" i="33"/>
  <c r="J43" i="33"/>
  <c r="U95" i="34"/>
  <c r="G45" i="33"/>
  <c r="J27" i="17"/>
  <c r="J14" i="33"/>
  <c r="J18" i="33"/>
  <c r="G5" i="33"/>
  <c r="J28" i="17"/>
  <c r="J25" i="17"/>
  <c r="S48" i="34"/>
  <c r="U40" i="34"/>
  <c r="V20" i="33"/>
  <c r="N18" i="33"/>
  <c r="L6" i="33"/>
  <c r="T48" i="34"/>
  <c r="H112" i="17"/>
  <c r="AC21" i="17"/>
  <c r="G43" i="33"/>
  <c r="V78" i="34"/>
  <c r="D32" i="46"/>
  <c r="H125" i="17"/>
  <c r="O125" i="17"/>
  <c r="K125" i="17"/>
  <c r="R125" i="17"/>
  <c r="F125" i="17"/>
  <c r="B171" i="17"/>
  <c r="P125" i="17"/>
  <c r="D125" i="17"/>
  <c r="E125" i="17"/>
  <c r="M125" i="17"/>
  <c r="I125" i="17"/>
  <c r="V94" i="34"/>
  <c r="AE122" i="17"/>
  <c r="F46" i="33"/>
  <c r="V82" i="34"/>
  <c r="U82" i="34"/>
  <c r="U83" i="34"/>
  <c r="V83" i="34"/>
  <c r="D46" i="33"/>
  <c r="AE20" i="17"/>
  <c r="U78" i="34"/>
  <c r="U69" i="34"/>
  <c r="F39" i="33"/>
  <c r="U67" i="34"/>
  <c r="T100" i="34"/>
  <c r="U66" i="34"/>
  <c r="AE12" i="17"/>
  <c r="V62" i="34"/>
  <c r="U62" i="34"/>
  <c r="F35" i="33"/>
  <c r="M35" i="33"/>
  <c r="P35" i="33"/>
  <c r="G35" i="33"/>
  <c r="N34" i="33"/>
  <c r="E34" i="33"/>
  <c r="J34" i="33"/>
  <c r="G124" i="17"/>
  <c r="E124" i="17"/>
  <c r="R124" i="17"/>
  <c r="P124" i="17"/>
  <c r="F124" i="17"/>
  <c r="I124" i="17"/>
  <c r="B170" i="17"/>
  <c r="B147" i="17"/>
  <c r="M124" i="17"/>
  <c r="H124" i="17"/>
  <c r="O124" i="17"/>
  <c r="K124" i="17"/>
  <c r="D124" i="17"/>
  <c r="U31" i="34"/>
  <c r="I18" i="33"/>
  <c r="F18" i="33"/>
  <c r="L18" i="33"/>
  <c r="N14" i="33"/>
  <c r="Q14" i="33"/>
  <c r="V23" i="34"/>
  <c r="U23" i="34"/>
  <c r="V24" i="34"/>
  <c r="U24" i="34"/>
  <c r="T47" i="34"/>
  <c r="S47" i="34"/>
  <c r="S101" i="34"/>
  <c r="V100" i="15"/>
  <c r="T100" i="15"/>
  <c r="S100" i="15"/>
  <c r="AB100" i="15"/>
  <c r="U100" i="15"/>
  <c r="W100" i="15"/>
  <c r="AA100" i="15"/>
  <c r="AC100" i="15"/>
  <c r="R101" i="15"/>
  <c r="AA101" i="15" s="1"/>
  <c r="Z100" i="15"/>
  <c r="X100" i="15"/>
  <c r="Y100" i="15" s="1"/>
  <c r="G126" i="17"/>
  <c r="B172" i="17"/>
  <c r="E126" i="17"/>
  <c r="P126" i="17"/>
  <c r="M126" i="17"/>
  <c r="R126" i="17"/>
  <c r="K126" i="17"/>
  <c r="B149" i="17"/>
  <c r="D149" i="17" s="1"/>
  <c r="I126" i="17"/>
  <c r="F126" i="17"/>
  <c r="H126" i="17"/>
  <c r="D126" i="17"/>
  <c r="O126" i="17"/>
  <c r="E17" i="15"/>
  <c r="A22" i="11"/>
  <c r="V21" i="33"/>
  <c r="J18" i="11"/>
  <c r="I18" i="11"/>
  <c r="B27" i="15"/>
  <c r="A29" i="15"/>
  <c r="J62" i="11"/>
  <c r="I62" i="11"/>
  <c r="B102" i="15"/>
  <c r="A104" i="15"/>
  <c r="I63" i="11"/>
  <c r="J63" i="11"/>
  <c r="V17" i="33"/>
  <c r="T101" i="34"/>
  <c r="AE50" i="13"/>
  <c r="AF49" i="13"/>
  <c r="R106" i="15"/>
  <c r="Q108" i="15"/>
  <c r="V34" i="33"/>
  <c r="N50" i="13"/>
  <c r="O49" i="13"/>
  <c r="S100" i="34"/>
  <c r="I21" i="11"/>
  <c r="J21" i="11"/>
  <c r="D98" i="15"/>
  <c r="F98" i="15"/>
  <c r="E98" i="15"/>
  <c r="K98" i="15"/>
  <c r="J98" i="15"/>
  <c r="M98" i="15"/>
  <c r="C98" i="15"/>
  <c r="A67" i="11"/>
  <c r="G98" i="15"/>
  <c r="B99" i="15"/>
  <c r="D99" i="15" s="1"/>
  <c r="L98" i="15"/>
  <c r="H98" i="15"/>
  <c r="I98" i="15" s="1"/>
  <c r="O19" i="13"/>
  <c r="N20" i="13"/>
  <c r="V18" i="33"/>
  <c r="AF10" i="13"/>
  <c r="AE11" i="13"/>
  <c r="I66" i="11"/>
  <c r="J66" i="11"/>
  <c r="E23" i="15"/>
  <c r="X9" i="15"/>
  <c r="Y9" i="15" s="1"/>
  <c r="AA9" i="15"/>
  <c r="AC9" i="15"/>
  <c r="W9" i="15"/>
  <c r="AB9" i="15"/>
  <c r="Z9" i="15"/>
  <c r="S9" i="15"/>
  <c r="D25" i="15"/>
  <c r="G25" i="15"/>
  <c r="M25" i="15"/>
  <c r="K25" i="15"/>
  <c r="B26" i="15"/>
  <c r="J26" i="15" s="1"/>
  <c r="H25" i="15"/>
  <c r="I25" i="15" s="1"/>
  <c r="J25" i="15"/>
  <c r="L25" i="15"/>
  <c r="C25" i="15"/>
  <c r="B28" i="15"/>
  <c r="D28" i="15" s="1"/>
  <c r="B29" i="15"/>
  <c r="B30" i="15"/>
  <c r="A31" i="15"/>
  <c r="B31" i="15"/>
  <c r="B32" i="15"/>
  <c r="A33" i="15"/>
  <c r="B33" i="15"/>
  <c r="B34" i="15"/>
  <c r="L34" i="15" s="1"/>
  <c r="A35" i="15"/>
  <c r="B35" i="15"/>
  <c r="B36" i="15"/>
  <c r="M36" i="15" s="1"/>
  <c r="A37" i="15"/>
  <c r="B37" i="15"/>
  <c r="B38" i="15"/>
  <c r="J38" i="15" s="1"/>
  <c r="A39" i="15"/>
  <c r="B39" i="15"/>
  <c r="B40" i="15"/>
  <c r="J40" i="15" s="1"/>
  <c r="A41" i="15"/>
  <c r="B41" i="15"/>
  <c r="B42" i="15"/>
  <c r="L42" i="15" s="1"/>
  <c r="A43" i="15"/>
  <c r="B43" i="15"/>
  <c r="B44" i="15"/>
  <c r="M44" i="15" s="1"/>
  <c r="A45" i="15"/>
  <c r="B45" i="15"/>
  <c r="B46" i="15"/>
  <c r="J46" i="15" s="1"/>
  <c r="A47" i="15"/>
  <c r="B47" i="15"/>
  <c r="B48" i="15"/>
  <c r="A49" i="15"/>
  <c r="B49" i="15"/>
  <c r="B50" i="15"/>
  <c r="C50" i="15" s="1"/>
  <c r="A51" i="15"/>
  <c r="B51" i="15"/>
  <c r="B52" i="15"/>
  <c r="K52" i="15" s="1"/>
  <c r="A53" i="15"/>
  <c r="B53" i="15"/>
  <c r="B54" i="15"/>
  <c r="L54" i="15" s="1"/>
  <c r="A55" i="15"/>
  <c r="B55" i="15"/>
  <c r="B56" i="15"/>
  <c r="L56" i="15" s="1"/>
  <c r="A57" i="15"/>
  <c r="B57" i="15"/>
  <c r="B58" i="15"/>
  <c r="C58" i="15" s="1"/>
  <c r="A59" i="15"/>
  <c r="B59" i="15"/>
  <c r="B60" i="15"/>
  <c r="D60" i="15" s="1"/>
  <c r="A61" i="15"/>
  <c r="B61" i="15"/>
  <c r="B62" i="15"/>
  <c r="A63" i="15"/>
  <c r="B63" i="15"/>
  <c r="B64" i="15"/>
  <c r="A65" i="15"/>
  <c r="B65" i="15"/>
  <c r="B66" i="15"/>
  <c r="M66" i="15" s="1"/>
  <c r="A67" i="15"/>
  <c r="B67" i="15"/>
  <c r="B68" i="15"/>
  <c r="L68" i="15" s="1"/>
  <c r="A69" i="15"/>
  <c r="B69" i="15"/>
  <c r="B70" i="15"/>
  <c r="J70" i="15" s="1"/>
  <c r="A71" i="15"/>
  <c r="B71" i="15"/>
  <c r="B72" i="15"/>
  <c r="L72" i="15" s="1"/>
  <c r="A73" i="15"/>
  <c r="B73" i="15"/>
  <c r="B74" i="15"/>
  <c r="K74" i="15" s="1"/>
  <c r="A75" i="15"/>
  <c r="B75" i="15"/>
  <c r="B76" i="15"/>
  <c r="C76" i="15" s="1"/>
  <c r="A77" i="15"/>
  <c r="B77" i="15"/>
  <c r="B78" i="15"/>
  <c r="J78" i="15" s="1"/>
  <c r="D27" i="15"/>
  <c r="D29" i="15"/>
  <c r="D31" i="15"/>
  <c r="D33" i="15"/>
  <c r="D35" i="15"/>
  <c r="D37" i="15"/>
  <c r="D39" i="15"/>
  <c r="D41" i="15"/>
  <c r="D43" i="15"/>
  <c r="D45" i="15"/>
  <c r="D47" i="15"/>
  <c r="D49" i="15"/>
  <c r="D51" i="15"/>
  <c r="D53" i="15"/>
  <c r="D55" i="15"/>
  <c r="D57" i="15"/>
  <c r="D59" i="15"/>
  <c r="D61" i="15"/>
  <c r="D63" i="15"/>
  <c r="D65" i="15"/>
  <c r="D67" i="15"/>
  <c r="D69" i="15"/>
  <c r="D71" i="15"/>
  <c r="D73" i="15"/>
  <c r="D75" i="15"/>
  <c r="D77" i="15"/>
  <c r="W4" i="31"/>
  <c r="U18" i="33"/>
  <c r="T50" i="33"/>
  <c r="J127" i="17"/>
  <c r="D14" i="46"/>
  <c r="W14" i="46" s="1"/>
  <c r="D12" i="46"/>
  <c r="U21" i="33"/>
  <c r="D33" i="46"/>
  <c r="D23" i="46"/>
  <c r="J20" i="46"/>
  <c r="D17" i="46"/>
  <c r="D37" i="46"/>
  <c r="X37" i="46" s="1"/>
  <c r="D19" i="46"/>
  <c r="X19" i="46" s="1"/>
  <c r="F7" i="15"/>
  <c r="AI23" i="17"/>
  <c r="AK20" i="17"/>
  <c r="X28" i="17"/>
  <c r="X23" i="17"/>
  <c r="X22" i="17"/>
  <c r="AK12" i="17"/>
  <c r="AD11" i="17"/>
  <c r="AD20" i="17"/>
  <c r="AD12" i="17"/>
  <c r="AF23" i="17"/>
  <c r="X20" i="17"/>
  <c r="AI20" i="17"/>
  <c r="AI22" i="17"/>
  <c r="AD23" i="17"/>
  <c r="X12" i="17"/>
  <c r="AE21" i="17"/>
  <c r="AK21" i="17"/>
  <c r="AD27" i="17"/>
  <c r="AK23" i="17"/>
  <c r="AD24" i="17"/>
  <c r="AF24" i="17"/>
  <c r="AI12" i="17"/>
  <c r="X21" i="17"/>
  <c r="E32" i="46"/>
  <c r="AA32" i="46" s="1"/>
  <c r="E33" i="46"/>
  <c r="Z33" i="46" s="1"/>
  <c r="E38" i="46"/>
  <c r="AI38" i="46" s="1"/>
  <c r="U21" i="46"/>
  <c r="K26" i="17"/>
  <c r="K13" i="17"/>
  <c r="L16" i="17"/>
  <c r="M16" i="17"/>
  <c r="J57" i="33"/>
  <c r="J29" i="33" s="1"/>
  <c r="T21" i="33"/>
  <c r="AE22" i="17"/>
  <c r="AK22" i="17"/>
  <c r="G173" i="17"/>
  <c r="E19" i="46"/>
  <c r="AI19" i="46" s="1"/>
  <c r="U17" i="33"/>
  <c r="U4" i="33"/>
  <c r="AF12" i="17"/>
  <c r="AK45" i="20"/>
  <c r="J36" i="2"/>
  <c r="J38" i="2"/>
  <c r="AD21" i="17"/>
  <c r="V3" i="15"/>
  <c r="AD22" i="17"/>
  <c r="V7" i="15"/>
  <c r="AF20" i="17"/>
  <c r="L13" i="17"/>
  <c r="R13" i="17"/>
  <c r="O173" i="17"/>
  <c r="T4" i="33"/>
  <c r="L26" i="17"/>
  <c r="R26" i="17"/>
  <c r="K16" i="17"/>
  <c r="L15" i="17"/>
  <c r="L28" i="17"/>
  <c r="K28" i="17"/>
  <c r="L25" i="17"/>
  <c r="K25" i="17"/>
  <c r="L27" i="17"/>
  <c r="K27" i="17"/>
  <c r="K20" i="17"/>
  <c r="T6" i="33"/>
  <c r="T17" i="33"/>
  <c r="T19" i="33"/>
  <c r="T46" i="33"/>
  <c r="T52" i="33"/>
  <c r="E17" i="46"/>
  <c r="F17" i="46"/>
  <c r="W15" i="33" s="1"/>
  <c r="X15" i="33" s="1"/>
  <c r="J125" i="17"/>
  <c r="L125" i="17"/>
  <c r="U23" i="33"/>
  <c r="J126" i="17"/>
  <c r="T7" i="33"/>
  <c r="T5" i="33"/>
  <c r="S49" i="34"/>
  <c r="L127" i="17"/>
  <c r="J124" i="17"/>
  <c r="U14" i="33"/>
  <c r="T49" i="34"/>
  <c r="T43" i="33"/>
  <c r="U46" i="33"/>
  <c r="U45" i="33"/>
  <c r="T102" i="34"/>
  <c r="S102" i="34"/>
  <c r="T39" i="33"/>
  <c r="U34" i="33"/>
  <c r="T34" i="33"/>
  <c r="L126" i="17"/>
  <c r="Z106" i="15"/>
  <c r="V106" i="15"/>
  <c r="R107" i="15"/>
  <c r="AA107" i="15" s="1"/>
  <c r="S106" i="15"/>
  <c r="T106" i="15"/>
  <c r="AC106" i="15"/>
  <c r="X106" i="15"/>
  <c r="Y106" i="15" s="1"/>
  <c r="AA106" i="15"/>
  <c r="W106" i="15"/>
  <c r="AB106" i="15"/>
  <c r="U106" i="15"/>
  <c r="O20" i="13"/>
  <c r="N21" i="13"/>
  <c r="AE51" i="13"/>
  <c r="AF50" i="13"/>
  <c r="O50" i="13"/>
  <c r="N51" i="13"/>
  <c r="J22" i="11"/>
  <c r="I22" i="11"/>
  <c r="AF11" i="13"/>
  <c r="AE12" i="13"/>
  <c r="U9" i="15"/>
  <c r="E25" i="15"/>
  <c r="L102" i="15"/>
  <c r="H102" i="15"/>
  <c r="I102" i="15" s="1"/>
  <c r="E102" i="15"/>
  <c r="A69" i="11"/>
  <c r="F102" i="15"/>
  <c r="B103" i="15"/>
  <c r="D103" i="15" s="1"/>
  <c r="M102" i="15"/>
  <c r="D102" i="15"/>
  <c r="C102" i="15"/>
  <c r="G102" i="15"/>
  <c r="K102" i="15"/>
  <c r="J102" i="15"/>
  <c r="A23" i="11"/>
  <c r="I67" i="11"/>
  <c r="J67" i="11"/>
  <c r="R108" i="15"/>
  <c r="Q110" i="15"/>
  <c r="A106" i="15"/>
  <c r="B104" i="15"/>
  <c r="W11" i="15"/>
  <c r="S11" i="15"/>
  <c r="AC11" i="15"/>
  <c r="AB11" i="15"/>
  <c r="X11" i="15"/>
  <c r="Y11" i="15" s="1"/>
  <c r="AA11" i="15"/>
  <c r="Z11" i="15"/>
  <c r="M27" i="15"/>
  <c r="K27" i="15"/>
  <c r="J27" i="15"/>
  <c r="C27" i="15"/>
  <c r="L27" i="15"/>
  <c r="H27" i="15"/>
  <c r="I27" i="15" s="1"/>
  <c r="G27" i="15"/>
  <c r="AH14" i="46"/>
  <c r="E12" i="46"/>
  <c r="F19" i="46"/>
  <c r="W17" i="33" s="1"/>
  <c r="X17" i="33" s="1"/>
  <c r="M12" i="46"/>
  <c r="AG12" i="46"/>
  <c r="K12" i="46"/>
  <c r="Q12" i="46" s="1"/>
  <c r="H12" i="46"/>
  <c r="P12" i="46"/>
  <c r="U12" i="46"/>
  <c r="V12" i="46"/>
  <c r="J12" i="46"/>
  <c r="L12" i="46"/>
  <c r="P22" i="46"/>
  <c r="C29" i="15"/>
  <c r="C31" i="15"/>
  <c r="C33" i="15"/>
  <c r="C35" i="15"/>
  <c r="C37" i="15"/>
  <c r="C39" i="15"/>
  <c r="C41" i="15"/>
  <c r="C43" i="15"/>
  <c r="C45" i="15"/>
  <c r="C47" i="15"/>
  <c r="C49" i="15"/>
  <c r="C51" i="15"/>
  <c r="C53" i="15"/>
  <c r="C55" i="15"/>
  <c r="C57" i="15"/>
  <c r="C59" i="15"/>
  <c r="C61" i="15"/>
  <c r="C63" i="15"/>
  <c r="C65" i="15"/>
  <c r="C67" i="15"/>
  <c r="C69" i="15"/>
  <c r="C71" i="15"/>
  <c r="C73" i="15"/>
  <c r="C75" i="15"/>
  <c r="C77" i="15"/>
  <c r="E172" i="15"/>
  <c r="I172" i="15" s="1"/>
  <c r="G29" i="15"/>
  <c r="G31" i="15"/>
  <c r="G33" i="15"/>
  <c r="G35" i="15"/>
  <c r="G37" i="15"/>
  <c r="G39" i="15"/>
  <c r="G41" i="15"/>
  <c r="G43" i="15"/>
  <c r="G45" i="15"/>
  <c r="G47" i="15"/>
  <c r="G49" i="15"/>
  <c r="G51" i="15"/>
  <c r="G53" i="15"/>
  <c r="G55" i="15"/>
  <c r="G57" i="15"/>
  <c r="G59" i="15"/>
  <c r="G61" i="15"/>
  <c r="G63" i="15"/>
  <c r="G65" i="15"/>
  <c r="G67" i="15"/>
  <c r="G69" i="15"/>
  <c r="G71" i="15"/>
  <c r="G73" i="15"/>
  <c r="G75" i="15"/>
  <c r="G77" i="15"/>
  <c r="C104" i="15"/>
  <c r="B105" i="15"/>
  <c r="C105" i="15" s="1"/>
  <c r="B106" i="15"/>
  <c r="C106" i="15"/>
  <c r="B107" i="15"/>
  <c r="D107" i="15" s="1"/>
  <c r="A108" i="15"/>
  <c r="B108" i="15"/>
  <c r="C108" i="15"/>
  <c r="B109" i="15"/>
  <c r="M109" i="15" s="1"/>
  <c r="A110" i="15"/>
  <c r="B110" i="15"/>
  <c r="C110" i="15"/>
  <c r="B111" i="15"/>
  <c r="M111" i="15" s="1"/>
  <c r="A112" i="15"/>
  <c r="B112" i="15"/>
  <c r="C112" i="15"/>
  <c r="B113" i="15"/>
  <c r="J113" i="15" s="1"/>
  <c r="A114" i="15"/>
  <c r="B114" i="15"/>
  <c r="C114" i="15"/>
  <c r="B115" i="15"/>
  <c r="A116" i="15"/>
  <c r="B116" i="15"/>
  <c r="C116" i="15"/>
  <c r="B117" i="15"/>
  <c r="C117" i="15" s="1"/>
  <c r="A118" i="15"/>
  <c r="B118" i="15"/>
  <c r="C118" i="15"/>
  <c r="B119" i="15"/>
  <c r="L119" i="15" s="1"/>
  <c r="A120" i="15"/>
  <c r="B120" i="15"/>
  <c r="C120" i="15"/>
  <c r="B121" i="15"/>
  <c r="C121" i="15" s="1"/>
  <c r="A122" i="15"/>
  <c r="B122" i="15"/>
  <c r="C122" i="15"/>
  <c r="B123" i="15"/>
  <c r="J123" i="15" s="1"/>
  <c r="A124" i="15"/>
  <c r="B124" i="15"/>
  <c r="C124" i="15"/>
  <c r="B125" i="15"/>
  <c r="M125" i="15" s="1"/>
  <c r="A126" i="15"/>
  <c r="B126" i="15"/>
  <c r="C126" i="15"/>
  <c r="B127" i="15"/>
  <c r="K127" i="15" s="1"/>
  <c r="A128" i="15"/>
  <c r="B128" i="15"/>
  <c r="C128" i="15"/>
  <c r="B129" i="15"/>
  <c r="C129" i="15" s="1"/>
  <c r="A130" i="15"/>
  <c r="B130" i="15"/>
  <c r="C130" i="15"/>
  <c r="B131" i="15"/>
  <c r="C131" i="15" s="1"/>
  <c r="A132" i="15"/>
  <c r="B132" i="15"/>
  <c r="C132" i="15"/>
  <c r="B133" i="15"/>
  <c r="A134" i="15"/>
  <c r="B134" i="15"/>
  <c r="C134" i="15"/>
  <c r="B135" i="15"/>
  <c r="C135" i="15" s="1"/>
  <c r="A136" i="15"/>
  <c r="B136" i="15"/>
  <c r="C136" i="15"/>
  <c r="B137" i="15"/>
  <c r="K137" i="15" s="1"/>
  <c r="A138" i="15"/>
  <c r="B138" i="15"/>
  <c r="C138" i="15"/>
  <c r="B139" i="15"/>
  <c r="D139" i="15" s="1"/>
  <c r="A140" i="15"/>
  <c r="B140" i="15"/>
  <c r="C140" i="15"/>
  <c r="B141" i="15"/>
  <c r="L141" i="15" s="1"/>
  <c r="A142" i="15"/>
  <c r="B142" i="15"/>
  <c r="C142" i="15"/>
  <c r="B143" i="15"/>
  <c r="A144" i="15"/>
  <c r="B144" i="15"/>
  <c r="C144" i="15"/>
  <c r="B145" i="15"/>
  <c r="C145" i="15" s="1"/>
  <c r="A146" i="15"/>
  <c r="B146" i="15"/>
  <c r="C146" i="15"/>
  <c r="B147" i="15"/>
  <c r="K147" i="15" s="1"/>
  <c r="A148" i="15"/>
  <c r="B148" i="15"/>
  <c r="C148" i="15"/>
  <c r="B149" i="15"/>
  <c r="C149" i="15" s="1"/>
  <c r="A150" i="15"/>
  <c r="B150" i="15"/>
  <c r="C150" i="15"/>
  <c r="B151" i="15"/>
  <c r="J151" i="15" s="1"/>
  <c r="A152" i="15"/>
  <c r="B152" i="15"/>
  <c r="C152" i="15"/>
  <c r="B153" i="15"/>
  <c r="D153" i="15" s="1"/>
  <c r="A154" i="15"/>
  <c r="B154" i="15"/>
  <c r="C154" i="15"/>
  <c r="B155" i="15"/>
  <c r="C155" i="15" s="1"/>
  <c r="A156" i="15"/>
  <c r="B156" i="15"/>
  <c r="C156" i="15"/>
  <c r="B157" i="15"/>
  <c r="C157" i="15" s="1"/>
  <c r="A158" i="15"/>
  <c r="B158" i="15"/>
  <c r="C158" i="15"/>
  <c r="B159" i="15"/>
  <c r="C159" i="15" s="1"/>
  <c r="A160" i="15"/>
  <c r="B160" i="15"/>
  <c r="C160" i="15"/>
  <c r="B161" i="15"/>
  <c r="M161" i="15" s="1"/>
  <c r="A162" i="15"/>
  <c r="B162" i="15"/>
  <c r="C162" i="15"/>
  <c r="B163" i="15"/>
  <c r="C163" i="15" s="1"/>
  <c r="E173" i="15"/>
  <c r="G173" i="15" s="1"/>
  <c r="G174" i="15"/>
  <c r="V17" i="46"/>
  <c r="V19" i="46"/>
  <c r="H29" i="15"/>
  <c r="I29" i="15" s="1"/>
  <c r="H31" i="15"/>
  <c r="I31" i="15" s="1"/>
  <c r="H33" i="15"/>
  <c r="I33" i="15" s="1"/>
  <c r="H35" i="15"/>
  <c r="I35" i="15" s="1"/>
  <c r="H37" i="15"/>
  <c r="I37" i="15" s="1"/>
  <c r="H39" i="15"/>
  <c r="I39" i="15" s="1"/>
  <c r="H41" i="15"/>
  <c r="I41" i="15" s="1"/>
  <c r="H43" i="15"/>
  <c r="I43" i="15" s="1"/>
  <c r="H45" i="15"/>
  <c r="I45" i="15" s="1"/>
  <c r="H47" i="15"/>
  <c r="I47" i="15" s="1"/>
  <c r="H49" i="15"/>
  <c r="I49" i="15" s="1"/>
  <c r="H51" i="15"/>
  <c r="I51" i="15" s="1"/>
  <c r="H53" i="15"/>
  <c r="I53" i="15" s="1"/>
  <c r="H55" i="15"/>
  <c r="I55" i="15" s="1"/>
  <c r="H57" i="15"/>
  <c r="I57" i="15" s="1"/>
  <c r="H59" i="15"/>
  <c r="I59" i="15" s="1"/>
  <c r="H61" i="15"/>
  <c r="I61" i="15" s="1"/>
  <c r="H63" i="15"/>
  <c r="I63" i="15" s="1"/>
  <c r="H65" i="15"/>
  <c r="I65" i="15" s="1"/>
  <c r="H67" i="15"/>
  <c r="I67" i="15" s="1"/>
  <c r="H69" i="15"/>
  <c r="I69" i="15" s="1"/>
  <c r="H71" i="15"/>
  <c r="I71" i="15" s="1"/>
  <c r="H73" i="15"/>
  <c r="I73" i="15" s="1"/>
  <c r="H75" i="15"/>
  <c r="I75" i="15" s="1"/>
  <c r="H77" i="15"/>
  <c r="I77" i="15" s="1"/>
  <c r="H174" i="15"/>
  <c r="D174" i="15"/>
  <c r="L29" i="15"/>
  <c r="L31" i="15"/>
  <c r="L33" i="15"/>
  <c r="L35" i="15"/>
  <c r="L37" i="15"/>
  <c r="L39" i="15"/>
  <c r="L41" i="15"/>
  <c r="L43" i="15"/>
  <c r="L45" i="15"/>
  <c r="L47" i="15"/>
  <c r="L49" i="15"/>
  <c r="L51" i="15"/>
  <c r="L53" i="15"/>
  <c r="L55" i="15"/>
  <c r="L57" i="15"/>
  <c r="L59" i="15"/>
  <c r="L61" i="15"/>
  <c r="L63" i="15"/>
  <c r="L65" i="15"/>
  <c r="L67" i="15"/>
  <c r="L69" i="15"/>
  <c r="L71" i="15"/>
  <c r="L73" i="15"/>
  <c r="L75" i="15"/>
  <c r="L77" i="15"/>
  <c r="L174" i="15"/>
  <c r="I174" i="15"/>
  <c r="J29" i="15"/>
  <c r="J31" i="15"/>
  <c r="J33" i="15"/>
  <c r="J35" i="15"/>
  <c r="J37" i="15"/>
  <c r="J39" i="15"/>
  <c r="J41" i="15"/>
  <c r="J43" i="15"/>
  <c r="J45" i="15"/>
  <c r="J47" i="15"/>
  <c r="J49" i="15"/>
  <c r="J51" i="15"/>
  <c r="J53" i="15"/>
  <c r="J55" i="15"/>
  <c r="J57" i="15"/>
  <c r="J59" i="15"/>
  <c r="J61" i="15"/>
  <c r="J63" i="15"/>
  <c r="J65" i="15"/>
  <c r="J67" i="15"/>
  <c r="J69" i="15"/>
  <c r="J71" i="15"/>
  <c r="J73" i="15"/>
  <c r="J75" i="15"/>
  <c r="J77" i="15"/>
  <c r="J174" i="15"/>
  <c r="AG33" i="46"/>
  <c r="L33" i="46"/>
  <c r="K33" i="46"/>
  <c r="Q33" i="46" s="1"/>
  <c r="U33" i="46"/>
  <c r="V33" i="46"/>
  <c r="F33" i="46"/>
  <c r="W19" i="46"/>
  <c r="F12" i="46"/>
  <c r="R12" i="46" s="1"/>
  <c r="L19" i="46"/>
  <c r="H19" i="46"/>
  <c r="AG19" i="46"/>
  <c r="AG17" i="46"/>
  <c r="M17" i="46"/>
  <c r="J17" i="46"/>
  <c r="P17" i="46"/>
  <c r="H17" i="46"/>
  <c r="K17" i="46"/>
  <c r="Q17" i="46" s="1"/>
  <c r="L17" i="46"/>
  <c r="U17" i="46"/>
  <c r="S13" i="15"/>
  <c r="S15" i="15"/>
  <c r="S17" i="15"/>
  <c r="S19" i="15"/>
  <c r="S21" i="15"/>
  <c r="S23" i="15"/>
  <c r="S25" i="15"/>
  <c r="S27" i="15"/>
  <c r="S29" i="15"/>
  <c r="S31" i="15"/>
  <c r="S33" i="15"/>
  <c r="S35" i="15"/>
  <c r="S37" i="15"/>
  <c r="S39" i="15"/>
  <c r="S41" i="15"/>
  <c r="S43" i="15"/>
  <c r="S45" i="15"/>
  <c r="S47" i="15"/>
  <c r="S49" i="15"/>
  <c r="S51" i="15"/>
  <c r="S53" i="15"/>
  <c r="S55" i="15"/>
  <c r="S57" i="15"/>
  <c r="S59" i="15"/>
  <c r="S61" i="15"/>
  <c r="S63" i="15"/>
  <c r="S65" i="15"/>
  <c r="S67" i="15"/>
  <c r="S69" i="15"/>
  <c r="S71" i="15"/>
  <c r="S73" i="15"/>
  <c r="S75" i="15"/>
  <c r="S77" i="15"/>
  <c r="X13" i="15"/>
  <c r="Y13" i="15" s="1"/>
  <c r="X15" i="15"/>
  <c r="X17" i="15"/>
  <c r="Y17" i="15" s="1"/>
  <c r="X19" i="15"/>
  <c r="Y19" i="15" s="1"/>
  <c r="X21" i="15"/>
  <c r="Y21" i="15" s="1"/>
  <c r="X23" i="15"/>
  <c r="Y23" i="15" s="1"/>
  <c r="X25" i="15"/>
  <c r="Y25" i="15" s="1"/>
  <c r="X27" i="15"/>
  <c r="Y27" i="15" s="1"/>
  <c r="X29" i="15"/>
  <c r="Y29" i="15" s="1"/>
  <c r="X31" i="15"/>
  <c r="Y31" i="15" s="1"/>
  <c r="X33" i="15"/>
  <c r="Y33" i="15" s="1"/>
  <c r="X35" i="15"/>
  <c r="Y35" i="15" s="1"/>
  <c r="X37" i="15"/>
  <c r="Y37" i="15" s="1"/>
  <c r="X39" i="15"/>
  <c r="Y39" i="15" s="1"/>
  <c r="X41" i="15"/>
  <c r="Y41" i="15" s="1"/>
  <c r="X43" i="15"/>
  <c r="Y43" i="15" s="1"/>
  <c r="X45" i="15"/>
  <c r="Y45" i="15" s="1"/>
  <c r="X47" i="15"/>
  <c r="Y47" i="15" s="1"/>
  <c r="X49" i="15"/>
  <c r="Y49" i="15" s="1"/>
  <c r="X51" i="15"/>
  <c r="Y51" i="15" s="1"/>
  <c r="X53" i="15"/>
  <c r="Y53" i="15" s="1"/>
  <c r="X55" i="15"/>
  <c r="Y55" i="15" s="1"/>
  <c r="X57" i="15"/>
  <c r="Y57" i="15" s="1"/>
  <c r="X59" i="15"/>
  <c r="Y59" i="15" s="1"/>
  <c r="X61" i="15"/>
  <c r="Y61" i="15" s="1"/>
  <c r="X63" i="15"/>
  <c r="Y63" i="15" s="1"/>
  <c r="X65" i="15"/>
  <c r="Y65" i="15" s="1"/>
  <c r="X67" i="15"/>
  <c r="Y67" i="15" s="1"/>
  <c r="X69" i="15"/>
  <c r="Y69" i="15" s="1"/>
  <c r="X71" i="15"/>
  <c r="Y71" i="15" s="1"/>
  <c r="X73" i="15"/>
  <c r="Y73" i="15" s="1"/>
  <c r="X75" i="15"/>
  <c r="Y75" i="15" s="1"/>
  <c r="X77" i="15"/>
  <c r="Y77" i="15" s="1"/>
  <c r="S108" i="15"/>
  <c r="R109" i="15"/>
  <c r="S109" i="15" s="1"/>
  <c r="R110" i="15"/>
  <c r="S110" i="15"/>
  <c r="R111" i="15"/>
  <c r="AB111" i="15" s="1"/>
  <c r="Q112" i="15"/>
  <c r="R112" i="15"/>
  <c r="S112" i="15"/>
  <c r="R113" i="15"/>
  <c r="AA113" i="15" s="1"/>
  <c r="Q114" i="15"/>
  <c r="R114" i="15"/>
  <c r="S114" i="15"/>
  <c r="R115" i="15"/>
  <c r="Q116" i="15"/>
  <c r="R116" i="15"/>
  <c r="S116" i="15"/>
  <c r="R117" i="15"/>
  <c r="AA117" i="15" s="1"/>
  <c r="Q118" i="15"/>
  <c r="R118" i="15"/>
  <c r="S118" i="15"/>
  <c r="R119" i="15"/>
  <c r="S119" i="15" s="1"/>
  <c r="Q120" i="15"/>
  <c r="R120" i="15"/>
  <c r="S120" i="15"/>
  <c r="R121" i="15"/>
  <c r="Q122" i="15"/>
  <c r="R122" i="15"/>
  <c r="S122" i="15"/>
  <c r="R123" i="15"/>
  <c r="S123" i="15" s="1"/>
  <c r="Q124" i="15"/>
  <c r="R124" i="15"/>
  <c r="S124" i="15"/>
  <c r="R125" i="15"/>
  <c r="AB125" i="15" s="1"/>
  <c r="Q126" i="15"/>
  <c r="R126" i="15"/>
  <c r="S126" i="15"/>
  <c r="R127" i="15"/>
  <c r="Z127" i="15" s="1"/>
  <c r="Q128" i="15"/>
  <c r="R128" i="15"/>
  <c r="S128" i="15"/>
  <c r="R129" i="15"/>
  <c r="S129" i="15" s="1"/>
  <c r="Q130" i="15"/>
  <c r="R130" i="15"/>
  <c r="S130" i="15"/>
  <c r="R131" i="15"/>
  <c r="T131" i="15" s="1"/>
  <c r="Q132" i="15"/>
  <c r="R132" i="15"/>
  <c r="S132" i="15"/>
  <c r="R133" i="15"/>
  <c r="AB133" i="15" s="1"/>
  <c r="Q134" i="15"/>
  <c r="R134" i="15"/>
  <c r="S134" i="15"/>
  <c r="R135" i="15"/>
  <c r="S135" i="15" s="1"/>
  <c r="Q136" i="15"/>
  <c r="R136" i="15"/>
  <c r="S136" i="15"/>
  <c r="R137" i="15"/>
  <c r="AB137" i="15" s="1"/>
  <c r="Q138" i="15"/>
  <c r="R138" i="15"/>
  <c r="S138" i="15"/>
  <c r="R139" i="15"/>
  <c r="T139" i="15" s="1"/>
  <c r="Q140" i="15"/>
  <c r="R140" i="15"/>
  <c r="S140" i="15"/>
  <c r="R141" i="15"/>
  <c r="S141" i="15" s="1"/>
  <c r="Q142" i="15"/>
  <c r="R142" i="15"/>
  <c r="S142" i="15"/>
  <c r="R143" i="15"/>
  <c r="Q144" i="15"/>
  <c r="R144" i="15"/>
  <c r="S144" i="15"/>
  <c r="R145" i="15"/>
  <c r="S145" i="15" s="1"/>
  <c r="Q146" i="15"/>
  <c r="R146" i="15"/>
  <c r="S146" i="15"/>
  <c r="R147" i="15"/>
  <c r="Q148" i="15"/>
  <c r="R148" i="15"/>
  <c r="S148" i="15"/>
  <c r="R149" i="15"/>
  <c r="T149" i="15" s="1"/>
  <c r="Q150" i="15"/>
  <c r="R150" i="15"/>
  <c r="S150" i="15"/>
  <c r="R151" i="15"/>
  <c r="Z151" i="15" s="1"/>
  <c r="Q152" i="15"/>
  <c r="R152" i="15"/>
  <c r="S152" i="15"/>
  <c r="R153" i="15"/>
  <c r="S153" i="15" s="1"/>
  <c r="Q154" i="15"/>
  <c r="R154" i="15"/>
  <c r="S154" i="15"/>
  <c r="R155" i="15"/>
  <c r="S155" i="15" s="1"/>
  <c r="Q156" i="15"/>
  <c r="R156" i="15"/>
  <c r="S156" i="15"/>
  <c r="R157" i="15"/>
  <c r="S157" i="15" s="1"/>
  <c r="Q158" i="15"/>
  <c r="R158" i="15"/>
  <c r="S158" i="15"/>
  <c r="R159" i="15"/>
  <c r="AA159" i="15" s="1"/>
  <c r="Q160" i="15"/>
  <c r="R160" i="15"/>
  <c r="S160" i="15"/>
  <c r="R161" i="15"/>
  <c r="Z161" i="15" s="1"/>
  <c r="Q162" i="15"/>
  <c r="R162" i="15"/>
  <c r="S162" i="15"/>
  <c r="R163" i="15"/>
  <c r="AC163" i="15" s="1"/>
  <c r="W13" i="15"/>
  <c r="W15" i="15"/>
  <c r="W17" i="15"/>
  <c r="W19" i="15"/>
  <c r="W21" i="15"/>
  <c r="W23" i="15"/>
  <c r="W25" i="15"/>
  <c r="W27" i="15"/>
  <c r="W29" i="15"/>
  <c r="W31" i="15"/>
  <c r="W33" i="15"/>
  <c r="W35" i="15"/>
  <c r="W37" i="15"/>
  <c r="W39" i="15"/>
  <c r="W41" i="15"/>
  <c r="W43" i="15"/>
  <c r="W45" i="15"/>
  <c r="W47" i="15"/>
  <c r="W49" i="15"/>
  <c r="W51" i="15"/>
  <c r="W53" i="15"/>
  <c r="W55" i="15"/>
  <c r="W57" i="15"/>
  <c r="W59" i="15"/>
  <c r="W61" i="15"/>
  <c r="W63" i="15"/>
  <c r="W65" i="15"/>
  <c r="W67" i="15"/>
  <c r="W69" i="15"/>
  <c r="W71" i="15"/>
  <c r="W73" i="15"/>
  <c r="W75" i="15"/>
  <c r="W77" i="15"/>
  <c r="Z13" i="15"/>
  <c r="Z15" i="15"/>
  <c r="Z17" i="15"/>
  <c r="Z19" i="15"/>
  <c r="Z21" i="15"/>
  <c r="Z23" i="15"/>
  <c r="Z25" i="15"/>
  <c r="Z27" i="15"/>
  <c r="Z29" i="15"/>
  <c r="Z31" i="15"/>
  <c r="Z33" i="15"/>
  <c r="Z35" i="15"/>
  <c r="Z37" i="15"/>
  <c r="Z39" i="15"/>
  <c r="Z41" i="15"/>
  <c r="Z43" i="15"/>
  <c r="Z45" i="15"/>
  <c r="Z47" i="15"/>
  <c r="Z49" i="15"/>
  <c r="Z51" i="15"/>
  <c r="Z53" i="15"/>
  <c r="Z55" i="15"/>
  <c r="Z57" i="15"/>
  <c r="Z59" i="15"/>
  <c r="Z61" i="15"/>
  <c r="Z63" i="15"/>
  <c r="Z65" i="15"/>
  <c r="Z67" i="15"/>
  <c r="Z69" i="15"/>
  <c r="Z71" i="15"/>
  <c r="Z73" i="15"/>
  <c r="Z75" i="15"/>
  <c r="Z77" i="15"/>
  <c r="V32" i="46"/>
  <c r="AB13" i="15"/>
  <c r="AB15" i="15"/>
  <c r="AB17" i="15"/>
  <c r="AB19" i="15"/>
  <c r="AB21" i="15"/>
  <c r="AB23" i="15"/>
  <c r="AB25" i="15"/>
  <c r="AB27" i="15"/>
  <c r="AB29" i="15"/>
  <c r="AB31" i="15"/>
  <c r="AB33" i="15"/>
  <c r="AB35" i="15"/>
  <c r="AB37" i="15"/>
  <c r="AB39" i="15"/>
  <c r="AB41" i="15"/>
  <c r="AB43" i="15"/>
  <c r="AB45" i="15"/>
  <c r="AB47" i="15"/>
  <c r="AB49" i="15"/>
  <c r="AB51" i="15"/>
  <c r="AB53" i="15"/>
  <c r="AB55" i="15"/>
  <c r="AB57" i="15"/>
  <c r="AB59" i="15"/>
  <c r="AB61" i="15"/>
  <c r="AB63" i="15"/>
  <c r="AB65" i="15"/>
  <c r="AB67" i="15"/>
  <c r="AB69" i="15"/>
  <c r="AB71" i="15"/>
  <c r="AB73" i="15"/>
  <c r="AB75" i="15"/>
  <c r="AB77" i="15"/>
  <c r="H32" i="46"/>
  <c r="P32" i="46"/>
  <c r="AG32" i="46"/>
  <c r="K32" i="46"/>
  <c r="Q32" i="46" s="1"/>
  <c r="L32" i="46"/>
  <c r="J32" i="46"/>
  <c r="U32" i="46"/>
  <c r="M32" i="46"/>
  <c r="AF21" i="17"/>
  <c r="AF22" i="17"/>
  <c r="R16" i="17"/>
  <c r="F47" i="46"/>
  <c r="F34" i="46"/>
  <c r="R34" i="46" s="1"/>
  <c r="F38" i="46"/>
  <c r="S38" i="46" s="1"/>
  <c r="F46" i="46"/>
  <c r="F32" i="46"/>
  <c r="F37" i="46"/>
  <c r="W42" i="33"/>
  <c r="X42" i="33" s="1"/>
  <c r="F9" i="46"/>
  <c r="F10" i="46"/>
  <c r="AC10" i="46" s="1"/>
  <c r="F6" i="46"/>
  <c r="AL6" i="46" s="1"/>
  <c r="G17" i="46"/>
  <c r="V9" i="15"/>
  <c r="F9" i="15"/>
  <c r="M12" i="17"/>
  <c r="M13" i="17"/>
  <c r="M26" i="17"/>
  <c r="R27" i="17"/>
  <c r="M27" i="17"/>
  <c r="R10" i="17"/>
  <c r="M10" i="17"/>
  <c r="M21" i="17"/>
  <c r="R25" i="17"/>
  <c r="M25" i="17"/>
  <c r="R17" i="17"/>
  <c r="R28" i="17"/>
  <c r="M28" i="17"/>
  <c r="R24" i="17"/>
  <c r="M24" i="17"/>
  <c r="R11" i="17"/>
  <c r="M11" i="17"/>
  <c r="O148" i="17"/>
  <c r="L124" i="17"/>
  <c r="J195" i="17"/>
  <c r="L195" i="17"/>
  <c r="Q195" i="17"/>
  <c r="H148" i="17"/>
  <c r="G148" i="17"/>
  <c r="I148" i="17"/>
  <c r="Q171" i="17"/>
  <c r="F148" i="17"/>
  <c r="D148" i="17"/>
  <c r="J193" i="17"/>
  <c r="L193" i="17"/>
  <c r="Q193" i="17"/>
  <c r="J69" i="11"/>
  <c r="I69" i="11"/>
  <c r="N52" i="13"/>
  <c r="O51" i="13"/>
  <c r="AE52" i="13"/>
  <c r="AF51" i="13"/>
  <c r="H104" i="15"/>
  <c r="I104" i="15" s="1"/>
  <c r="E104" i="15"/>
  <c r="K104" i="15"/>
  <c r="D104" i="15"/>
  <c r="J104" i="15"/>
  <c r="L104" i="15"/>
  <c r="F104" i="15"/>
  <c r="A70" i="11"/>
  <c r="G104" i="15"/>
  <c r="M104" i="15"/>
  <c r="O21" i="13"/>
  <c r="N22" i="13"/>
  <c r="E27" i="15"/>
  <c r="AF12" i="13"/>
  <c r="AE13" i="13"/>
  <c r="A24" i="11"/>
  <c r="U108" i="15"/>
  <c r="AB108" i="15"/>
  <c r="AC108" i="15"/>
  <c r="V108" i="15"/>
  <c r="AA108" i="15"/>
  <c r="T108" i="15"/>
  <c r="Z108" i="15"/>
  <c r="X108" i="15"/>
  <c r="Y108" i="15" s="1"/>
  <c r="W108" i="15"/>
  <c r="I23" i="11"/>
  <c r="J23" i="11"/>
  <c r="U11" i="15"/>
  <c r="AA13" i="15"/>
  <c r="AC13" i="15"/>
  <c r="M29" i="15"/>
  <c r="K29" i="15"/>
  <c r="F16" i="46"/>
  <c r="AL33" i="46"/>
  <c r="F11" i="15"/>
  <c r="V11" i="15"/>
  <c r="J148" i="17"/>
  <c r="L148" i="17"/>
  <c r="Q148" i="17"/>
  <c r="O22" i="13"/>
  <c r="N23" i="13"/>
  <c r="N53" i="13"/>
  <c r="O52" i="13"/>
  <c r="A25" i="11"/>
  <c r="I24" i="11"/>
  <c r="J24" i="11"/>
  <c r="G106" i="15"/>
  <c r="F106" i="15"/>
  <c r="M106" i="15"/>
  <c r="K106" i="15"/>
  <c r="A71" i="11"/>
  <c r="E106" i="15"/>
  <c r="D106" i="15"/>
  <c r="L106" i="15"/>
  <c r="H106" i="15"/>
  <c r="I106" i="15" s="1"/>
  <c r="J106" i="15"/>
  <c r="AE14" i="13"/>
  <c r="AF13" i="13"/>
  <c r="AF52" i="13"/>
  <c r="AE53" i="13"/>
  <c r="U13" i="15"/>
  <c r="E29" i="15"/>
  <c r="AB110" i="15"/>
  <c r="V110" i="15"/>
  <c r="U110" i="15"/>
  <c r="AC110" i="15"/>
  <c r="W110" i="15"/>
  <c r="T110" i="15"/>
  <c r="Z110" i="15"/>
  <c r="X110" i="15"/>
  <c r="Y110" i="15" s="1"/>
  <c r="AA110" i="15"/>
  <c r="J70" i="11"/>
  <c r="I70" i="11"/>
  <c r="AC15" i="15"/>
  <c r="AA15" i="15"/>
  <c r="M31" i="15"/>
  <c r="K31" i="15"/>
  <c r="F13" i="15"/>
  <c r="V13" i="15"/>
  <c r="U15" i="15"/>
  <c r="E31" i="15"/>
  <c r="N54" i="13"/>
  <c r="O53" i="13"/>
  <c r="X112" i="15"/>
  <c r="Y112" i="15" s="1"/>
  <c r="AA112" i="15"/>
  <c r="V112" i="15"/>
  <c r="AB112" i="15"/>
  <c r="W112" i="15"/>
  <c r="Z112" i="15"/>
  <c r="AC112" i="15"/>
  <c r="U112" i="15"/>
  <c r="T112" i="15"/>
  <c r="AE54" i="13"/>
  <c r="AF53" i="13"/>
  <c r="A26" i="11"/>
  <c r="I71" i="11"/>
  <c r="J71" i="11"/>
  <c r="I25" i="11"/>
  <c r="J25" i="11"/>
  <c r="N24" i="13"/>
  <c r="O23" i="13"/>
  <c r="G108" i="15"/>
  <c r="K108" i="15"/>
  <c r="A72" i="11"/>
  <c r="F108" i="15"/>
  <c r="D108" i="15"/>
  <c r="L108" i="15"/>
  <c r="J108" i="15"/>
  <c r="H108" i="15"/>
  <c r="I108" i="15" s="1"/>
  <c r="E108" i="15"/>
  <c r="M108" i="15"/>
  <c r="AE15" i="13"/>
  <c r="AF14" i="13"/>
  <c r="AA17" i="15"/>
  <c r="AC17" i="15"/>
  <c r="K33" i="15"/>
  <c r="M33" i="15"/>
  <c r="F15" i="15"/>
  <c r="V15" i="15"/>
  <c r="E33" i="15"/>
  <c r="V114" i="15"/>
  <c r="Z114" i="15"/>
  <c r="T114" i="15"/>
  <c r="AC114" i="15"/>
  <c r="X114" i="15"/>
  <c r="Y114" i="15" s="1"/>
  <c r="AA114" i="15"/>
  <c r="W114" i="15"/>
  <c r="AB114" i="15"/>
  <c r="U114" i="15"/>
  <c r="O24" i="13"/>
  <c r="N25" i="13"/>
  <c r="AE55" i="13"/>
  <c r="AF54" i="13"/>
  <c r="A27" i="11"/>
  <c r="O54" i="13"/>
  <c r="N55" i="13"/>
  <c r="K110" i="15"/>
  <c r="A73" i="11"/>
  <c r="L110" i="15"/>
  <c r="J110" i="15"/>
  <c r="D110" i="15"/>
  <c r="M110" i="15"/>
  <c r="E110" i="15"/>
  <c r="F110" i="15"/>
  <c r="H110" i="15"/>
  <c r="I110" i="15" s="1"/>
  <c r="G110" i="15"/>
  <c r="U17" i="15"/>
  <c r="AE16" i="13"/>
  <c r="AF15" i="13"/>
  <c r="I72" i="11"/>
  <c r="J72" i="11"/>
  <c r="I26" i="11"/>
  <c r="J26" i="11"/>
  <c r="M35" i="15"/>
  <c r="K35" i="15"/>
  <c r="AC19" i="15"/>
  <c r="AA19" i="15"/>
  <c r="F17" i="15"/>
  <c r="V17" i="15"/>
  <c r="J73" i="11"/>
  <c r="I73" i="11"/>
  <c r="J27" i="11"/>
  <c r="I27" i="11"/>
  <c r="E35" i="15"/>
  <c r="A28" i="11"/>
  <c r="AE17" i="13"/>
  <c r="AF16" i="13"/>
  <c r="U19" i="15"/>
  <c r="J112" i="15"/>
  <c r="F112" i="15"/>
  <c r="A74" i="11"/>
  <c r="L112" i="15"/>
  <c r="D112" i="15"/>
  <c r="M112" i="15"/>
  <c r="H112" i="15"/>
  <c r="I112" i="15" s="1"/>
  <c r="K112" i="15"/>
  <c r="E112" i="15"/>
  <c r="G112" i="15"/>
  <c r="N56" i="13"/>
  <c r="O55" i="13"/>
  <c r="AF55" i="13"/>
  <c r="AE56" i="13"/>
  <c r="Z116" i="15"/>
  <c r="AC116" i="15"/>
  <c r="AA116" i="15"/>
  <c r="W116" i="15"/>
  <c r="T116" i="15"/>
  <c r="V116" i="15"/>
  <c r="X116" i="15"/>
  <c r="Y116" i="15" s="1"/>
  <c r="AB116" i="15"/>
  <c r="U116" i="15"/>
  <c r="O25" i="13"/>
  <c r="N26" i="13"/>
  <c r="M37" i="15"/>
  <c r="K37" i="15"/>
  <c r="AC21" i="15"/>
  <c r="AA21" i="15"/>
  <c r="F19" i="15"/>
  <c r="V19" i="15"/>
  <c r="E37" i="15"/>
  <c r="N27" i="13"/>
  <c r="O26" i="13"/>
  <c r="X118" i="15"/>
  <c r="Y118" i="15" s="1"/>
  <c r="AC118" i="15"/>
  <c r="Z118" i="15"/>
  <c r="W118" i="15"/>
  <c r="U118" i="15"/>
  <c r="AB118" i="15"/>
  <c r="T118" i="15"/>
  <c r="V118" i="15"/>
  <c r="AA118" i="15"/>
  <c r="A29" i="11"/>
  <c r="L114" i="15"/>
  <c r="G114" i="15"/>
  <c r="A75" i="11"/>
  <c r="K114" i="15"/>
  <c r="D114" i="15"/>
  <c r="F114" i="15"/>
  <c r="H114" i="15"/>
  <c r="I114" i="15" s="1"/>
  <c r="J114" i="15"/>
  <c r="M114" i="15"/>
  <c r="E114" i="15"/>
  <c r="AF17" i="13"/>
  <c r="AE18" i="13"/>
  <c r="AE57" i="13"/>
  <c r="AF56" i="13"/>
  <c r="U21" i="15"/>
  <c r="O56" i="13"/>
  <c r="N57" i="13"/>
  <c r="J74" i="11"/>
  <c r="I74" i="11"/>
  <c r="I28" i="11"/>
  <c r="J28" i="11"/>
  <c r="K39" i="15"/>
  <c r="M39" i="15"/>
  <c r="AA23" i="15"/>
  <c r="AC23" i="15"/>
  <c r="F21" i="15"/>
  <c r="V21" i="15"/>
  <c r="E39" i="15"/>
  <c r="AE58" i="13"/>
  <c r="AF57" i="13"/>
  <c r="O57" i="13"/>
  <c r="N58" i="13"/>
  <c r="J29" i="11"/>
  <c r="I29" i="11"/>
  <c r="O27" i="13"/>
  <c r="N28" i="13"/>
  <c r="O28" i="13"/>
  <c r="U23" i="15"/>
  <c r="AE19" i="13"/>
  <c r="AF18" i="13"/>
  <c r="AB120" i="15"/>
  <c r="X120" i="15"/>
  <c r="Y120" i="15" s="1"/>
  <c r="Z120" i="15"/>
  <c r="W120" i="15"/>
  <c r="V120" i="15"/>
  <c r="AA120" i="15"/>
  <c r="U120" i="15"/>
  <c r="T120" i="15"/>
  <c r="AC120" i="15"/>
  <c r="J75" i="11"/>
  <c r="I75" i="11"/>
  <c r="A30" i="11"/>
  <c r="J116" i="15"/>
  <c r="E116" i="15"/>
  <c r="M116" i="15"/>
  <c r="A76" i="11"/>
  <c r="K116" i="15"/>
  <c r="D116" i="15"/>
  <c r="G116" i="15"/>
  <c r="L116" i="15"/>
  <c r="H116" i="15"/>
  <c r="I116" i="15" s="1"/>
  <c r="F116" i="15"/>
  <c r="K41" i="15"/>
  <c r="M41" i="15"/>
  <c r="AA25" i="15"/>
  <c r="AC25" i="15"/>
  <c r="F23" i="15"/>
  <c r="V23" i="15"/>
  <c r="J118" i="15"/>
  <c r="M118" i="15"/>
  <c r="L118" i="15"/>
  <c r="H118" i="15"/>
  <c r="I118" i="15" s="1"/>
  <c r="E118" i="15"/>
  <c r="G118" i="15"/>
  <c r="D118" i="15"/>
  <c r="A77" i="11"/>
  <c r="F118" i="15"/>
  <c r="K118" i="15"/>
  <c r="E41" i="15"/>
  <c r="AE59" i="13"/>
  <c r="AF58" i="13"/>
  <c r="AE20" i="13"/>
  <c r="AF19" i="13"/>
  <c r="I30" i="11"/>
  <c r="J30" i="11"/>
  <c r="AB122" i="15"/>
  <c r="AC122" i="15"/>
  <c r="X122" i="15"/>
  <c r="Y122" i="15" s="1"/>
  <c r="Z122" i="15"/>
  <c r="U122" i="15"/>
  <c r="W122" i="15"/>
  <c r="AA122" i="15"/>
  <c r="V122" i="15"/>
  <c r="T122" i="15"/>
  <c r="K43" i="15"/>
  <c r="E43" i="15"/>
  <c r="A31" i="11"/>
  <c r="F43" i="15"/>
  <c r="M43" i="15"/>
  <c r="N59" i="13"/>
  <c r="O58" i="13"/>
  <c r="J76" i="11"/>
  <c r="I76" i="11"/>
  <c r="U25" i="15"/>
  <c r="AC27" i="15"/>
  <c r="AA27" i="15"/>
  <c r="F25" i="15"/>
  <c r="V25" i="15"/>
  <c r="AF20" i="13"/>
  <c r="AE21" i="13"/>
  <c r="I77" i="11"/>
  <c r="J77" i="11"/>
  <c r="J31" i="11"/>
  <c r="I31" i="11"/>
  <c r="U27" i="15"/>
  <c r="G120" i="15"/>
  <c r="A78" i="11"/>
  <c r="K120" i="15"/>
  <c r="D120" i="15"/>
  <c r="E120" i="15"/>
  <c r="J120" i="15"/>
  <c r="L120" i="15"/>
  <c r="F120" i="15"/>
  <c r="H120" i="15"/>
  <c r="I120" i="15" s="1"/>
  <c r="M120" i="15"/>
  <c r="W124" i="15"/>
  <c r="X124" i="15"/>
  <c r="Y124" i="15" s="1"/>
  <c r="U124" i="15"/>
  <c r="AB124" i="15"/>
  <c r="AA124" i="15"/>
  <c r="Z124" i="15"/>
  <c r="AC124" i="15"/>
  <c r="V124" i="15"/>
  <c r="T124" i="15"/>
  <c r="A32" i="11"/>
  <c r="F45" i="15"/>
  <c r="E45" i="15"/>
  <c r="K45" i="15"/>
  <c r="M45" i="15"/>
  <c r="AE60" i="13"/>
  <c r="AF59" i="13"/>
  <c r="N60" i="13"/>
  <c r="O59" i="13"/>
  <c r="AA29" i="15"/>
  <c r="AC29" i="15"/>
  <c r="F27" i="15"/>
  <c r="V27" i="15"/>
  <c r="AE22" i="13"/>
  <c r="AF21" i="13"/>
  <c r="AB126" i="15"/>
  <c r="Z126" i="15"/>
  <c r="T126" i="15"/>
  <c r="X126" i="15"/>
  <c r="Y126" i="15" s="1"/>
  <c r="V126" i="15"/>
  <c r="U126" i="15"/>
  <c r="AA126" i="15"/>
  <c r="W126" i="15"/>
  <c r="AC126" i="15"/>
  <c r="O60" i="13"/>
  <c r="N61" i="13"/>
  <c r="AF60" i="13"/>
  <c r="AE61" i="13"/>
  <c r="A33" i="11"/>
  <c r="M47" i="15"/>
  <c r="F47" i="15"/>
  <c r="E47" i="15"/>
  <c r="K47" i="15"/>
  <c r="I78" i="11"/>
  <c r="J78" i="11"/>
  <c r="U29" i="15"/>
  <c r="J32" i="11"/>
  <c r="I32" i="11"/>
  <c r="D122" i="15"/>
  <c r="J122" i="15"/>
  <c r="F122" i="15"/>
  <c r="L122" i="15"/>
  <c r="K122" i="15"/>
  <c r="E122" i="15"/>
  <c r="A79" i="11"/>
  <c r="G122" i="15"/>
  <c r="H122" i="15"/>
  <c r="I122" i="15" s="1"/>
  <c r="M122" i="15"/>
  <c r="AC31" i="15"/>
  <c r="AA31" i="15"/>
  <c r="F29" i="15"/>
  <c r="V29" i="15"/>
  <c r="E49" i="15"/>
  <c r="F49" i="15"/>
  <c r="M49" i="15"/>
  <c r="K49" i="15"/>
  <c r="A34" i="11"/>
  <c r="AE23" i="13"/>
  <c r="AF22" i="13"/>
  <c r="O61" i="13"/>
  <c r="N62" i="13"/>
  <c r="U31" i="15"/>
  <c r="I79" i="11"/>
  <c r="J79" i="11"/>
  <c r="I33" i="11"/>
  <c r="J33" i="11"/>
  <c r="L124" i="15"/>
  <c r="H124" i="15"/>
  <c r="I124" i="15" s="1"/>
  <c r="G124" i="15"/>
  <c r="J124" i="15"/>
  <c r="F124" i="15"/>
  <c r="A80" i="11"/>
  <c r="K124" i="15"/>
  <c r="D124" i="15"/>
  <c r="M124" i="15"/>
  <c r="E124" i="15"/>
  <c r="AE62" i="13"/>
  <c r="AF61" i="13"/>
  <c r="X128" i="15"/>
  <c r="Y128" i="15" s="1"/>
  <c r="Z128" i="15"/>
  <c r="W128" i="15"/>
  <c r="U128" i="15"/>
  <c r="T128" i="15"/>
  <c r="AB128" i="15"/>
  <c r="AA128" i="15"/>
  <c r="AC128" i="15"/>
  <c r="V128" i="15"/>
  <c r="AA33" i="15"/>
  <c r="AC33" i="15"/>
  <c r="F31" i="15"/>
  <c r="V31" i="15"/>
  <c r="O62" i="13"/>
  <c r="N63" i="13"/>
  <c r="J34" i="11"/>
  <c r="I34" i="11"/>
  <c r="AE63" i="13"/>
  <c r="AF62" i="13"/>
  <c r="AA130" i="15"/>
  <c r="AB130" i="15"/>
  <c r="AC130" i="15"/>
  <c r="U130" i="15"/>
  <c r="Z130" i="15"/>
  <c r="V130" i="15"/>
  <c r="W130" i="15"/>
  <c r="T130" i="15"/>
  <c r="X130" i="15"/>
  <c r="Y130" i="15" s="1"/>
  <c r="G126" i="15"/>
  <c r="J126" i="15"/>
  <c r="D126" i="15"/>
  <c r="L126" i="15"/>
  <c r="F126" i="15"/>
  <c r="M126" i="15"/>
  <c r="A81" i="11"/>
  <c r="H126" i="15"/>
  <c r="I126" i="15" s="1"/>
  <c r="K126" i="15"/>
  <c r="E126" i="15"/>
  <c r="AF23" i="13"/>
  <c r="AE24" i="13"/>
  <c r="U33" i="15"/>
  <c r="J80" i="11"/>
  <c r="I80" i="11"/>
  <c r="E51" i="15"/>
  <c r="F51" i="15"/>
  <c r="A35" i="11"/>
  <c r="K51" i="15"/>
  <c r="M51" i="15"/>
  <c r="AA35" i="15"/>
  <c r="AC35" i="15"/>
  <c r="F33" i="15"/>
  <c r="V33" i="15"/>
  <c r="J128" i="15"/>
  <c r="H128" i="15"/>
  <c r="I128" i="15" s="1"/>
  <c r="F128" i="15"/>
  <c r="A82" i="11"/>
  <c r="K128" i="15"/>
  <c r="D128" i="15"/>
  <c r="L128" i="15"/>
  <c r="G128" i="15"/>
  <c r="M128" i="15"/>
  <c r="E128" i="15"/>
  <c r="U35" i="15"/>
  <c r="AB132" i="15"/>
  <c r="AA132" i="15"/>
  <c r="T132" i="15"/>
  <c r="W132" i="15"/>
  <c r="X132" i="15"/>
  <c r="Y132" i="15" s="1"/>
  <c r="U132" i="15"/>
  <c r="Z132" i="15"/>
  <c r="V132" i="15"/>
  <c r="AC132" i="15"/>
  <c r="AE25" i="13"/>
  <c r="AF24" i="13"/>
  <c r="E53" i="15"/>
  <c r="F53" i="15"/>
  <c r="K53" i="15"/>
  <c r="M53" i="15"/>
  <c r="A36" i="11"/>
  <c r="J35" i="11"/>
  <c r="I35" i="11"/>
  <c r="J81" i="11"/>
  <c r="I81" i="11"/>
  <c r="AE64" i="13"/>
  <c r="AF63" i="13"/>
  <c r="N64" i="13"/>
  <c r="O63" i="13"/>
  <c r="AA37" i="15"/>
  <c r="AC37" i="15"/>
  <c r="F35" i="15"/>
  <c r="V35" i="15"/>
  <c r="AF64" i="13"/>
  <c r="AE65" i="13"/>
  <c r="N65" i="13"/>
  <c r="O64" i="13"/>
  <c r="AC134" i="15"/>
  <c r="V134" i="15"/>
  <c r="AA134" i="15"/>
  <c r="T134" i="15"/>
  <c r="U134" i="15"/>
  <c r="X134" i="15"/>
  <c r="Y134" i="15" s="1"/>
  <c r="W134" i="15"/>
  <c r="Z134" i="15"/>
  <c r="AB134" i="15"/>
  <c r="D130" i="15"/>
  <c r="L130" i="15"/>
  <c r="A83" i="11"/>
  <c r="F130" i="15"/>
  <c r="H130" i="15"/>
  <c r="I130" i="15" s="1"/>
  <c r="M130" i="15"/>
  <c r="J130" i="15"/>
  <c r="E130" i="15"/>
  <c r="G130" i="15"/>
  <c r="K130" i="15"/>
  <c r="I82" i="11"/>
  <c r="J82" i="11"/>
  <c r="J36" i="11"/>
  <c r="I36" i="11"/>
  <c r="AF25" i="13"/>
  <c r="AE26" i="13"/>
  <c r="U37" i="15"/>
  <c r="K55" i="15"/>
  <c r="A37" i="11"/>
  <c r="F55" i="15"/>
  <c r="E55" i="15"/>
  <c r="M55" i="15"/>
  <c r="AA39" i="15"/>
  <c r="AC39" i="15"/>
  <c r="F37" i="15"/>
  <c r="V37" i="15"/>
  <c r="E57" i="15"/>
  <c r="F57" i="15"/>
  <c r="A38" i="11"/>
  <c r="M57" i="15"/>
  <c r="K57" i="15"/>
  <c r="J83" i="11"/>
  <c r="I83" i="11"/>
  <c r="J37" i="11"/>
  <c r="I37" i="11"/>
  <c r="J132" i="15"/>
  <c r="G132" i="15"/>
  <c r="A84" i="11"/>
  <c r="L132" i="15"/>
  <c r="D132" i="15"/>
  <c r="E132" i="15"/>
  <c r="H132" i="15"/>
  <c r="I132" i="15" s="1"/>
  <c r="M132" i="15"/>
  <c r="F132" i="15"/>
  <c r="K132" i="15"/>
  <c r="N66" i="13"/>
  <c r="O65" i="13"/>
  <c r="X136" i="15"/>
  <c r="Y136" i="15" s="1"/>
  <c r="Z136" i="15"/>
  <c r="W136" i="15"/>
  <c r="AB136" i="15"/>
  <c r="AC136" i="15"/>
  <c r="AA136" i="15"/>
  <c r="T136" i="15"/>
  <c r="U136" i="15"/>
  <c r="V136" i="15"/>
  <c r="U39" i="15"/>
  <c r="AE27" i="13"/>
  <c r="AF26" i="13"/>
  <c r="AF65" i="13"/>
  <c r="AE66" i="13"/>
  <c r="AC41" i="15"/>
  <c r="AA41" i="15"/>
  <c r="F39" i="15"/>
  <c r="V39" i="15"/>
  <c r="U41" i="15"/>
  <c r="M59" i="15"/>
  <c r="F59" i="15"/>
  <c r="E59" i="15"/>
  <c r="A39" i="11"/>
  <c r="K59" i="15"/>
  <c r="N67" i="13"/>
  <c r="O66" i="13"/>
  <c r="W138" i="15"/>
  <c r="AB138" i="15"/>
  <c r="AA138" i="15"/>
  <c r="Z138" i="15"/>
  <c r="AC138" i="15"/>
  <c r="T138" i="15"/>
  <c r="X138" i="15"/>
  <c r="Y138" i="15" s="1"/>
  <c r="U138" i="15"/>
  <c r="V138" i="15"/>
  <c r="AE67" i="13"/>
  <c r="AF66" i="13"/>
  <c r="AA43" i="15"/>
  <c r="V43" i="15"/>
  <c r="AC43" i="15"/>
  <c r="U43" i="15"/>
  <c r="I38" i="11"/>
  <c r="J38" i="11"/>
  <c r="AE28" i="13"/>
  <c r="AF28" i="13"/>
  <c r="AF27" i="13"/>
  <c r="J84" i="11"/>
  <c r="I84" i="11"/>
  <c r="H134" i="15"/>
  <c r="I134" i="15" s="1"/>
  <c r="L134" i="15"/>
  <c r="G134" i="15"/>
  <c r="J134" i="15"/>
  <c r="F134" i="15"/>
  <c r="A85" i="11"/>
  <c r="M134" i="15"/>
  <c r="D134" i="15"/>
  <c r="K134" i="15"/>
  <c r="E134" i="15"/>
  <c r="F41" i="15"/>
  <c r="V41" i="15"/>
  <c r="O67" i="13"/>
  <c r="N68" i="13"/>
  <c r="I39" i="11"/>
  <c r="J39" i="11"/>
  <c r="AC140" i="15"/>
  <c r="T140" i="15"/>
  <c r="U140" i="15"/>
  <c r="AB140" i="15"/>
  <c r="V140" i="15"/>
  <c r="AA140" i="15"/>
  <c r="W140" i="15"/>
  <c r="X140" i="15"/>
  <c r="Y140" i="15" s="1"/>
  <c r="Z140" i="15"/>
  <c r="U45" i="15"/>
  <c r="AA45" i="15"/>
  <c r="V45" i="15"/>
  <c r="AC45" i="15"/>
  <c r="AE68" i="13"/>
  <c r="AF67" i="13"/>
  <c r="H136" i="15"/>
  <c r="I136" i="15" s="1"/>
  <c r="J136" i="15"/>
  <c r="F136" i="15"/>
  <c r="E136" i="15"/>
  <c r="A86" i="11"/>
  <c r="L136" i="15"/>
  <c r="G136" i="15"/>
  <c r="K136" i="15"/>
  <c r="M136" i="15"/>
  <c r="D136" i="15"/>
  <c r="K61" i="15"/>
  <c r="M61" i="15"/>
  <c r="F61" i="15"/>
  <c r="A40" i="11"/>
  <c r="E61" i="15"/>
  <c r="J85" i="11"/>
  <c r="I85" i="11"/>
  <c r="AA142" i="15"/>
  <c r="AB142" i="15"/>
  <c r="W142" i="15"/>
  <c r="V142" i="15"/>
  <c r="AC142" i="15"/>
  <c r="T142" i="15"/>
  <c r="X142" i="15"/>
  <c r="Y142" i="15" s="1"/>
  <c r="Z142" i="15"/>
  <c r="U142" i="15"/>
  <c r="O68" i="13"/>
  <c r="N69" i="13"/>
  <c r="AE69" i="13"/>
  <c r="AF68" i="13"/>
  <c r="F138" i="15"/>
  <c r="D138" i="15"/>
  <c r="K138" i="15"/>
  <c r="H138" i="15"/>
  <c r="I138" i="15" s="1"/>
  <c r="E138" i="15"/>
  <c r="A87" i="11"/>
  <c r="L138" i="15"/>
  <c r="G138" i="15"/>
  <c r="J138" i="15"/>
  <c r="M138" i="15"/>
  <c r="U47" i="15"/>
  <c r="AC47" i="15"/>
  <c r="AA47" i="15"/>
  <c r="V47" i="15"/>
  <c r="F63" i="15"/>
  <c r="A41" i="11"/>
  <c r="K63" i="15"/>
  <c r="M63" i="15"/>
  <c r="E63" i="15"/>
  <c r="J86" i="11"/>
  <c r="I86" i="11"/>
  <c r="I40" i="11"/>
  <c r="J40" i="11"/>
  <c r="N70" i="13"/>
  <c r="O69" i="13"/>
  <c r="Z144" i="15"/>
  <c r="AC144" i="15"/>
  <c r="AB144" i="15"/>
  <c r="W144" i="15"/>
  <c r="T144" i="15"/>
  <c r="X144" i="15"/>
  <c r="Y144" i="15" s="1"/>
  <c r="AA144" i="15"/>
  <c r="U144" i="15"/>
  <c r="V144" i="15"/>
  <c r="F65" i="15"/>
  <c r="A42" i="11"/>
  <c r="K65" i="15"/>
  <c r="E65" i="15"/>
  <c r="M65" i="15"/>
  <c r="J41" i="11"/>
  <c r="I41" i="11"/>
  <c r="J87" i="11"/>
  <c r="I87" i="11"/>
  <c r="AA49" i="15"/>
  <c r="V49" i="15"/>
  <c r="AC49" i="15"/>
  <c r="U49" i="15"/>
  <c r="AE70" i="13"/>
  <c r="AF69" i="13"/>
  <c r="L140" i="15"/>
  <c r="J140" i="15"/>
  <c r="A88" i="11"/>
  <c r="E140" i="15"/>
  <c r="H140" i="15"/>
  <c r="I140" i="15" s="1"/>
  <c r="G140" i="15"/>
  <c r="F140" i="15"/>
  <c r="D140" i="15"/>
  <c r="K140" i="15"/>
  <c r="M140" i="15"/>
  <c r="A89" i="11"/>
  <c r="K142" i="15"/>
  <c r="D142" i="15"/>
  <c r="F142" i="15"/>
  <c r="G142" i="15"/>
  <c r="H142" i="15"/>
  <c r="I142" i="15" s="1"/>
  <c r="E142" i="15"/>
  <c r="L142" i="15"/>
  <c r="M142" i="15"/>
  <c r="J142" i="15"/>
  <c r="V51" i="15"/>
  <c r="U51" i="15"/>
  <c r="AC51" i="15"/>
  <c r="AA51" i="15"/>
  <c r="U146" i="15"/>
  <c r="Z146" i="15"/>
  <c r="W146" i="15"/>
  <c r="X146" i="15"/>
  <c r="Y146" i="15" s="1"/>
  <c r="T146" i="15"/>
  <c r="AB146" i="15"/>
  <c r="V146" i="15"/>
  <c r="AC146" i="15"/>
  <c r="AA146" i="15"/>
  <c r="AE71" i="13"/>
  <c r="AF71" i="13"/>
  <c r="AF70" i="13"/>
  <c r="O70" i="13"/>
  <c r="N71" i="13"/>
  <c r="O71" i="13"/>
  <c r="I42" i="11"/>
  <c r="J42" i="11"/>
  <c r="I88" i="11"/>
  <c r="J88" i="11"/>
  <c r="M67" i="15"/>
  <c r="K67" i="15"/>
  <c r="E67" i="15"/>
  <c r="A43" i="11"/>
  <c r="F67" i="15"/>
  <c r="W148" i="15"/>
  <c r="Z148" i="15"/>
  <c r="V148" i="15"/>
  <c r="T148" i="15"/>
  <c r="AB148" i="15"/>
  <c r="AA148" i="15"/>
  <c r="AC148" i="15"/>
  <c r="U148" i="15"/>
  <c r="X148" i="15"/>
  <c r="Y148" i="15" s="1"/>
  <c r="I89" i="11"/>
  <c r="J89" i="11"/>
  <c r="I43" i="11"/>
  <c r="J43" i="11"/>
  <c r="A44" i="11"/>
  <c r="M69" i="15"/>
  <c r="E69" i="15"/>
  <c r="F69" i="15"/>
  <c r="K69" i="15"/>
  <c r="A90" i="11"/>
  <c r="F144" i="15"/>
  <c r="D144" i="15"/>
  <c r="M144" i="15"/>
  <c r="H144" i="15"/>
  <c r="I144" i="15" s="1"/>
  <c r="J144" i="15"/>
  <c r="G144" i="15"/>
  <c r="E144" i="15"/>
  <c r="L144" i="15"/>
  <c r="K144" i="15"/>
  <c r="U53" i="15"/>
  <c r="AA53" i="15"/>
  <c r="AC53" i="15"/>
  <c r="V53" i="15"/>
  <c r="J44" i="11"/>
  <c r="I44" i="11"/>
  <c r="L146" i="15"/>
  <c r="D146" i="15"/>
  <c r="J146" i="15"/>
  <c r="H146" i="15"/>
  <c r="I146" i="15" s="1"/>
  <c r="K146" i="15"/>
  <c r="A91" i="11"/>
  <c r="F146" i="15"/>
  <c r="M146" i="15"/>
  <c r="E146" i="15"/>
  <c r="G146" i="15"/>
  <c r="A45" i="11"/>
  <c r="K71" i="15"/>
  <c r="M71" i="15"/>
  <c r="E71" i="15"/>
  <c r="F71" i="15"/>
  <c r="AA55" i="15"/>
  <c r="U55" i="15"/>
  <c r="V55" i="15"/>
  <c r="AC55" i="15"/>
  <c r="T150" i="15"/>
  <c r="AC150" i="15"/>
  <c r="X150" i="15"/>
  <c r="Y150" i="15" s="1"/>
  <c r="AA150" i="15"/>
  <c r="Z150" i="15"/>
  <c r="AB150" i="15"/>
  <c r="V150" i="15"/>
  <c r="U150" i="15"/>
  <c r="W150" i="15"/>
  <c r="J90" i="11"/>
  <c r="I90" i="11"/>
  <c r="L148" i="15"/>
  <c r="J148" i="15"/>
  <c r="A92" i="11"/>
  <c r="E148" i="15"/>
  <c r="H148" i="15"/>
  <c r="I148" i="15" s="1"/>
  <c r="K148" i="15"/>
  <c r="M148" i="15"/>
  <c r="D148" i="15"/>
  <c r="F148" i="15"/>
  <c r="G148" i="15"/>
  <c r="AC57" i="15"/>
  <c r="U57" i="15"/>
  <c r="AA57" i="15"/>
  <c r="V57" i="15"/>
  <c r="T152" i="15"/>
  <c r="W152" i="15"/>
  <c r="X152" i="15"/>
  <c r="Y152" i="15" s="1"/>
  <c r="AA152" i="15"/>
  <c r="AB152" i="15"/>
  <c r="U152" i="15"/>
  <c r="AC152" i="15"/>
  <c r="Z152" i="15"/>
  <c r="V152" i="15"/>
  <c r="K73" i="15"/>
  <c r="F73" i="15"/>
  <c r="M73" i="15"/>
  <c r="A46" i="11"/>
  <c r="E73" i="15"/>
  <c r="I45" i="11"/>
  <c r="J45" i="11"/>
  <c r="J91" i="11"/>
  <c r="I91" i="11"/>
  <c r="X154" i="15"/>
  <c r="Y154" i="15" s="1"/>
  <c r="W154" i="15"/>
  <c r="V154" i="15"/>
  <c r="AB154" i="15"/>
  <c r="Z154" i="15"/>
  <c r="T154" i="15"/>
  <c r="U154" i="15"/>
  <c r="AA154" i="15"/>
  <c r="AC154" i="15"/>
  <c r="I46" i="11"/>
  <c r="J46" i="11"/>
  <c r="I92" i="11"/>
  <c r="J92" i="11"/>
  <c r="F150" i="15"/>
  <c r="L150" i="15"/>
  <c r="M150" i="15"/>
  <c r="K150" i="15"/>
  <c r="E150" i="15"/>
  <c r="A93" i="11"/>
  <c r="D150" i="15"/>
  <c r="H150" i="15"/>
  <c r="I150" i="15" s="1"/>
  <c r="G150" i="15"/>
  <c r="J150" i="15"/>
  <c r="A47" i="11"/>
  <c r="K75" i="15"/>
  <c r="E75" i="15"/>
  <c r="F75" i="15"/>
  <c r="M75" i="15"/>
  <c r="U59" i="15"/>
  <c r="AA59" i="15"/>
  <c r="AC59" i="15"/>
  <c r="V59" i="15"/>
  <c r="M77" i="15"/>
  <c r="W23" i="31"/>
  <c r="E77" i="15"/>
  <c r="E79" i="15"/>
  <c r="F77" i="15"/>
  <c r="A48" i="11"/>
  <c r="N67" i="15"/>
  <c r="O67" i="15" s="1"/>
  <c r="K77" i="15"/>
  <c r="I47" i="11"/>
  <c r="J47" i="11"/>
  <c r="V61" i="15"/>
  <c r="AC61" i="15"/>
  <c r="AA61" i="15"/>
  <c r="U61" i="15"/>
  <c r="D152" i="15"/>
  <c r="K152" i="15"/>
  <c r="H152" i="15"/>
  <c r="I152" i="15" s="1"/>
  <c r="G152" i="15"/>
  <c r="E152" i="15"/>
  <c r="M152" i="15"/>
  <c r="J152" i="15"/>
  <c r="L152" i="15"/>
  <c r="F152" i="15"/>
  <c r="A94" i="11"/>
  <c r="J93" i="11"/>
  <c r="I93" i="11"/>
  <c r="AA156" i="15"/>
  <c r="U156" i="15"/>
  <c r="Z156" i="15"/>
  <c r="X156" i="15"/>
  <c r="Y156" i="15" s="1"/>
  <c r="W156" i="15"/>
  <c r="V156" i="15"/>
  <c r="AC156" i="15"/>
  <c r="T156" i="15"/>
  <c r="AB156" i="15"/>
  <c r="W21" i="31"/>
  <c r="W22" i="31"/>
  <c r="W19" i="31"/>
  <c r="W20" i="31"/>
  <c r="W16" i="31"/>
  <c r="W18" i="31"/>
  <c r="W14" i="31"/>
  <c r="W15" i="31"/>
  <c r="W12" i="31"/>
  <c r="W13" i="31"/>
  <c r="W10" i="31"/>
  <c r="W11" i="31"/>
  <c r="W8" i="31"/>
  <c r="W9" i="31"/>
  <c r="W6" i="31"/>
  <c r="W7" i="31"/>
  <c r="W5" i="31"/>
  <c r="I94" i="11"/>
  <c r="J94" i="11"/>
  <c r="V158" i="15"/>
  <c r="AC158" i="15"/>
  <c r="W158" i="15"/>
  <c r="T158" i="15"/>
  <c r="Z158" i="15"/>
  <c r="X158" i="15"/>
  <c r="Y158" i="15" s="1"/>
  <c r="AB158" i="15"/>
  <c r="U158" i="15"/>
  <c r="AA158" i="15"/>
  <c r="N73" i="15"/>
  <c r="L154" i="15"/>
  <c r="G154" i="15"/>
  <c r="F154" i="15"/>
  <c r="K154" i="15"/>
  <c r="D154" i="15"/>
  <c r="E154" i="15"/>
  <c r="J154" i="15"/>
  <c r="A95" i="11"/>
  <c r="H154" i="15"/>
  <c r="I154" i="15" s="1"/>
  <c r="M154" i="15"/>
  <c r="N75" i="15"/>
  <c r="AD75" i="15" s="1"/>
  <c r="AE75" i="15" s="1"/>
  <c r="W17" i="31"/>
  <c r="I48" i="11"/>
  <c r="J48" i="11"/>
  <c r="N47" i="15"/>
  <c r="AD47" i="15" s="1"/>
  <c r="AE47" i="15" s="1"/>
  <c r="N43" i="15"/>
  <c r="O43" i="15" s="1"/>
  <c r="N45" i="15"/>
  <c r="O45" i="15" s="1"/>
  <c r="N49" i="15"/>
  <c r="O49" i="15" s="1"/>
  <c r="N55" i="15"/>
  <c r="N51" i="15"/>
  <c r="O51" i="15" s="1"/>
  <c r="N53" i="15"/>
  <c r="AD53" i="15" s="1"/>
  <c r="AE53" i="15" s="1"/>
  <c r="N61" i="15"/>
  <c r="AD61" i="15" s="1"/>
  <c r="AE61" i="15" s="1"/>
  <c r="N57" i="15"/>
  <c r="AD57" i="15" s="1"/>
  <c r="AE57" i="15" s="1"/>
  <c r="N63" i="15"/>
  <c r="AD63" i="15" s="1"/>
  <c r="AE63" i="15" s="1"/>
  <c r="N59" i="15"/>
  <c r="O59" i="15" s="1"/>
  <c r="N65" i="15"/>
  <c r="O65" i="15" s="1"/>
  <c r="N77" i="15"/>
  <c r="O77" i="15" s="1"/>
  <c r="N71" i="15"/>
  <c r="N69" i="15"/>
  <c r="AD69" i="15" s="1"/>
  <c r="AE69" i="15" s="1"/>
  <c r="U63" i="15"/>
  <c r="AA63" i="15"/>
  <c r="AC63" i="15"/>
  <c r="V63" i="15"/>
  <c r="N41" i="15"/>
  <c r="N39" i="15"/>
  <c r="AD39" i="15" s="1"/>
  <c r="AE39" i="15" s="1"/>
  <c r="N37" i="15"/>
  <c r="O37" i="15" s="1"/>
  <c r="N35" i="15"/>
  <c r="O35" i="15" s="1"/>
  <c r="N33" i="15"/>
  <c r="AD33" i="15" s="1"/>
  <c r="AE33" i="15" s="1"/>
  <c r="N31" i="15"/>
  <c r="O31" i="15" s="1"/>
  <c r="N29" i="15"/>
  <c r="AD29" i="15" s="1"/>
  <c r="AE29" i="15" s="1"/>
  <c r="N27" i="15"/>
  <c r="AD27" i="15" s="1"/>
  <c r="AE27" i="15" s="1"/>
  <c r="N25" i="15"/>
  <c r="AD25" i="15" s="1"/>
  <c r="AE25" i="15" s="1"/>
  <c r="N23" i="15"/>
  <c r="AD23" i="15" s="1"/>
  <c r="AE23" i="15" s="1"/>
  <c r="N21" i="15"/>
  <c r="AD21" i="15" s="1"/>
  <c r="AE21" i="15" s="1"/>
  <c r="N19" i="15"/>
  <c r="AD19" i="15" s="1"/>
  <c r="AE19" i="15" s="1"/>
  <c r="N17" i="15"/>
  <c r="AD17" i="15" s="1"/>
  <c r="AE17" i="15" s="1"/>
  <c r="N15" i="15"/>
  <c r="O15" i="15" s="1"/>
  <c r="N13" i="15"/>
  <c r="O13" i="15" s="1"/>
  <c r="N11" i="15"/>
  <c r="N9" i="15"/>
  <c r="N7" i="15"/>
  <c r="N5" i="15"/>
  <c r="O5" i="15" s="1"/>
  <c r="N3" i="15"/>
  <c r="O3" i="15" s="1"/>
  <c r="H72" i="17"/>
  <c r="D72" i="17"/>
  <c r="O57" i="17"/>
  <c r="I58" i="17"/>
  <c r="O72" i="17"/>
  <c r="G58" i="17"/>
  <c r="O58" i="17"/>
  <c r="I72" i="17"/>
  <c r="D73" i="17"/>
  <c r="I74" i="17"/>
  <c r="G73" i="17"/>
  <c r="H58" i="17"/>
  <c r="F58" i="17"/>
  <c r="G72" i="17"/>
  <c r="D58" i="17"/>
  <c r="F72" i="17"/>
  <c r="G71" i="17"/>
  <c r="O71" i="17"/>
  <c r="E223" i="15"/>
  <c r="M223" i="15" s="1"/>
  <c r="E220" i="15"/>
  <c r="D220" i="15" s="1"/>
  <c r="E211" i="15"/>
  <c r="M211" i="15" s="1"/>
  <c r="E208" i="15"/>
  <c r="M208" i="15" s="1"/>
  <c r="E202" i="15"/>
  <c r="D202" i="15" s="1"/>
  <c r="E199" i="15"/>
  <c r="L199" i="15" s="1"/>
  <c r="E196" i="15"/>
  <c r="L196" i="15" s="1"/>
  <c r="E193" i="15"/>
  <c r="K193" i="15" s="1"/>
  <c r="E175" i="15"/>
  <c r="D175" i="15" s="1"/>
  <c r="U65" i="15"/>
  <c r="V65" i="15"/>
  <c r="AA65" i="15"/>
  <c r="AC65" i="15"/>
  <c r="AB162" i="15"/>
  <c r="AA162" i="15"/>
  <c r="AC162" i="15"/>
  <c r="Z162" i="15"/>
  <c r="W162" i="15"/>
  <c r="T162" i="15"/>
  <c r="X162" i="15"/>
  <c r="Y162" i="15" s="1"/>
  <c r="V162" i="15"/>
  <c r="U162" i="15"/>
  <c r="U160" i="15"/>
  <c r="U164" i="15"/>
  <c r="W160" i="15"/>
  <c r="V160" i="15"/>
  <c r="T160" i="15"/>
  <c r="Z160" i="15"/>
  <c r="AC160" i="15"/>
  <c r="X160" i="15"/>
  <c r="Y160" i="15" s="1"/>
  <c r="AB160" i="15"/>
  <c r="AA160" i="15"/>
  <c r="J95" i="11"/>
  <c r="I95" i="11"/>
  <c r="H156" i="15"/>
  <c r="I156" i="15" s="1"/>
  <c r="F156" i="15"/>
  <c r="M156" i="15"/>
  <c r="L156" i="15"/>
  <c r="A96" i="11"/>
  <c r="K156" i="15"/>
  <c r="J156" i="15"/>
  <c r="D156" i="15"/>
  <c r="G156" i="15"/>
  <c r="E156" i="15"/>
  <c r="AC91" i="17"/>
  <c r="AE91" i="17"/>
  <c r="AJ91" i="17"/>
  <c r="AC90" i="17"/>
  <c r="AE90" i="17"/>
  <c r="AJ90" i="17"/>
  <c r="J57" i="17"/>
  <c r="L57" i="17"/>
  <c r="Q57" i="17"/>
  <c r="J58" i="17"/>
  <c r="L58" i="17"/>
  <c r="Q58" i="17"/>
  <c r="J72" i="17"/>
  <c r="L72" i="17"/>
  <c r="Q72" i="17"/>
  <c r="N28" i="17"/>
  <c r="O51" i="17"/>
  <c r="O50" i="17"/>
  <c r="N27" i="17"/>
  <c r="N26" i="17"/>
  <c r="O49" i="17"/>
  <c r="F220" i="15"/>
  <c r="J220" i="15"/>
  <c r="K220" i="15"/>
  <c r="N25" i="17"/>
  <c r="N24" i="17"/>
  <c r="N16" i="17"/>
  <c r="N15" i="17"/>
  <c r="N13" i="17"/>
  <c r="N12" i="17"/>
  <c r="N11" i="17"/>
  <c r="N10" i="17"/>
  <c r="K172" i="15"/>
  <c r="AC67" i="15"/>
  <c r="U67" i="15"/>
  <c r="V67" i="15"/>
  <c r="AA67" i="15"/>
  <c r="I96" i="11"/>
  <c r="J96" i="11"/>
  <c r="G158" i="15"/>
  <c r="K158" i="15"/>
  <c r="J158" i="15"/>
  <c r="A97" i="11"/>
  <c r="M158" i="15"/>
  <c r="H158" i="15"/>
  <c r="I158" i="15" s="1"/>
  <c r="E158" i="15"/>
  <c r="L158" i="15"/>
  <c r="F158" i="15"/>
  <c r="D158" i="15"/>
  <c r="S33" i="46"/>
  <c r="R19" i="46"/>
  <c r="R17" i="46"/>
  <c r="U230" i="15"/>
  <c r="U224" i="15"/>
  <c r="Z224" i="15" s="1"/>
  <c r="U221" i="15"/>
  <c r="W221" i="15" s="1"/>
  <c r="U212" i="15"/>
  <c r="AB212" i="15" s="1"/>
  <c r="U209" i="15"/>
  <c r="AB209" i="15" s="1"/>
  <c r="U200" i="15"/>
  <c r="AC200" i="15" s="1"/>
  <c r="U197" i="15"/>
  <c r="AA197" i="15" s="1"/>
  <c r="U191" i="15"/>
  <c r="V191" i="15" s="1"/>
  <c r="U188" i="15"/>
  <c r="U185" i="15"/>
  <c r="X185" i="15" s="1"/>
  <c r="U69" i="15"/>
  <c r="AC69" i="15"/>
  <c r="V69" i="15"/>
  <c r="AA69" i="15"/>
  <c r="I97" i="11"/>
  <c r="J97" i="11"/>
  <c r="A98" i="11"/>
  <c r="J160" i="15"/>
  <c r="E160" i="15"/>
  <c r="D160" i="15"/>
  <c r="F160" i="15"/>
  <c r="G160" i="15"/>
  <c r="L160" i="15"/>
  <c r="M160" i="15"/>
  <c r="H160" i="15"/>
  <c r="I160" i="15" s="1"/>
  <c r="K160" i="15"/>
  <c r="AG126" i="17"/>
  <c r="Y224" i="15"/>
  <c r="AA221" i="15"/>
  <c r="AG119" i="17"/>
  <c r="Z200" i="15"/>
  <c r="A99" i="11"/>
  <c r="N162" i="15"/>
  <c r="O162" i="15" s="1"/>
  <c r="E162" i="15"/>
  <c r="E164" i="15"/>
  <c r="L162" i="15"/>
  <c r="F162" i="15"/>
  <c r="G162" i="15"/>
  <c r="K162" i="15"/>
  <c r="J162" i="15"/>
  <c r="M162" i="15"/>
  <c r="H162" i="15"/>
  <c r="I162" i="15" s="1"/>
  <c r="D162" i="15"/>
  <c r="N154" i="15"/>
  <c r="O154" i="15" s="1"/>
  <c r="J98" i="11"/>
  <c r="I98" i="11"/>
  <c r="N160" i="15"/>
  <c r="O160" i="15" s="1"/>
  <c r="AC71" i="15"/>
  <c r="U71" i="15"/>
  <c r="AA71" i="15"/>
  <c r="V71" i="15"/>
  <c r="N158" i="15"/>
  <c r="O158" i="15" s="1"/>
  <c r="N156" i="15"/>
  <c r="O156" i="15" s="1"/>
  <c r="U73" i="15"/>
  <c r="AC73" i="15"/>
  <c r="AA73" i="15"/>
  <c r="V73" i="15"/>
  <c r="J99" i="11"/>
  <c r="I99" i="11"/>
  <c r="N102" i="15"/>
  <c r="O102" i="15" s="1"/>
  <c r="N96" i="15"/>
  <c r="O96" i="15" s="1"/>
  <c r="N88" i="15"/>
  <c r="O88" i="15" s="1"/>
  <c r="N90" i="15"/>
  <c r="O90" i="15" s="1"/>
  <c r="N94" i="15"/>
  <c r="AD94" i="15" s="1"/>
  <c r="AE94" i="15" s="1"/>
  <c r="N98" i="15"/>
  <c r="N100" i="15"/>
  <c r="AD100" i="15" s="1"/>
  <c r="AE100" i="15" s="1"/>
  <c r="N92" i="15"/>
  <c r="AD92" i="15" s="1"/>
  <c r="AE92" i="15" s="1"/>
  <c r="N110" i="15"/>
  <c r="AD110" i="15" s="1"/>
  <c r="AE110" i="15" s="1"/>
  <c r="N104" i="15"/>
  <c r="N106" i="15"/>
  <c r="N108" i="15"/>
  <c r="AD108" i="15" s="1"/>
  <c r="AE108" i="15" s="1"/>
  <c r="N112" i="15"/>
  <c r="O112" i="15" s="1"/>
  <c r="N116" i="15"/>
  <c r="AD116" i="15" s="1"/>
  <c r="AE116" i="15" s="1"/>
  <c r="N120" i="15"/>
  <c r="N114" i="15"/>
  <c r="N118" i="15"/>
  <c r="AD118" i="15" s="1"/>
  <c r="AE118" i="15" s="1"/>
  <c r="N122" i="15"/>
  <c r="AD122" i="15" s="1"/>
  <c r="AE122" i="15" s="1"/>
  <c r="N132" i="15"/>
  <c r="O132" i="15" s="1"/>
  <c r="N126" i="15"/>
  <c r="N124" i="15"/>
  <c r="AD124" i="15" s="1"/>
  <c r="AE124" i="15" s="1"/>
  <c r="N128" i="15"/>
  <c r="O128" i="15" s="1"/>
  <c r="N134" i="15"/>
  <c r="AD134" i="15" s="1"/>
  <c r="AE134" i="15" s="1"/>
  <c r="N130" i="15"/>
  <c r="O130" i="15" s="1"/>
  <c r="N136" i="15"/>
  <c r="N142" i="15"/>
  <c r="AD142" i="15" s="1"/>
  <c r="AE142" i="15" s="1"/>
  <c r="N138" i="15"/>
  <c r="N140" i="15"/>
  <c r="AD140" i="15" s="1"/>
  <c r="AE140" i="15" s="1"/>
  <c r="N144" i="15"/>
  <c r="N148" i="15"/>
  <c r="O148" i="15" s="1"/>
  <c r="N146" i="15"/>
  <c r="N152" i="15"/>
  <c r="N150" i="15"/>
  <c r="AD150" i="15" s="1"/>
  <c r="AE150" i="15" s="1"/>
  <c r="E221" i="15"/>
  <c r="G221" i="15" s="1"/>
  <c r="I222" i="15"/>
  <c r="E224" i="15"/>
  <c r="J224" i="15" s="1"/>
  <c r="K216" i="15"/>
  <c r="E209" i="15"/>
  <c r="D209" i="15" s="1"/>
  <c r="D210" i="15"/>
  <c r="E212" i="15"/>
  <c r="H212" i="15" s="1"/>
  <c r="E203" i="15"/>
  <c r="H203" i="15" s="1"/>
  <c r="I204" i="15"/>
  <c r="L197" i="15"/>
  <c r="L198" i="15"/>
  <c r="E200" i="15"/>
  <c r="K200" i="15" s="1"/>
  <c r="E194" i="15"/>
  <c r="L194" i="15" s="1"/>
  <c r="N112" i="17"/>
  <c r="E176" i="15"/>
  <c r="J176" i="15" s="1"/>
  <c r="U75" i="15"/>
  <c r="AA75" i="15"/>
  <c r="V75" i="15"/>
  <c r="AC75" i="15"/>
  <c r="AC77" i="15"/>
  <c r="AA77" i="15"/>
  <c r="V77" i="15"/>
  <c r="U77" i="15"/>
  <c r="E222" i="15"/>
  <c r="I22" i="46" s="1"/>
  <c r="N126" i="17"/>
  <c r="F231" i="15"/>
  <c r="G231" i="15"/>
  <c r="N127" i="17"/>
  <c r="E216" i="15"/>
  <c r="I20" i="46" s="1"/>
  <c r="L222" i="15"/>
  <c r="M222" i="15"/>
  <c r="N124" i="17"/>
  <c r="F222" i="15"/>
  <c r="K221" i="15"/>
  <c r="K222" i="15"/>
  <c r="J221" i="15"/>
  <c r="J222" i="15"/>
  <c r="D221" i="15"/>
  <c r="D222" i="15"/>
  <c r="G222" i="15"/>
  <c r="H222" i="15"/>
  <c r="L225" i="15"/>
  <c r="H225" i="15"/>
  <c r="F225" i="15"/>
  <c r="K225" i="15"/>
  <c r="J225" i="15"/>
  <c r="I225" i="15"/>
  <c r="D225" i="15"/>
  <c r="M225" i="15"/>
  <c r="G225" i="15"/>
  <c r="N125" i="17"/>
  <c r="E225" i="15"/>
  <c r="G216" i="15"/>
  <c r="H219" i="15"/>
  <c r="E210" i="15"/>
  <c r="I18" i="46" s="1"/>
  <c r="I210" i="15"/>
  <c r="L210" i="15"/>
  <c r="E204" i="15"/>
  <c r="I16" i="46" s="1"/>
  <c r="M210" i="15"/>
  <c r="F210" i="15"/>
  <c r="G210" i="15"/>
  <c r="H210" i="15"/>
  <c r="J210" i="15"/>
  <c r="K210" i="15"/>
  <c r="D213" i="15"/>
  <c r="J213" i="15"/>
  <c r="M213" i="15"/>
  <c r="H213" i="15"/>
  <c r="G213" i="15"/>
  <c r="K213" i="15"/>
  <c r="L213" i="15"/>
  <c r="F213" i="15"/>
  <c r="I213" i="15"/>
  <c r="E213" i="15"/>
  <c r="I19" i="46" s="1"/>
  <c r="H197" i="15"/>
  <c r="H198" i="15"/>
  <c r="H204" i="15"/>
  <c r="M204" i="15"/>
  <c r="G197" i="15"/>
  <c r="G198" i="15"/>
  <c r="K204" i="15"/>
  <c r="G204" i="15"/>
  <c r="F204" i="15"/>
  <c r="D204" i="15"/>
  <c r="L204" i="15"/>
  <c r="J204" i="15"/>
  <c r="D197" i="15"/>
  <c r="D198" i="15"/>
  <c r="E198" i="15"/>
  <c r="I14" i="46" s="1"/>
  <c r="J197" i="15"/>
  <c r="J198" i="15"/>
  <c r="K197" i="15"/>
  <c r="K198" i="15"/>
  <c r="I197" i="15"/>
  <c r="I198" i="15"/>
  <c r="M197" i="15"/>
  <c r="M198" i="15"/>
  <c r="F197" i="15"/>
  <c r="F198" i="15"/>
  <c r="G201" i="15"/>
  <c r="M201" i="15"/>
  <c r="I201" i="15"/>
  <c r="D201" i="15"/>
  <c r="L201" i="15"/>
  <c r="J201" i="15"/>
  <c r="K201" i="15"/>
  <c r="F201" i="15"/>
  <c r="H201" i="15"/>
  <c r="E201" i="15"/>
  <c r="I15" i="46" s="1"/>
  <c r="D192" i="15"/>
  <c r="F192" i="15"/>
  <c r="I192" i="15"/>
  <c r="G194" i="15"/>
  <c r="G195" i="15"/>
  <c r="F195" i="15"/>
  <c r="M195" i="15"/>
  <c r="D195" i="15"/>
  <c r="E195" i="15"/>
  <c r="E189" i="15"/>
  <c r="I183" i="15"/>
  <c r="M183" i="15"/>
  <c r="E174" i="15"/>
  <c r="F174" i="15"/>
  <c r="K174" i="15"/>
  <c r="M174" i="15"/>
  <c r="D177" i="15"/>
  <c r="J177" i="15"/>
  <c r="F177" i="15"/>
  <c r="I177" i="15"/>
  <c r="G177" i="15"/>
  <c r="H177" i="15"/>
  <c r="K177" i="15"/>
  <c r="L177" i="15"/>
  <c r="M177" i="15"/>
  <c r="E177" i="15"/>
  <c r="I7" i="46" s="1"/>
  <c r="U79" i="15"/>
  <c r="AA68" i="17"/>
  <c r="Z68" i="17"/>
  <c r="Z45" i="17"/>
  <c r="Z43" i="17"/>
  <c r="W35" i="17"/>
  <c r="AB68" i="17"/>
  <c r="AH34" i="17"/>
  <c r="Y68" i="17"/>
  <c r="AH35" i="17"/>
  <c r="W43" i="17"/>
  <c r="AH43" i="17"/>
  <c r="AH68" i="17"/>
  <c r="AH45" i="17"/>
  <c r="G50" i="17"/>
  <c r="Y69" i="17"/>
  <c r="AA43" i="17"/>
  <c r="AB43" i="17"/>
  <c r="W68" i="17"/>
  <c r="W45" i="17"/>
  <c r="I50" i="17"/>
  <c r="G49" i="17"/>
  <c r="D50" i="17"/>
  <c r="D49" i="17"/>
  <c r="D51" i="17"/>
  <c r="G51" i="17"/>
  <c r="H49" i="17"/>
  <c r="H51" i="17"/>
  <c r="H50" i="17"/>
  <c r="I49" i="17"/>
  <c r="I51" i="17"/>
  <c r="U229" i="15"/>
  <c r="AB229" i="15" s="1"/>
  <c r="U223" i="15"/>
  <c r="Y223" i="15" s="1"/>
  <c r="U217" i="15"/>
  <c r="V217" i="15" s="1"/>
  <c r="U208" i="15"/>
  <c r="AA210" i="15"/>
  <c r="U211" i="15"/>
  <c r="AC211" i="15" s="1"/>
  <c r="U205" i="15"/>
  <c r="T205" i="15" s="1"/>
  <c r="U196" i="15"/>
  <c r="AB196" i="15" s="1"/>
  <c r="X198" i="15"/>
  <c r="U199" i="15"/>
  <c r="Y199" i="15" s="1"/>
  <c r="U190" i="15"/>
  <c r="T190" i="15" s="1"/>
  <c r="U184" i="15"/>
  <c r="AA186" i="15"/>
  <c r="U187" i="15"/>
  <c r="AA187" i="15" s="1"/>
  <c r="U178" i="15"/>
  <c r="AC178" i="15" s="1"/>
  <c r="I26" i="46"/>
  <c r="F49" i="17"/>
  <c r="J49" i="17"/>
  <c r="L49" i="17"/>
  <c r="Q49" i="17"/>
  <c r="Y38" i="46"/>
  <c r="F50" i="17"/>
  <c r="J50" i="17"/>
  <c r="L50" i="17"/>
  <c r="Q50" i="17"/>
  <c r="Z12" i="46"/>
  <c r="AC68" i="17"/>
  <c r="AE68" i="17"/>
  <c r="AJ68" i="17"/>
  <c r="Y45" i="17"/>
  <c r="AC45" i="17"/>
  <c r="AE45" i="17"/>
  <c r="J51" i="17"/>
  <c r="L51" i="17"/>
  <c r="Q51" i="17"/>
  <c r="Y43" i="17"/>
  <c r="AC43" i="17"/>
  <c r="AE43" i="17"/>
  <c r="AJ43" i="17"/>
  <c r="AB228" i="15"/>
  <c r="Y222" i="15"/>
  <c r="T222" i="15"/>
  <c r="Z231" i="15"/>
  <c r="U231" i="15"/>
  <c r="I47" i="46" s="1"/>
  <c r="Y231" i="15"/>
  <c r="W231" i="15"/>
  <c r="V231" i="15"/>
  <c r="AC231" i="15"/>
  <c r="AB231" i="15"/>
  <c r="T229" i="15"/>
  <c r="T231" i="15"/>
  <c r="X231" i="15"/>
  <c r="AA229" i="15"/>
  <c r="AA231" i="15"/>
  <c r="AA222" i="15"/>
  <c r="AC222" i="15"/>
  <c r="W222" i="15"/>
  <c r="AB222" i="15"/>
  <c r="T225" i="15"/>
  <c r="Z225" i="15"/>
  <c r="AA225" i="15"/>
  <c r="Y225" i="15"/>
  <c r="AC225" i="15"/>
  <c r="U225" i="15"/>
  <c r="V225" i="15"/>
  <c r="X225" i="15"/>
  <c r="W225" i="15"/>
  <c r="AB225" i="15"/>
  <c r="Y210" i="15"/>
  <c r="W219" i="15"/>
  <c r="U219" i="15"/>
  <c r="AC219" i="15"/>
  <c r="AA219" i="15"/>
  <c r="Y219" i="15"/>
  <c r="X219" i="15"/>
  <c r="AB219" i="15"/>
  <c r="T219" i="15"/>
  <c r="W210" i="15"/>
  <c r="V210" i="15"/>
  <c r="T210" i="15"/>
  <c r="U210" i="15"/>
  <c r="Z198" i="15"/>
  <c r="X210" i="15"/>
  <c r="AC210" i="15"/>
  <c r="AB210" i="15"/>
  <c r="Z210" i="15"/>
  <c r="W213" i="15"/>
  <c r="U213" i="15"/>
  <c r="T213" i="15"/>
  <c r="AA213" i="15"/>
  <c r="Z213" i="15"/>
  <c r="AB213" i="15"/>
  <c r="AC213" i="15"/>
  <c r="Y213" i="15"/>
  <c r="X213" i="15"/>
  <c r="V213" i="15"/>
  <c r="Y204" i="15"/>
  <c r="U198" i="15"/>
  <c r="AB207" i="15"/>
  <c r="X207" i="15"/>
  <c r="W198" i="15"/>
  <c r="AA198" i="15"/>
  <c r="AC198" i="15"/>
  <c r="AC192" i="15"/>
  <c r="T198" i="15"/>
  <c r="V198" i="15"/>
  <c r="AB198" i="15"/>
  <c r="Y198" i="15"/>
  <c r="Y201" i="15"/>
  <c r="T201" i="15"/>
  <c r="AA201" i="15"/>
  <c r="U201" i="15"/>
  <c r="I37" i="46" s="1"/>
  <c r="AB201" i="15"/>
  <c r="V201" i="15"/>
  <c r="AC201" i="15"/>
  <c r="W201" i="15"/>
  <c r="Z201" i="15"/>
  <c r="X201" i="15"/>
  <c r="W192" i="15"/>
  <c r="AB192" i="15"/>
  <c r="AA192" i="15"/>
  <c r="Z192" i="15"/>
  <c r="AC186" i="15"/>
  <c r="X192" i="15"/>
  <c r="T192" i="15"/>
  <c r="U192" i="15"/>
  <c r="I34" i="46" s="1"/>
  <c r="Y192" i="15"/>
  <c r="V192" i="15"/>
  <c r="T186" i="15"/>
  <c r="Z186" i="15"/>
  <c r="W186" i="15"/>
  <c r="X186" i="15"/>
  <c r="V186" i="15"/>
  <c r="U186" i="15"/>
  <c r="I32" i="46" s="1"/>
  <c r="AB186" i="15"/>
  <c r="Y186" i="15"/>
  <c r="AB189" i="15"/>
  <c r="V189" i="15"/>
  <c r="Y189" i="15"/>
  <c r="U189" i="15"/>
  <c r="I33" i="46" s="1"/>
  <c r="AA189" i="15"/>
  <c r="W189" i="15"/>
  <c r="Z189" i="15"/>
  <c r="X189" i="15"/>
  <c r="AC189" i="15"/>
  <c r="T189" i="15"/>
  <c r="AC180" i="15"/>
  <c r="Y180" i="15"/>
  <c r="X180" i="15"/>
  <c r="AA183" i="15"/>
  <c r="Z183" i="15"/>
  <c r="U183" i="15"/>
  <c r="I31" i="46" s="1"/>
  <c r="Y183" i="15"/>
  <c r="X183" i="15"/>
  <c r="AB183" i="15"/>
  <c r="W183" i="15"/>
  <c r="AC183" i="15"/>
  <c r="X177" i="15"/>
  <c r="W177" i="15"/>
  <c r="AC174" i="15"/>
  <c r="V174" i="15"/>
  <c r="AJ34" i="17"/>
  <c r="R37" i="46"/>
  <c r="R33" i="46"/>
  <c r="S19" i="46"/>
  <c r="Y17" i="46"/>
  <c r="Z17" i="46"/>
  <c r="S17" i="46"/>
  <c r="S12" i="46"/>
  <c r="AE35" i="17"/>
  <c r="AG18" i="17"/>
  <c r="AG20" i="17"/>
  <c r="AG22" i="17"/>
  <c r="AG28" i="17"/>
  <c r="AG12" i="17"/>
  <c r="AG24" i="17"/>
  <c r="AG11" i="17"/>
  <c r="AG21" i="17"/>
  <c r="AG23" i="17"/>
  <c r="AG26" i="17"/>
  <c r="I48" i="46"/>
  <c r="R32" i="46"/>
  <c r="AJ35" i="17"/>
  <c r="T33" i="46"/>
  <c r="AC33" i="46"/>
  <c r="T19" i="46"/>
  <c r="AC19" i="46"/>
  <c r="T17" i="46"/>
  <c r="AC17" i="46"/>
  <c r="T12" i="46"/>
  <c r="AC12" i="46"/>
  <c r="AI17" i="46"/>
  <c r="AJ40" i="17" l="1"/>
  <c r="W40" i="17"/>
  <c r="AB40" i="17"/>
  <c r="C45" i="46"/>
  <c r="F45" i="46"/>
  <c r="W50" i="33" s="1"/>
  <c r="X50" i="33" s="1"/>
  <c r="S45" i="46"/>
  <c r="X11" i="34"/>
  <c r="AD11" i="34"/>
  <c r="AB11" i="34"/>
  <c r="AJ12" i="34" s="1"/>
  <c r="H11" i="34"/>
  <c r="Q12" i="34"/>
  <c r="AH12" i="34"/>
  <c r="F11" i="34"/>
  <c r="E11" i="34"/>
  <c r="I12" i="34"/>
  <c r="AG11" i="34"/>
  <c r="AH11" i="34"/>
  <c r="Z11" i="34"/>
  <c r="E12" i="34"/>
  <c r="O11" i="34"/>
  <c r="AE11" i="34"/>
  <c r="AC11" i="34"/>
  <c r="AD12" i="34"/>
  <c r="G11" i="34"/>
  <c r="Z12" i="34"/>
  <c r="U12" i="34"/>
  <c r="O12" i="34"/>
  <c r="AI12" i="34"/>
  <c r="AC12" i="34"/>
  <c r="Y12" i="34"/>
  <c r="G12" i="34"/>
  <c r="M12" i="34"/>
  <c r="AF12" i="34"/>
  <c r="AA12" i="34"/>
  <c r="R12" i="34"/>
  <c r="W11" i="34"/>
  <c r="K11" i="34"/>
  <c r="N12" i="34"/>
  <c r="W174" i="15"/>
  <c r="T174" i="15"/>
  <c r="Y174" i="15"/>
  <c r="AA174" i="15"/>
  <c r="H9" i="33"/>
  <c r="J9" i="33"/>
  <c r="E38" i="34"/>
  <c r="O37" i="34"/>
  <c r="AF38" i="34"/>
  <c r="G37" i="34"/>
  <c r="AC38" i="34"/>
  <c r="P38" i="34"/>
  <c r="M37" i="34"/>
  <c r="AH37" i="34"/>
  <c r="E37" i="34"/>
  <c r="I7" i="34"/>
  <c r="AB7" i="34"/>
  <c r="M7" i="34"/>
  <c r="H8" i="34"/>
  <c r="F48" i="33"/>
  <c r="T48" i="33"/>
  <c r="P48" i="33"/>
  <c r="L48" i="33"/>
  <c r="K48" i="33"/>
  <c r="U115" i="17"/>
  <c r="U138" i="17" s="1"/>
  <c r="AA16" i="17"/>
  <c r="AG16" i="17"/>
  <c r="Z16" i="17"/>
  <c r="AI16" i="17"/>
  <c r="E42" i="46"/>
  <c r="Z42" i="46" s="1"/>
  <c r="F42" i="46"/>
  <c r="D42" i="46"/>
  <c r="F12" i="34"/>
  <c r="S6" i="46"/>
  <c r="AA18" i="17"/>
  <c r="P8" i="33"/>
  <c r="I8" i="33"/>
  <c r="L8" i="33"/>
  <c r="U8" i="33"/>
  <c r="F23" i="46"/>
  <c r="W21" i="33" s="1"/>
  <c r="X21" i="33" s="1"/>
  <c r="E23" i="46"/>
  <c r="K23" i="46"/>
  <c r="Q23" i="46" s="1"/>
  <c r="AG23" i="46"/>
  <c r="AH23" i="46"/>
  <c r="X23" i="46"/>
  <c r="W23" i="46"/>
  <c r="W37" i="33"/>
  <c r="X37" i="33" s="1"/>
  <c r="S32" i="46"/>
  <c r="V40" i="34"/>
  <c r="P49" i="33"/>
  <c r="H86" i="34"/>
  <c r="L8" i="34"/>
  <c r="R39" i="34"/>
  <c r="Q57" i="34"/>
  <c r="L6" i="34"/>
  <c r="P86" i="34"/>
  <c r="W12" i="34"/>
  <c r="T23" i="33"/>
  <c r="L23" i="33"/>
  <c r="H23" i="33"/>
  <c r="N7" i="33"/>
  <c r="P7" i="33"/>
  <c r="H7" i="33"/>
  <c r="E7" i="33"/>
  <c r="AE34" i="34"/>
  <c r="AF33" i="34"/>
  <c r="AD33" i="34"/>
  <c r="N33" i="34"/>
  <c r="H34" i="34"/>
  <c r="I34" i="34"/>
  <c r="W34" i="34"/>
  <c r="E34" i="34"/>
  <c r="O34" i="34"/>
  <c r="Q33" i="34"/>
  <c r="X3" i="34"/>
  <c r="E4" i="34"/>
  <c r="AI4" i="34"/>
  <c r="V4" i="34"/>
  <c r="W3" i="34"/>
  <c r="O3" i="34"/>
  <c r="Z3" i="34"/>
  <c r="V3" i="34"/>
  <c r="AE4" i="34"/>
  <c r="K3" i="34"/>
  <c r="O4" i="34"/>
  <c r="U3" i="34"/>
  <c r="J4" i="34"/>
  <c r="G3" i="34"/>
  <c r="K4" i="34"/>
  <c r="P3" i="34"/>
  <c r="H3" i="34"/>
  <c r="AH4" i="34"/>
  <c r="G4" i="34"/>
  <c r="AB4" i="34"/>
  <c r="AG4" i="34"/>
  <c r="AG3" i="34"/>
  <c r="Q3" i="34"/>
  <c r="AA3" i="34"/>
  <c r="X4" i="34"/>
  <c r="U4" i="34"/>
  <c r="AA4" i="34"/>
  <c r="I3" i="34"/>
  <c r="AC4" i="34"/>
  <c r="P4" i="34"/>
  <c r="E3" i="34"/>
  <c r="AF4" i="34"/>
  <c r="AC3" i="34"/>
  <c r="AH3" i="34"/>
  <c r="Y4" i="34"/>
  <c r="AI69" i="34"/>
  <c r="AF68" i="34"/>
  <c r="I68" i="34"/>
  <c r="AI68" i="34"/>
  <c r="N69" i="34"/>
  <c r="G68" i="34"/>
  <c r="E68" i="34"/>
  <c r="Q68" i="34"/>
  <c r="P68" i="34"/>
  <c r="AH69" i="34"/>
  <c r="W68" i="34"/>
  <c r="E69" i="34"/>
  <c r="O69" i="34"/>
  <c r="R69" i="34"/>
  <c r="AD68" i="34"/>
  <c r="K68" i="34"/>
  <c r="K69" i="34"/>
  <c r="X69" i="34"/>
  <c r="AA69" i="34"/>
  <c r="F69" i="34"/>
  <c r="Y69" i="34"/>
  <c r="Q69" i="34"/>
  <c r="J69" i="34"/>
  <c r="R68" i="34"/>
  <c r="AA68" i="34"/>
  <c r="AE68" i="34"/>
  <c r="L68" i="34"/>
  <c r="AF69" i="34"/>
  <c r="Z69" i="34"/>
  <c r="V68" i="34"/>
  <c r="AC68" i="34"/>
  <c r="I69" i="34"/>
  <c r="Z68" i="34"/>
  <c r="X68" i="34"/>
  <c r="AB68" i="34"/>
  <c r="Y68" i="34"/>
  <c r="M69" i="34"/>
  <c r="U68" i="34"/>
  <c r="U218" i="15"/>
  <c r="V218" i="15" s="1"/>
  <c r="V219" i="15"/>
  <c r="Z219" i="15"/>
  <c r="B90" i="17"/>
  <c r="B44" i="17"/>
  <c r="E21" i="17"/>
  <c r="F21" i="17"/>
  <c r="H21" i="17"/>
  <c r="J21" i="17"/>
  <c r="K21" i="17"/>
  <c r="G21" i="17"/>
  <c r="AB44" i="17"/>
  <c r="M20" i="17"/>
  <c r="E10" i="46"/>
  <c r="Z10" i="46" s="1"/>
  <c r="M10" i="33"/>
  <c r="N39" i="34"/>
  <c r="AG56" i="34"/>
  <c r="AA11" i="34"/>
  <c r="L11" i="34"/>
  <c r="I195" i="15"/>
  <c r="L195" i="15"/>
  <c r="H195" i="15"/>
  <c r="J195" i="15"/>
  <c r="K195" i="15"/>
  <c r="V183" i="15"/>
  <c r="T183" i="15"/>
  <c r="U181" i="15"/>
  <c r="U182" i="15"/>
  <c r="V182" i="15" s="1"/>
  <c r="T22" i="33"/>
  <c r="K22" i="33"/>
  <c r="U22" i="33"/>
  <c r="I22" i="33"/>
  <c r="E22" i="33"/>
  <c r="L22" i="33"/>
  <c r="J22" i="33"/>
  <c r="M22" i="33"/>
  <c r="P22" i="33"/>
  <c r="O6" i="33"/>
  <c r="P6" i="33"/>
  <c r="Q6" i="33"/>
  <c r="H6" i="33"/>
  <c r="M6" i="33"/>
  <c r="V6" i="33"/>
  <c r="N6" i="33"/>
  <c r="D6" i="33"/>
  <c r="J6" i="33"/>
  <c r="I6" i="33"/>
  <c r="E6" i="33"/>
  <c r="U6" i="33"/>
  <c r="G6" i="33"/>
  <c r="K6" i="33"/>
  <c r="L31" i="34"/>
  <c r="AB32" i="34"/>
  <c r="N31" i="34"/>
  <c r="I31" i="34"/>
  <c r="W31" i="34"/>
  <c r="V31" i="34"/>
  <c r="AC32" i="34"/>
  <c r="AD32" i="34"/>
  <c r="E32" i="34"/>
  <c r="Q31" i="34"/>
  <c r="R32" i="34"/>
  <c r="AB31" i="34"/>
  <c r="AH31" i="34"/>
  <c r="M32" i="34"/>
  <c r="H32" i="34"/>
  <c r="AC31" i="34"/>
  <c r="AI32" i="34"/>
  <c r="AG32" i="34"/>
  <c r="P32" i="34"/>
  <c r="K31" i="34"/>
  <c r="Y32" i="34"/>
  <c r="AI31" i="34"/>
  <c r="Z32" i="34"/>
  <c r="X31" i="34"/>
  <c r="G31" i="34"/>
  <c r="AE32" i="34"/>
  <c r="Z31" i="34"/>
  <c r="F32" i="34"/>
  <c r="AG31" i="34"/>
  <c r="AA31" i="34"/>
  <c r="AJ32" i="34" s="1"/>
  <c r="N32" i="34"/>
  <c r="AH32" i="34"/>
  <c r="AA32" i="34"/>
  <c r="H31" i="34"/>
  <c r="J31" i="34"/>
  <c r="N39" i="33"/>
  <c r="P39" i="33"/>
  <c r="G39" i="33"/>
  <c r="I39" i="33"/>
  <c r="K39" i="33"/>
  <c r="J39" i="33"/>
  <c r="E39" i="33"/>
  <c r="Q39" i="33"/>
  <c r="D39" i="33"/>
  <c r="V39" i="33"/>
  <c r="U220" i="15"/>
  <c r="AB220" i="15" s="1"/>
  <c r="V222" i="15"/>
  <c r="Z222" i="15"/>
  <c r="U222" i="15"/>
  <c r="X222" i="15"/>
  <c r="J12" i="34"/>
  <c r="V7" i="34"/>
  <c r="W8" i="34"/>
  <c r="L189" i="15"/>
  <c r="M189" i="15"/>
  <c r="F189" i="15"/>
  <c r="F40" i="33"/>
  <c r="G40" i="33"/>
  <c r="H40" i="33"/>
  <c r="Q40" i="33"/>
  <c r="C7" i="46"/>
  <c r="M7" i="46" s="1"/>
  <c r="D7" i="46"/>
  <c r="Z177" i="15"/>
  <c r="I23" i="46"/>
  <c r="AA67" i="17"/>
  <c r="H189" i="15"/>
  <c r="F193" i="15"/>
  <c r="T10" i="33"/>
  <c r="V69" i="34"/>
  <c r="H39" i="33"/>
  <c r="M41" i="33"/>
  <c r="AF32" i="34"/>
  <c r="Y18" i="17"/>
  <c r="AH9" i="34"/>
  <c r="U41" i="17"/>
  <c r="AC41" i="17" s="1"/>
  <c r="AB12" i="34"/>
  <c r="P11" i="34"/>
  <c r="M34" i="34"/>
  <c r="AI37" i="34"/>
  <c r="L4" i="34"/>
  <c r="F4" i="34"/>
  <c r="AB18" i="17"/>
  <c r="AC188" i="15"/>
  <c r="Z188" i="15"/>
  <c r="Y188" i="15"/>
  <c r="W188" i="15"/>
  <c r="E183" i="15"/>
  <c r="I9" i="46" s="1"/>
  <c r="E182" i="15"/>
  <c r="L182" i="15" s="1"/>
  <c r="AB39" i="34"/>
  <c r="I39" i="34"/>
  <c r="W40" i="34"/>
  <c r="M39" i="34"/>
  <c r="X40" i="34"/>
  <c r="AC39" i="34"/>
  <c r="AG40" i="34"/>
  <c r="O40" i="34"/>
  <c r="Q39" i="34"/>
  <c r="AE39" i="34"/>
  <c r="AA40" i="34"/>
  <c r="X39" i="34"/>
  <c r="Y40" i="34"/>
  <c r="P39" i="34"/>
  <c r="H40" i="34"/>
  <c r="AF39" i="34"/>
  <c r="AA39" i="34"/>
  <c r="K40" i="34"/>
  <c r="AD39" i="34"/>
  <c r="AH40" i="34"/>
  <c r="L40" i="34"/>
  <c r="AF40" i="34"/>
  <c r="Y39" i="34"/>
  <c r="P40" i="34"/>
  <c r="AI40" i="34"/>
  <c r="AB40" i="34"/>
  <c r="AH39" i="34"/>
  <c r="K39" i="34"/>
  <c r="V39" i="34"/>
  <c r="F39" i="34"/>
  <c r="G40" i="34"/>
  <c r="J39" i="34"/>
  <c r="O39" i="34"/>
  <c r="E185" i="15"/>
  <c r="D185" i="15" s="1"/>
  <c r="L186" i="15"/>
  <c r="J186" i="15"/>
  <c r="D186" i="15"/>
  <c r="L20" i="17"/>
  <c r="E40" i="34"/>
  <c r="O36" i="34"/>
  <c r="N35" i="34"/>
  <c r="F35" i="34"/>
  <c r="AG36" i="34"/>
  <c r="U174" i="15"/>
  <c r="I193" i="15"/>
  <c r="G48" i="17"/>
  <c r="J189" i="15"/>
  <c r="M192" i="15"/>
  <c r="D212" i="15"/>
  <c r="G224" i="15"/>
  <c r="Q73" i="17"/>
  <c r="O73" i="17"/>
  <c r="U39" i="33"/>
  <c r="V72" i="34"/>
  <c r="V179" i="17"/>
  <c r="F22" i="33"/>
  <c r="F173" i="17"/>
  <c r="L173" i="17"/>
  <c r="D173" i="17"/>
  <c r="O39" i="33"/>
  <c r="AC73" i="34"/>
  <c r="K32" i="34"/>
  <c r="E39" i="34"/>
  <c r="Y11" i="34"/>
  <c r="H12" i="34"/>
  <c r="AE12" i="34"/>
  <c r="I11" i="46"/>
  <c r="G202" i="15"/>
  <c r="AI12" i="46"/>
  <c r="Y12" i="46"/>
  <c r="L21" i="17"/>
  <c r="J20" i="17"/>
  <c r="AA73" i="34"/>
  <c r="AI39" i="34"/>
  <c r="L7" i="34"/>
  <c r="L12" i="34"/>
  <c r="AH73" i="34"/>
  <c r="C18" i="46"/>
  <c r="D18" i="46"/>
  <c r="F18" i="46"/>
  <c r="Y18" i="46"/>
  <c r="J14" i="17"/>
  <c r="K14" i="17"/>
  <c r="I14" i="17"/>
  <c r="F14" i="17"/>
  <c r="F36" i="46"/>
  <c r="C9" i="46"/>
  <c r="D9" i="46"/>
  <c r="E9" i="46"/>
  <c r="Z9" i="46" s="1"/>
  <c r="J73" i="17"/>
  <c r="AC47" i="46"/>
  <c r="AL47" i="46"/>
  <c r="X16" i="17"/>
  <c r="I149" i="17"/>
  <c r="J149" i="17"/>
  <c r="O149" i="17"/>
  <c r="H149" i="17"/>
  <c r="G149" i="17"/>
  <c r="N9" i="33"/>
  <c r="Q23" i="33"/>
  <c r="AG73" i="34"/>
  <c r="Z40" i="34"/>
  <c r="N68" i="34"/>
  <c r="W39" i="34"/>
  <c r="AD40" i="34"/>
  <c r="AF56" i="34"/>
  <c r="O8" i="34"/>
  <c r="P12" i="34"/>
  <c r="AG12" i="34"/>
  <c r="I4" i="34"/>
  <c r="L3" i="34"/>
  <c r="AJ45" i="17"/>
  <c r="AA45" i="17"/>
  <c r="AB45" i="17"/>
  <c r="F207" i="15"/>
  <c r="L207" i="15"/>
  <c r="T18" i="33"/>
  <c r="D18" i="33"/>
  <c r="Q18" i="33"/>
  <c r="G18" i="33"/>
  <c r="M18" i="33"/>
  <c r="E18" i="33"/>
  <c r="AE26" i="34"/>
  <c r="U26" i="34"/>
  <c r="AD26" i="34"/>
  <c r="AB26" i="34"/>
  <c r="AA25" i="34"/>
  <c r="AI26" i="34"/>
  <c r="AA26" i="34"/>
  <c r="AB25" i="34"/>
  <c r="Z26" i="34"/>
  <c r="V25" i="34"/>
  <c r="Y25" i="34"/>
  <c r="U25" i="34"/>
  <c r="E25" i="34"/>
  <c r="K94" i="34"/>
  <c r="AF95" i="34"/>
  <c r="AG94" i="34"/>
  <c r="Y95" i="34"/>
  <c r="AB95" i="34"/>
  <c r="W95" i="34"/>
  <c r="X94" i="34"/>
  <c r="M95" i="34"/>
  <c r="L95" i="34"/>
  <c r="AD95" i="34"/>
  <c r="AI95" i="34"/>
  <c r="K95" i="34"/>
  <c r="E95" i="34"/>
  <c r="AH94" i="34"/>
  <c r="Q94" i="34"/>
  <c r="N94" i="34"/>
  <c r="AI94" i="34"/>
  <c r="AC95" i="34"/>
  <c r="I94" i="34"/>
  <c r="F94" i="34"/>
  <c r="AG95" i="34"/>
  <c r="Z95" i="34"/>
  <c r="AB94" i="34"/>
  <c r="AC94" i="34"/>
  <c r="F95" i="34"/>
  <c r="U94" i="34"/>
  <c r="P94" i="34"/>
  <c r="Z94" i="34"/>
  <c r="Y94" i="34"/>
  <c r="AJ95" i="34" s="1"/>
  <c r="O94" i="34"/>
  <c r="V95" i="34"/>
  <c r="O95" i="34"/>
  <c r="P95" i="34"/>
  <c r="G94" i="34"/>
  <c r="AF17" i="17"/>
  <c r="X17" i="17"/>
  <c r="U63" i="17"/>
  <c r="F186" i="15"/>
  <c r="V44" i="46"/>
  <c r="F7" i="46"/>
  <c r="S7" i="46" s="1"/>
  <c r="V45" i="46"/>
  <c r="K10" i="33"/>
  <c r="D22" i="33"/>
  <c r="V156" i="17"/>
  <c r="AF72" i="34"/>
  <c r="Q32" i="34"/>
  <c r="E31" i="34"/>
  <c r="G69" i="34"/>
  <c r="R40" i="34"/>
  <c r="Z39" i="34"/>
  <c r="H68" i="34"/>
  <c r="AC9" i="34"/>
  <c r="AG39" i="34"/>
  <c r="L39" i="34"/>
  <c r="AH34" i="34"/>
  <c r="I11" i="34"/>
  <c r="M4" i="34"/>
  <c r="N4" i="34"/>
  <c r="R23" i="17"/>
  <c r="N23" i="17"/>
  <c r="C85" i="17"/>
  <c r="C62" i="17"/>
  <c r="C39" i="17"/>
  <c r="C115" i="17"/>
  <c r="U87" i="17"/>
  <c r="AK18" i="17"/>
  <c r="X18" i="17"/>
  <c r="AE18" i="17"/>
  <c r="AI18" i="17"/>
  <c r="Z18" i="17"/>
  <c r="AH18" i="17"/>
  <c r="U64" i="17"/>
  <c r="Z64" i="17" s="1"/>
  <c r="B43" i="17"/>
  <c r="D43" i="17" s="1"/>
  <c r="E20" i="17"/>
  <c r="P20" i="17"/>
  <c r="R20" i="17"/>
  <c r="G45" i="46"/>
  <c r="P45" i="46"/>
  <c r="J10" i="33"/>
  <c r="U11" i="34"/>
  <c r="Q22" i="33"/>
  <c r="V184" i="17"/>
  <c r="J68" i="34"/>
  <c r="I32" i="34"/>
  <c r="X32" i="34"/>
  <c r="O20" i="17"/>
  <c r="L69" i="34"/>
  <c r="N40" i="34"/>
  <c r="AD69" i="34"/>
  <c r="W10" i="34"/>
  <c r="W69" i="34"/>
  <c r="AC40" i="34"/>
  <c r="Q11" i="34"/>
  <c r="Q4" i="34"/>
  <c r="R38" i="34"/>
  <c r="E226" i="15"/>
  <c r="I226" i="15" s="1"/>
  <c r="K228" i="15"/>
  <c r="Q72" i="34"/>
  <c r="V73" i="34"/>
  <c r="U72" i="34"/>
  <c r="AE72" i="34"/>
  <c r="U73" i="34"/>
  <c r="L73" i="34"/>
  <c r="AB73" i="34"/>
  <c r="F73" i="34"/>
  <c r="O73" i="34"/>
  <c r="F25" i="46"/>
  <c r="T25" i="46" s="1"/>
  <c r="E25" i="46"/>
  <c r="C28" i="46"/>
  <c r="K28" i="46" s="1"/>
  <c r="Q28" i="46" s="1"/>
  <c r="D28" i="46"/>
  <c r="AB208" i="15"/>
  <c r="X208" i="15"/>
  <c r="V85" i="17"/>
  <c r="D231" i="15"/>
  <c r="H231" i="15"/>
  <c r="AD86" i="34"/>
  <c r="AA86" i="34"/>
  <c r="F10" i="33"/>
  <c r="X12" i="34"/>
  <c r="I40" i="34"/>
  <c r="AE44" i="17"/>
  <c r="AJ44" i="17"/>
  <c r="Z44" i="17"/>
  <c r="U39" i="34"/>
  <c r="I189" i="15"/>
  <c r="Z19" i="46"/>
  <c r="Y44" i="17"/>
  <c r="Y19" i="46"/>
  <c r="N21" i="17"/>
  <c r="T29" i="46"/>
  <c r="AG19" i="17"/>
  <c r="AE67" i="17"/>
  <c r="E186" i="15"/>
  <c r="I10" i="46" s="1"/>
  <c r="F73" i="17"/>
  <c r="Q149" i="17"/>
  <c r="R45" i="46"/>
  <c r="AK9" i="17"/>
  <c r="U45" i="46"/>
  <c r="V22" i="33"/>
  <c r="O22" i="33"/>
  <c r="N23" i="33"/>
  <c r="I48" i="33"/>
  <c r="O72" i="34"/>
  <c r="R31" i="34"/>
  <c r="D21" i="17"/>
  <c r="P69" i="34"/>
  <c r="J40" i="34"/>
  <c r="AH68" i="34"/>
  <c r="K12" i="34"/>
  <c r="W4" i="34"/>
  <c r="F38" i="34"/>
  <c r="AC6" i="46"/>
  <c r="C29" i="46"/>
  <c r="F29" i="46"/>
  <c r="W34" i="33" s="1"/>
  <c r="X34" i="33" s="1"/>
  <c r="E29" i="46"/>
  <c r="AI29" i="46" s="1"/>
  <c r="H67" i="17"/>
  <c r="G67" i="17"/>
  <c r="J67" i="17"/>
  <c r="L67" i="17"/>
  <c r="O67" i="17"/>
  <c r="Q67" i="17"/>
  <c r="I67" i="17"/>
  <c r="U49" i="33"/>
  <c r="L49" i="33"/>
  <c r="E49" i="33"/>
  <c r="I49" i="33"/>
  <c r="V49" i="33"/>
  <c r="M49" i="33"/>
  <c r="Q49" i="33"/>
  <c r="O49" i="33"/>
  <c r="H49" i="33"/>
  <c r="T49" i="33"/>
  <c r="J49" i="33"/>
  <c r="N49" i="33"/>
  <c r="F49" i="33"/>
  <c r="K49" i="33"/>
  <c r="D49" i="33"/>
  <c r="V11" i="34"/>
  <c r="N10" i="33"/>
  <c r="O10" i="33"/>
  <c r="L10" i="33"/>
  <c r="I10" i="33"/>
  <c r="D10" i="33"/>
  <c r="E10" i="33"/>
  <c r="U10" i="33"/>
  <c r="H10" i="33"/>
  <c r="Q10" i="33"/>
  <c r="O86" i="34"/>
  <c r="X5" i="34"/>
  <c r="AF5" i="34"/>
  <c r="E5" i="34"/>
  <c r="AE5" i="34"/>
  <c r="I5" i="34"/>
  <c r="V229" i="15"/>
  <c r="X229" i="15"/>
  <c r="Y229" i="15"/>
  <c r="L73" i="17"/>
  <c r="AB174" i="15"/>
  <c r="AA184" i="15"/>
  <c r="W184" i="15"/>
  <c r="M186" i="15"/>
  <c r="H186" i="15"/>
  <c r="AJ67" i="17"/>
  <c r="I186" i="15"/>
  <c r="F67" i="17"/>
  <c r="I43" i="46"/>
  <c r="K183" i="15"/>
  <c r="G186" i="15"/>
  <c r="E231" i="15"/>
  <c r="I25" i="46" s="1"/>
  <c r="U176" i="15"/>
  <c r="AB176" i="15" s="1"/>
  <c r="L149" i="17"/>
  <c r="F149" i="17"/>
  <c r="T45" i="46"/>
  <c r="D29" i="46"/>
  <c r="AH29" i="46" s="1"/>
  <c r="AG45" i="46"/>
  <c r="V10" i="33"/>
  <c r="V7" i="33"/>
  <c r="U32" i="34"/>
  <c r="P10" i="33"/>
  <c r="V12" i="34"/>
  <c r="H22" i="33"/>
  <c r="J87" i="34"/>
  <c r="K72" i="34"/>
  <c r="AF31" i="34"/>
  <c r="F40" i="34"/>
  <c r="N6" i="34"/>
  <c r="AG68" i="34"/>
  <c r="AJ69" i="34" s="1"/>
  <c r="J11" i="34"/>
  <c r="J6" i="34"/>
  <c r="AF11" i="34"/>
  <c r="R57" i="34"/>
  <c r="AC57" i="34"/>
  <c r="N57" i="34"/>
  <c r="AB57" i="34"/>
  <c r="O57" i="34"/>
  <c r="P56" i="34"/>
  <c r="V57" i="34"/>
  <c r="C10" i="46"/>
  <c r="P10" i="46" s="1"/>
  <c r="V10" i="46"/>
  <c r="AD10" i="34"/>
  <c r="AA10" i="34"/>
  <c r="D67" i="17"/>
  <c r="R21" i="17"/>
  <c r="V138" i="17"/>
  <c r="AH7" i="46"/>
  <c r="U177" i="15"/>
  <c r="I29" i="46" s="1"/>
  <c r="K186" i="15"/>
  <c r="W229" i="15"/>
  <c r="AC44" i="17"/>
  <c r="W44" i="17"/>
  <c r="AC32" i="46"/>
  <c r="Z229" i="15"/>
  <c r="T32" i="46"/>
  <c r="Z180" i="15"/>
  <c r="AH44" i="17"/>
  <c r="H183" i="15"/>
  <c r="G192" i="15"/>
  <c r="U179" i="15"/>
  <c r="Y179" i="15" s="1"/>
  <c r="E184" i="15"/>
  <c r="J184" i="15" s="1"/>
  <c r="H73" i="17"/>
  <c r="AC45" i="46"/>
  <c r="AD18" i="17"/>
  <c r="V32" i="34"/>
  <c r="AE31" i="34"/>
  <c r="Y3" i="34"/>
  <c r="N22" i="33"/>
  <c r="AB69" i="34"/>
  <c r="M5" i="34"/>
  <c r="AC69" i="34"/>
  <c r="H39" i="34"/>
  <c r="M8" i="33"/>
  <c r="AG33" i="34"/>
  <c r="Q37" i="34"/>
  <c r="AG38" i="34"/>
  <c r="AI11" i="34"/>
  <c r="J5" i="33"/>
  <c r="AH67" i="34"/>
  <c r="K67" i="34"/>
  <c r="R67" i="34"/>
  <c r="AC82" i="34"/>
  <c r="I36" i="46"/>
  <c r="V67" i="34"/>
  <c r="O5" i="33"/>
  <c r="G82" i="34"/>
  <c r="AC67" i="34"/>
  <c r="R66" i="34"/>
  <c r="AA66" i="34"/>
  <c r="L82" i="34"/>
  <c r="AA82" i="34"/>
  <c r="AH83" i="34"/>
  <c r="Y82" i="34"/>
  <c r="U5" i="33"/>
  <c r="V66" i="34"/>
  <c r="I5" i="33"/>
  <c r="F5" i="33"/>
  <c r="N21" i="33"/>
  <c r="G83" i="34"/>
  <c r="X66" i="34"/>
  <c r="AI67" i="34"/>
  <c r="J82" i="34"/>
  <c r="R83" i="34"/>
  <c r="AF83" i="34"/>
  <c r="AB82" i="34"/>
  <c r="X82" i="34"/>
  <c r="AJ83" i="34" s="1"/>
  <c r="E66" i="34"/>
  <c r="F22" i="46"/>
  <c r="S22" i="46" s="1"/>
  <c r="V5" i="33"/>
  <c r="P5" i="33"/>
  <c r="L5" i="33"/>
  <c r="E21" i="33"/>
  <c r="N67" i="34"/>
  <c r="Z67" i="34"/>
  <c r="O82" i="34"/>
  <c r="AG82" i="34"/>
  <c r="X83" i="34"/>
  <c r="I82" i="34"/>
  <c r="AF82" i="34"/>
  <c r="D5" i="33"/>
  <c r="E5" i="33"/>
  <c r="AE66" i="34"/>
  <c r="AJ67" i="34" s="1"/>
  <c r="J66" i="34"/>
  <c r="J67" i="34"/>
  <c r="E83" i="34"/>
  <c r="AE82" i="34"/>
  <c r="L67" i="34"/>
  <c r="AH82" i="34"/>
  <c r="I45" i="46"/>
  <c r="D22" i="46"/>
  <c r="AH22" i="46" s="1"/>
  <c r="K21" i="33"/>
  <c r="AC66" i="34"/>
  <c r="AI66" i="34"/>
  <c r="P66" i="34"/>
  <c r="O66" i="34"/>
  <c r="K83" i="34"/>
  <c r="I6" i="46"/>
  <c r="W197" i="15"/>
  <c r="AL19" i="46"/>
  <c r="K22" i="46"/>
  <c r="Q22" i="46" s="1"/>
  <c r="Y66" i="34"/>
  <c r="AG67" i="34"/>
  <c r="F66" i="34"/>
  <c r="O83" i="34"/>
  <c r="K82" i="34"/>
  <c r="AE83" i="34"/>
  <c r="Q66" i="34"/>
  <c r="C72" i="17"/>
  <c r="Y197" i="15"/>
  <c r="AG22" i="46"/>
  <c r="E22" i="46"/>
  <c r="AI22" i="46" s="1"/>
  <c r="M21" i="33"/>
  <c r="Q67" i="34"/>
  <c r="AF66" i="34"/>
  <c r="G67" i="34"/>
  <c r="J83" i="34"/>
  <c r="N82" i="34"/>
  <c r="Q83" i="34"/>
  <c r="AJ150" i="17"/>
  <c r="AH150" i="17"/>
  <c r="AG21" i="46"/>
  <c r="F21" i="34"/>
  <c r="Z22" i="34"/>
  <c r="Y28" i="17"/>
  <c r="V190" i="15"/>
  <c r="Z207" i="15"/>
  <c r="V204" i="15"/>
  <c r="W228" i="15"/>
  <c r="W63" i="17"/>
  <c r="AB63" i="17"/>
  <c r="AA69" i="17"/>
  <c r="D207" i="15"/>
  <c r="F216" i="15"/>
  <c r="M221" i="15"/>
  <c r="Y200" i="15"/>
  <c r="U203" i="15"/>
  <c r="AA203" i="15" s="1"/>
  <c r="N19" i="17"/>
  <c r="R47" i="46"/>
  <c r="F20" i="46"/>
  <c r="AL20" i="46" s="1"/>
  <c r="L23" i="46"/>
  <c r="M21" i="46"/>
  <c r="U21" i="34"/>
  <c r="AE13" i="17"/>
  <c r="J19" i="33"/>
  <c r="F19" i="33"/>
  <c r="AA81" i="34"/>
  <c r="AI21" i="34"/>
  <c r="I22" i="34"/>
  <c r="Y22" i="34"/>
  <c r="K64" i="34"/>
  <c r="AB28" i="17"/>
  <c r="D19" i="33"/>
  <c r="V22" i="34"/>
  <c r="Q22" i="34"/>
  <c r="P21" i="34"/>
  <c r="W127" i="17"/>
  <c r="V207" i="15"/>
  <c r="T204" i="15"/>
  <c r="AC208" i="15"/>
  <c r="AC228" i="15"/>
  <c r="Z38" i="46"/>
  <c r="I48" i="17"/>
  <c r="W69" i="17"/>
  <c r="H207" i="15"/>
  <c r="M216" i="15"/>
  <c r="E218" i="15"/>
  <c r="J218" i="15" s="1"/>
  <c r="AA200" i="15"/>
  <c r="U206" i="15"/>
  <c r="Z206" i="15" s="1"/>
  <c r="F44" i="46"/>
  <c r="P23" i="46"/>
  <c r="E21" i="46"/>
  <c r="J21" i="46"/>
  <c r="AC13" i="17"/>
  <c r="Q19" i="33"/>
  <c r="I15" i="33"/>
  <c r="AG22" i="34"/>
  <c r="R21" i="34"/>
  <c r="AB22" i="34"/>
  <c r="H19" i="33"/>
  <c r="AJ16" i="17"/>
  <c r="L22" i="34"/>
  <c r="AA22" i="34"/>
  <c r="P93" i="34"/>
  <c r="AC28" i="46"/>
  <c r="AC207" i="15"/>
  <c r="I44" i="46"/>
  <c r="U44" i="46"/>
  <c r="U202" i="15"/>
  <c r="Z202" i="15" s="1"/>
  <c r="Y63" i="17"/>
  <c r="J203" i="15"/>
  <c r="L212" i="15"/>
  <c r="L216" i="15"/>
  <c r="AA224" i="15"/>
  <c r="F172" i="15"/>
  <c r="K21" i="46"/>
  <c r="Q21" i="46" s="1"/>
  <c r="E28" i="46"/>
  <c r="AI28" i="46" s="1"/>
  <c r="AK28" i="17"/>
  <c r="AI28" i="17"/>
  <c r="D8" i="46"/>
  <c r="U22" i="34"/>
  <c r="V15" i="33"/>
  <c r="Y61" i="34"/>
  <c r="O21" i="34"/>
  <c r="M21" i="34"/>
  <c r="AF21" i="34"/>
  <c r="Z21" i="34"/>
  <c r="X21" i="34"/>
  <c r="AA28" i="17"/>
  <c r="U74" i="17"/>
  <c r="U111" i="17"/>
  <c r="AG111" i="17" s="1"/>
  <c r="L44" i="46"/>
  <c r="AH40" i="17"/>
  <c r="M172" i="15"/>
  <c r="E20" i="46"/>
  <c r="AI20" i="46" s="1"/>
  <c r="T15" i="33"/>
  <c r="U36" i="33"/>
  <c r="X14" i="17"/>
  <c r="P21" i="46"/>
  <c r="AK17" i="17"/>
  <c r="AI17" i="17"/>
  <c r="U77" i="34"/>
  <c r="K16" i="33"/>
  <c r="M16" i="33"/>
  <c r="P16" i="33"/>
  <c r="N61" i="34"/>
  <c r="H21" i="34"/>
  <c r="E21" i="34"/>
  <c r="AE22" i="34"/>
  <c r="Y21" i="34"/>
  <c r="V120" i="17"/>
  <c r="V143" i="17" s="1"/>
  <c r="W28" i="17"/>
  <c r="C55" i="17"/>
  <c r="AE40" i="17"/>
  <c r="I40" i="46"/>
  <c r="J216" i="15"/>
  <c r="AG44" i="46"/>
  <c r="T207" i="15"/>
  <c r="Z40" i="17"/>
  <c r="E219" i="15"/>
  <c r="I21" i="46" s="1"/>
  <c r="H216" i="15"/>
  <c r="AL17" i="46"/>
  <c r="AF14" i="17"/>
  <c r="U15" i="33"/>
  <c r="AI13" i="17"/>
  <c r="AE17" i="17"/>
  <c r="T16" i="33"/>
  <c r="U76" i="34"/>
  <c r="V80" i="34"/>
  <c r="H15" i="33"/>
  <c r="D15" i="33"/>
  <c r="G19" i="33"/>
  <c r="D16" i="33"/>
  <c r="F61" i="34"/>
  <c r="G21" i="34"/>
  <c r="AF22" i="34"/>
  <c r="AD21" i="34"/>
  <c r="V40" i="17"/>
  <c r="C32" i="17"/>
  <c r="U51" i="17"/>
  <c r="M19" i="17"/>
  <c r="K19" i="17"/>
  <c r="Y207" i="15"/>
  <c r="AC44" i="46"/>
  <c r="U207" i="15"/>
  <c r="I39" i="46" s="1"/>
  <c r="V228" i="15"/>
  <c r="Z8" i="46"/>
  <c r="AJ69" i="17"/>
  <c r="Z63" i="17"/>
  <c r="AB69" i="17"/>
  <c r="D219" i="15"/>
  <c r="AG127" i="17"/>
  <c r="U227" i="15"/>
  <c r="Z227" i="15" s="1"/>
  <c r="F28" i="46"/>
  <c r="R28" i="46" s="1"/>
  <c r="AK14" i="17"/>
  <c r="AD28" i="17"/>
  <c r="V77" i="34"/>
  <c r="L15" i="33"/>
  <c r="N15" i="33"/>
  <c r="N19" i="33"/>
  <c r="H36" i="33"/>
  <c r="F16" i="33"/>
  <c r="O18" i="17"/>
  <c r="G60" i="34"/>
  <c r="O22" i="34"/>
  <c r="K22" i="34"/>
  <c r="P22" i="34"/>
  <c r="C108" i="17"/>
  <c r="AI8" i="46"/>
  <c r="T228" i="15"/>
  <c r="F219" i="15"/>
  <c r="K20" i="46"/>
  <c r="Q20" i="46" s="1"/>
  <c r="R19" i="17"/>
  <c r="D21" i="46"/>
  <c r="W21" i="46" s="1"/>
  <c r="O19" i="33"/>
  <c r="M19" i="33"/>
  <c r="K19" i="33"/>
  <c r="W21" i="34"/>
  <c r="L21" i="34"/>
  <c r="H22" i="34"/>
  <c r="F19" i="17"/>
  <c r="W65" i="34"/>
  <c r="AC204" i="15"/>
  <c r="AE21" i="34"/>
  <c r="X204" i="15"/>
  <c r="AA40" i="17"/>
  <c r="AH69" i="17"/>
  <c r="AA207" i="15"/>
  <c r="L48" i="17"/>
  <c r="J219" i="15"/>
  <c r="F21" i="46"/>
  <c r="U20" i="46"/>
  <c r="R18" i="17"/>
  <c r="V81" i="34"/>
  <c r="V19" i="33"/>
  <c r="J15" i="33"/>
  <c r="N22" i="34"/>
  <c r="R22" i="34"/>
  <c r="Q21" i="34"/>
  <c r="G28" i="34"/>
  <c r="O64" i="34"/>
  <c r="AG17" i="17"/>
  <c r="J48" i="17"/>
  <c r="Z69" i="17"/>
  <c r="K219" i="15"/>
  <c r="H184" i="15"/>
  <c r="O48" i="17"/>
  <c r="E214" i="15"/>
  <c r="F214" i="15" s="1"/>
  <c r="U19" i="33"/>
  <c r="V20" i="46"/>
  <c r="U81" i="34"/>
  <c r="Q16" i="33"/>
  <c r="G16" i="33"/>
  <c r="H16" i="33"/>
  <c r="AB80" i="34"/>
  <c r="W22" i="34"/>
  <c r="J22" i="34"/>
  <c r="I21" i="34"/>
  <c r="B65" i="17"/>
  <c r="F65" i="17" s="1"/>
  <c r="AF65" i="34"/>
  <c r="AH28" i="17"/>
  <c r="V21" i="46"/>
  <c r="L16" i="33"/>
  <c r="AB204" i="15"/>
  <c r="Y40" i="17"/>
  <c r="H48" i="17"/>
  <c r="AG14" i="17"/>
  <c r="AA204" i="15"/>
  <c r="U228" i="15"/>
  <c r="I46" i="46" s="1"/>
  <c r="F48" i="17"/>
  <c r="G219" i="15"/>
  <c r="S44" i="46"/>
  <c r="M184" i="15"/>
  <c r="E217" i="15"/>
  <c r="G217" i="15" s="1"/>
  <c r="Z28" i="46"/>
  <c r="AG20" i="46"/>
  <c r="M20" i="46"/>
  <c r="D44" i="46"/>
  <c r="AH44" i="46" s="1"/>
  <c r="H23" i="46"/>
  <c r="U80" i="34"/>
  <c r="E15" i="33"/>
  <c r="O16" i="33"/>
  <c r="AE28" i="17"/>
  <c r="AD81" i="34"/>
  <c r="G22" i="34"/>
  <c r="K21" i="34"/>
  <c r="AH22" i="34"/>
  <c r="N93" i="34"/>
  <c r="I16" i="33"/>
  <c r="AC64" i="34"/>
  <c r="Z28" i="17"/>
  <c r="U97" i="17"/>
  <c r="Q48" i="17"/>
  <c r="I28" i="46"/>
  <c r="AB190" i="15"/>
  <c r="X228" i="15"/>
  <c r="J44" i="46"/>
  <c r="AE63" i="17"/>
  <c r="R29" i="46"/>
  <c r="H44" i="46"/>
  <c r="Y195" i="15"/>
  <c r="AC190" i="15"/>
  <c r="U204" i="15"/>
  <c r="I38" i="46" s="1"/>
  <c r="Z228" i="15"/>
  <c r="AC63" i="17"/>
  <c r="M219" i="15"/>
  <c r="F221" i="15"/>
  <c r="X197" i="15"/>
  <c r="G19" i="46"/>
  <c r="P20" i="46"/>
  <c r="L20" i="46"/>
  <c r="D20" i="46"/>
  <c r="O15" i="33"/>
  <c r="AC28" i="17"/>
  <c r="E16" i="33"/>
  <c r="L80" i="34"/>
  <c r="N16" i="33"/>
  <c r="M22" i="34"/>
  <c r="AI22" i="34"/>
  <c r="AG21" i="34"/>
  <c r="AE64" i="34"/>
  <c r="AB127" i="17"/>
  <c r="V21" i="34"/>
  <c r="AH21" i="34"/>
  <c r="AE69" i="17"/>
  <c r="Q39" i="17"/>
  <c r="AA228" i="15"/>
  <c r="AC40" i="17"/>
  <c r="AH28" i="46"/>
  <c r="T195" i="15"/>
  <c r="W204" i="15"/>
  <c r="Y228" i="15"/>
  <c r="L219" i="15"/>
  <c r="AB200" i="15"/>
  <c r="V23" i="46"/>
  <c r="U23" i="46"/>
  <c r="F8" i="46"/>
  <c r="AC8" i="46" s="1"/>
  <c r="V16" i="33"/>
  <c r="G15" i="33"/>
  <c r="R76" i="34"/>
  <c r="AE80" i="34"/>
  <c r="E22" i="34"/>
  <c r="AD22" i="34"/>
  <c r="AA21" i="34"/>
  <c r="H77" i="34"/>
  <c r="V67" i="17"/>
  <c r="AA127" i="17"/>
  <c r="D216" i="15"/>
  <c r="E215" i="15"/>
  <c r="L215" i="15" s="1"/>
  <c r="AA190" i="15"/>
  <c r="Y8" i="46"/>
  <c r="P44" i="46"/>
  <c r="R8" i="46"/>
  <c r="M44" i="46"/>
  <c r="K44" i="46"/>
  <c r="Q44" i="46" s="1"/>
  <c r="V195" i="15"/>
  <c r="T200" i="15"/>
  <c r="AL10" i="46"/>
  <c r="W10" i="33"/>
  <c r="X10" i="33" s="1"/>
  <c r="M23" i="46"/>
  <c r="J23" i="46"/>
  <c r="AF28" i="17"/>
  <c r="L21" i="46"/>
  <c r="E44" i="46"/>
  <c r="AI44" i="46" s="1"/>
  <c r="K15" i="33"/>
  <c r="I77" i="34"/>
  <c r="AH81" i="34"/>
  <c r="F22" i="34"/>
  <c r="N21" i="34"/>
  <c r="AC21" i="34"/>
  <c r="Q76" i="34"/>
  <c r="X92" i="34"/>
  <c r="Z127" i="17"/>
  <c r="U216" i="15"/>
  <c r="I42" i="46" s="1"/>
  <c r="H209" i="15"/>
  <c r="E227" i="15"/>
  <c r="K227" i="15" s="1"/>
  <c r="G38" i="46"/>
  <c r="AL37" i="46"/>
  <c r="T37" i="46"/>
  <c r="AC37" i="46"/>
  <c r="S37" i="46"/>
  <c r="K35" i="33"/>
  <c r="U35" i="33"/>
  <c r="L35" i="33"/>
  <c r="X115" i="17"/>
  <c r="AA115" i="17"/>
  <c r="AK115" i="17"/>
  <c r="W115" i="17"/>
  <c r="AF115" i="17"/>
  <c r="AB115" i="17"/>
  <c r="AD115" i="17"/>
  <c r="Y115" i="17"/>
  <c r="AG115" i="17"/>
  <c r="O9" i="17"/>
  <c r="P9" i="17"/>
  <c r="R9" i="17"/>
  <c r="H9" i="17"/>
  <c r="F172" i="17"/>
  <c r="O172" i="17"/>
  <c r="G172" i="17"/>
  <c r="I172" i="17"/>
  <c r="L172" i="17"/>
  <c r="Q172" i="17"/>
  <c r="Y196" i="15"/>
  <c r="R18" i="46"/>
  <c r="T18" i="46"/>
  <c r="AC18" i="46"/>
  <c r="G18" i="46"/>
  <c r="W16" i="33"/>
  <c r="X16" i="33" s="1"/>
  <c r="S18" i="46"/>
  <c r="C56" i="17"/>
  <c r="U50" i="33"/>
  <c r="E50" i="33"/>
  <c r="J50" i="33"/>
  <c r="O50" i="33"/>
  <c r="AG74" i="34"/>
  <c r="AC74" i="34"/>
  <c r="AD74" i="34"/>
  <c r="Z74" i="34"/>
  <c r="E74" i="34"/>
  <c r="E75" i="34"/>
  <c r="R74" i="34"/>
  <c r="N75" i="34"/>
  <c r="AA75" i="34"/>
  <c r="Q75" i="34"/>
  <c r="H75" i="34"/>
  <c r="K59" i="34"/>
  <c r="AC59" i="34"/>
  <c r="H58" i="34"/>
  <c r="AE59" i="34"/>
  <c r="U58" i="34"/>
  <c r="AB59" i="34"/>
  <c r="Z58" i="34"/>
  <c r="Y59" i="34"/>
  <c r="K58" i="34"/>
  <c r="V59" i="34"/>
  <c r="M59" i="34"/>
  <c r="U59" i="34"/>
  <c r="P58" i="34"/>
  <c r="F59" i="34"/>
  <c r="AD58" i="34"/>
  <c r="O59" i="34"/>
  <c r="V58" i="34"/>
  <c r="M58" i="34"/>
  <c r="AG58" i="34"/>
  <c r="I59" i="34"/>
  <c r="AJ9" i="17"/>
  <c r="AD9" i="17"/>
  <c r="Y9" i="17"/>
  <c r="AB9" i="17"/>
  <c r="U55" i="17"/>
  <c r="AF9" i="17"/>
  <c r="U32" i="17"/>
  <c r="X9" i="17"/>
  <c r="AI9" i="17"/>
  <c r="AA9" i="17"/>
  <c r="AC9" i="17"/>
  <c r="AH9" i="17"/>
  <c r="Z9" i="17"/>
  <c r="AE9" i="17"/>
  <c r="D180" i="15"/>
  <c r="E180" i="15"/>
  <c r="I8" i="46" s="1"/>
  <c r="G180" i="15"/>
  <c r="J180" i="15"/>
  <c r="H180" i="15"/>
  <c r="E178" i="15"/>
  <c r="L178" i="15" s="1"/>
  <c r="E228" i="15"/>
  <c r="L228" i="15"/>
  <c r="D228" i="15"/>
  <c r="H228" i="15"/>
  <c r="J228" i="15"/>
  <c r="T216" i="15"/>
  <c r="W216" i="15"/>
  <c r="AB216" i="15"/>
  <c r="AA216" i="15"/>
  <c r="G14" i="34"/>
  <c r="AD14" i="34"/>
  <c r="O13" i="34"/>
  <c r="AE13" i="34"/>
  <c r="P14" i="34"/>
  <c r="Y13" i="34"/>
  <c r="AG13" i="34"/>
  <c r="E14" i="34"/>
  <c r="Z13" i="34"/>
  <c r="W13" i="34"/>
  <c r="AB14" i="34"/>
  <c r="N13" i="34"/>
  <c r="O89" i="34"/>
  <c r="AC88" i="34"/>
  <c r="X88" i="34"/>
  <c r="Z88" i="34"/>
  <c r="W88" i="34"/>
  <c r="G88" i="34"/>
  <c r="V88" i="34"/>
  <c r="E89" i="34"/>
  <c r="R88" i="34"/>
  <c r="AC89" i="34"/>
  <c r="L88" i="34"/>
  <c r="F42" i="33"/>
  <c r="L42" i="33"/>
  <c r="V42" i="33"/>
  <c r="G42" i="33"/>
  <c r="M42" i="33"/>
  <c r="AC216" i="15"/>
  <c r="K180" i="15"/>
  <c r="Z230" i="15"/>
  <c r="X230" i="15"/>
  <c r="C114" i="17"/>
  <c r="C38" i="17"/>
  <c r="C61" i="17"/>
  <c r="C84" i="17"/>
  <c r="F183" i="15"/>
  <c r="G183" i="15"/>
  <c r="D183" i="15"/>
  <c r="E181" i="15"/>
  <c r="K181" i="15" s="1"/>
  <c r="J183" i="15"/>
  <c r="L183" i="15"/>
  <c r="E230" i="15"/>
  <c r="H230" i="15" s="1"/>
  <c r="J231" i="15"/>
  <c r="M231" i="15"/>
  <c r="L231" i="15"/>
  <c r="K231" i="15"/>
  <c r="E229" i="15"/>
  <c r="F229" i="15" s="1"/>
  <c r="I231" i="15"/>
  <c r="F11" i="33"/>
  <c r="N11" i="33"/>
  <c r="J11" i="33"/>
  <c r="J41" i="34"/>
  <c r="AI42" i="34"/>
  <c r="W42" i="34"/>
  <c r="V41" i="34"/>
  <c r="U41" i="34"/>
  <c r="AA56" i="34"/>
  <c r="R56" i="34"/>
  <c r="AG57" i="34"/>
  <c r="N56" i="34"/>
  <c r="P57" i="34"/>
  <c r="L57" i="34"/>
  <c r="H56" i="34"/>
  <c r="AD57" i="34"/>
  <c r="W56" i="34"/>
  <c r="X56" i="34"/>
  <c r="F57" i="34"/>
  <c r="M56" i="34"/>
  <c r="I57" i="34"/>
  <c r="Z56" i="34"/>
  <c r="AE56" i="34"/>
  <c r="M57" i="34"/>
  <c r="J57" i="34"/>
  <c r="Q56" i="34"/>
  <c r="X57" i="34"/>
  <c r="AF57" i="34"/>
  <c r="AB56" i="34"/>
  <c r="J56" i="34"/>
  <c r="K56" i="34"/>
  <c r="AH57" i="34"/>
  <c r="AI56" i="34"/>
  <c r="H57" i="34"/>
  <c r="AI57" i="34"/>
  <c r="I56" i="34"/>
  <c r="W57" i="34"/>
  <c r="U56" i="34"/>
  <c r="F56" i="34"/>
  <c r="G57" i="34"/>
  <c r="U57" i="34"/>
  <c r="Z57" i="34"/>
  <c r="E57" i="34"/>
  <c r="AE57" i="34"/>
  <c r="E56" i="34"/>
  <c r="AC56" i="34"/>
  <c r="Y57" i="34"/>
  <c r="O56" i="34"/>
  <c r="V56" i="34"/>
  <c r="X13" i="17"/>
  <c r="AB13" i="17"/>
  <c r="AK13" i="17"/>
  <c r="Y13" i="17"/>
  <c r="AD13" i="17"/>
  <c r="AF13" i="17"/>
  <c r="B117" i="17"/>
  <c r="J18" i="17"/>
  <c r="I18" i="17"/>
  <c r="E18" i="17"/>
  <c r="N18" i="17"/>
  <c r="G18" i="17"/>
  <c r="K18" i="17"/>
  <c r="B41" i="17"/>
  <c r="D18" i="17"/>
  <c r="F18" i="17"/>
  <c r="B64" i="17"/>
  <c r="P18" i="17"/>
  <c r="M18" i="17"/>
  <c r="W14" i="33"/>
  <c r="X14" i="33" s="1"/>
  <c r="T16" i="46"/>
  <c r="AC16" i="46"/>
  <c r="R16" i="46"/>
  <c r="Y216" i="15"/>
  <c r="M180" i="15"/>
  <c r="AA182" i="15"/>
  <c r="AC182" i="15"/>
  <c r="X12" i="46"/>
  <c r="AA12" i="46"/>
  <c r="V13" i="34"/>
  <c r="D71" i="17"/>
  <c r="H71" i="17"/>
  <c r="J71" i="17"/>
  <c r="L71" i="17"/>
  <c r="I71" i="17"/>
  <c r="Q71" i="17"/>
  <c r="F71" i="17"/>
  <c r="C37" i="17"/>
  <c r="C83" i="17"/>
  <c r="C113" i="17"/>
  <c r="H9" i="34"/>
  <c r="AI9" i="34"/>
  <c r="AG10" i="34"/>
  <c r="Y9" i="34"/>
  <c r="V9" i="34"/>
  <c r="L10" i="34"/>
  <c r="G9" i="34"/>
  <c r="AF10" i="34"/>
  <c r="Y10" i="34"/>
  <c r="AA9" i="34"/>
  <c r="L9" i="34"/>
  <c r="K9" i="34"/>
  <c r="AF9" i="34"/>
  <c r="X10" i="34"/>
  <c r="R10" i="34"/>
  <c r="X9" i="34"/>
  <c r="O9" i="34"/>
  <c r="AB10" i="34"/>
  <c r="J10" i="34"/>
  <c r="Z10" i="34"/>
  <c r="G10" i="34"/>
  <c r="AB9" i="34"/>
  <c r="N10" i="34"/>
  <c r="R9" i="34"/>
  <c r="AE9" i="34"/>
  <c r="K10" i="34"/>
  <c r="AH10" i="34"/>
  <c r="J9" i="34"/>
  <c r="P10" i="34"/>
  <c r="F10" i="34"/>
  <c r="W9" i="34"/>
  <c r="E9" i="34"/>
  <c r="O10" i="34"/>
  <c r="AE10" i="34"/>
  <c r="P9" i="34"/>
  <c r="N9" i="34"/>
  <c r="I9" i="34"/>
  <c r="Z9" i="34"/>
  <c r="H10" i="34"/>
  <c r="F9" i="34"/>
  <c r="M9" i="34"/>
  <c r="V10" i="34"/>
  <c r="Q9" i="34"/>
  <c r="AI10" i="34"/>
  <c r="U10" i="34"/>
  <c r="E10" i="34"/>
  <c r="AG9" i="34"/>
  <c r="U9" i="34"/>
  <c r="Q10" i="34"/>
  <c r="AC10" i="34"/>
  <c r="AI86" i="34"/>
  <c r="AC86" i="34"/>
  <c r="K86" i="34"/>
  <c r="Y86" i="34"/>
  <c r="AB87" i="34"/>
  <c r="M87" i="34"/>
  <c r="L87" i="34"/>
  <c r="AH87" i="34"/>
  <c r="E87" i="34"/>
  <c r="M86" i="34"/>
  <c r="AA87" i="34"/>
  <c r="N86" i="34"/>
  <c r="E86" i="34"/>
  <c r="W87" i="34"/>
  <c r="X86" i="34"/>
  <c r="O87" i="34"/>
  <c r="P87" i="34"/>
  <c r="F86" i="34"/>
  <c r="K87" i="34"/>
  <c r="Z87" i="34"/>
  <c r="G87" i="34"/>
  <c r="Q87" i="34"/>
  <c r="AB86" i="34"/>
  <c r="AI87" i="34"/>
  <c r="Z86" i="34"/>
  <c r="I86" i="34"/>
  <c r="I87" i="34"/>
  <c r="V86" i="34"/>
  <c r="AG86" i="34"/>
  <c r="AE86" i="34"/>
  <c r="R86" i="34"/>
  <c r="AF86" i="34"/>
  <c r="AF87" i="34"/>
  <c r="AD87" i="34"/>
  <c r="V87" i="34"/>
  <c r="U86" i="34"/>
  <c r="X87" i="34"/>
  <c r="U87" i="34"/>
  <c r="Q86" i="34"/>
  <c r="AH86" i="34"/>
  <c r="F87" i="34"/>
  <c r="G86" i="34"/>
  <c r="R87" i="34"/>
  <c r="K41" i="33"/>
  <c r="I41" i="33"/>
  <c r="U41" i="33"/>
  <c r="L41" i="33"/>
  <c r="N41" i="33"/>
  <c r="T41" i="33"/>
  <c r="K33" i="33"/>
  <c r="H33" i="33"/>
  <c r="N33" i="33"/>
  <c r="N56" i="33" s="1"/>
  <c r="U33" i="33"/>
  <c r="T33" i="33"/>
  <c r="AJ27" i="17"/>
  <c r="AB27" i="17"/>
  <c r="AH27" i="17"/>
  <c r="AE27" i="17"/>
  <c r="U73" i="17"/>
  <c r="Z27" i="17"/>
  <c r="U50" i="17"/>
  <c r="AE50" i="17" s="1"/>
  <c r="W27" i="17"/>
  <c r="AA27" i="17"/>
  <c r="AK27" i="17"/>
  <c r="AC27" i="17"/>
  <c r="AI27" i="17"/>
  <c r="AF27" i="17"/>
  <c r="X27" i="17"/>
  <c r="AG27" i="17"/>
  <c r="G17" i="17"/>
  <c r="M17" i="17"/>
  <c r="L17" i="17"/>
  <c r="N17" i="17"/>
  <c r="K17" i="17"/>
  <c r="J17" i="17"/>
  <c r="O17" i="17"/>
  <c r="B63" i="17"/>
  <c r="H17" i="17"/>
  <c r="I17" i="17"/>
  <c r="B40" i="17"/>
  <c r="D17" i="17"/>
  <c r="P17" i="17"/>
  <c r="C39" i="46"/>
  <c r="AG39" i="46" s="1"/>
  <c r="X216" i="15"/>
  <c r="I180" i="15"/>
  <c r="C59" i="17"/>
  <c r="C112" i="17"/>
  <c r="C158" i="17" s="1"/>
  <c r="E187" i="15"/>
  <c r="M187" i="15" s="1"/>
  <c r="E188" i="15"/>
  <c r="D188" i="15" s="1"/>
  <c r="K189" i="15"/>
  <c r="G189" i="15"/>
  <c r="Y177" i="15"/>
  <c r="V177" i="15"/>
  <c r="AA177" i="15"/>
  <c r="T177" i="15"/>
  <c r="U175" i="15"/>
  <c r="W175" i="15" s="1"/>
  <c r="AB177" i="15"/>
  <c r="K9" i="33"/>
  <c r="U9" i="33"/>
  <c r="M9" i="33"/>
  <c r="G9" i="33"/>
  <c r="I9" i="33"/>
  <c r="P9" i="33"/>
  <c r="D9" i="33"/>
  <c r="O9" i="33"/>
  <c r="V9" i="33"/>
  <c r="Q9" i="33"/>
  <c r="T9" i="33"/>
  <c r="E9" i="33"/>
  <c r="Z37" i="34"/>
  <c r="P37" i="34"/>
  <c r="AF37" i="34"/>
  <c r="L38" i="34"/>
  <c r="L37" i="34"/>
  <c r="AG37" i="34"/>
  <c r="H38" i="34"/>
  <c r="V37" i="34"/>
  <c r="R37" i="34"/>
  <c r="AI38" i="34"/>
  <c r="N37" i="34"/>
  <c r="AH38" i="34"/>
  <c r="J37" i="34"/>
  <c r="AC37" i="34"/>
  <c r="AE38" i="34"/>
  <c r="W38" i="34"/>
  <c r="H37" i="34"/>
  <c r="F37" i="34"/>
  <c r="AE37" i="34"/>
  <c r="Y37" i="34"/>
  <c r="U38" i="34"/>
  <c r="N38" i="34"/>
  <c r="W37" i="34"/>
  <c r="AD37" i="34"/>
  <c r="Y38" i="34"/>
  <c r="V38" i="34"/>
  <c r="Q38" i="34"/>
  <c r="O38" i="34"/>
  <c r="AB37" i="34"/>
  <c r="AB38" i="34"/>
  <c r="U37" i="34"/>
  <c r="M38" i="34"/>
  <c r="K38" i="34"/>
  <c r="AA37" i="34"/>
  <c r="Z38" i="34"/>
  <c r="I38" i="34"/>
  <c r="G38" i="34"/>
  <c r="X37" i="34"/>
  <c r="X38" i="34"/>
  <c r="K37" i="34"/>
  <c r="I37" i="34"/>
  <c r="AD38" i="34"/>
  <c r="AA38" i="34"/>
  <c r="AH7" i="34"/>
  <c r="AI7" i="34"/>
  <c r="P8" i="34"/>
  <c r="G7" i="34"/>
  <c r="V8" i="34"/>
  <c r="P7" i="34"/>
  <c r="AG8" i="34"/>
  <c r="X8" i="34"/>
  <c r="K7" i="34"/>
  <c r="U8" i="34"/>
  <c r="Y8" i="34"/>
  <c r="AE8" i="34"/>
  <c r="O7" i="34"/>
  <c r="U7" i="34"/>
  <c r="K8" i="34"/>
  <c r="F7" i="34"/>
  <c r="F8" i="34"/>
  <c r="H7" i="34"/>
  <c r="J7" i="34"/>
  <c r="J8" i="34"/>
  <c r="AC8" i="34"/>
  <c r="AF7" i="34"/>
  <c r="N7" i="34"/>
  <c r="N8" i="34"/>
  <c r="G8" i="34"/>
  <c r="AC7" i="34"/>
  <c r="R7" i="34"/>
  <c r="R8" i="34"/>
  <c r="X7" i="34"/>
  <c r="AD7" i="34"/>
  <c r="E8" i="34"/>
  <c r="W7" i="34"/>
  <c r="AA7" i="34"/>
  <c r="AE7" i="34"/>
  <c r="I8" i="34"/>
  <c r="Y7" i="34"/>
  <c r="AI8" i="34"/>
  <c r="M8" i="34"/>
  <c r="AB8" i="34"/>
  <c r="E7" i="34"/>
  <c r="Q8" i="34"/>
  <c r="Z7" i="34"/>
  <c r="Q7" i="34"/>
  <c r="AF8" i="34"/>
  <c r="O48" i="33"/>
  <c r="U48" i="33"/>
  <c r="J48" i="33"/>
  <c r="N48" i="33"/>
  <c r="M48" i="33"/>
  <c r="E48" i="33"/>
  <c r="V48" i="33"/>
  <c r="D48" i="33"/>
  <c r="G48" i="33"/>
  <c r="H48" i="33"/>
  <c r="Q48" i="33"/>
  <c r="U125" i="17"/>
  <c r="AA125" i="17" s="1"/>
  <c r="U72" i="17"/>
  <c r="Z72" i="17" s="1"/>
  <c r="C38" i="46"/>
  <c r="P38" i="46" s="1"/>
  <c r="AC38" i="46"/>
  <c r="T38" i="46"/>
  <c r="D38" i="46"/>
  <c r="AJ38" i="46" s="1"/>
  <c r="R38" i="46"/>
  <c r="AL38" i="46"/>
  <c r="D147" i="17"/>
  <c r="F147" i="17"/>
  <c r="I147" i="17"/>
  <c r="J147" i="17"/>
  <c r="O147" i="17"/>
  <c r="L147" i="17"/>
  <c r="Q147" i="17"/>
  <c r="G147" i="17"/>
  <c r="H147" i="17"/>
  <c r="Z35" i="17"/>
  <c r="Y35" i="17"/>
  <c r="AC35" i="17"/>
  <c r="AA35" i="17"/>
  <c r="AB35" i="17"/>
  <c r="C134" i="17"/>
  <c r="C157" i="17"/>
  <c r="C180" i="17"/>
  <c r="H192" i="15"/>
  <c r="E190" i="15"/>
  <c r="G190" i="15" s="1"/>
  <c r="K192" i="15"/>
  <c r="L192" i="15"/>
  <c r="E192" i="15"/>
  <c r="I12" i="46" s="1"/>
  <c r="J192" i="15"/>
  <c r="W180" i="15"/>
  <c r="AB180" i="15"/>
  <c r="T180" i="15"/>
  <c r="AA180" i="15"/>
  <c r="V180" i="15"/>
  <c r="E8" i="33"/>
  <c r="T8" i="33"/>
  <c r="O8" i="33"/>
  <c r="F8" i="33"/>
  <c r="J8" i="33"/>
  <c r="D8" i="33"/>
  <c r="N8" i="33"/>
  <c r="V8" i="33"/>
  <c r="Q8" i="33"/>
  <c r="K8" i="33"/>
  <c r="H8" i="33"/>
  <c r="G8" i="33"/>
  <c r="AA36" i="34"/>
  <c r="K36" i="34"/>
  <c r="AH35" i="34"/>
  <c r="U35" i="34"/>
  <c r="J36" i="34"/>
  <c r="F36" i="34"/>
  <c r="Q36" i="34"/>
  <c r="G36" i="34"/>
  <c r="AG35" i="34"/>
  <c r="W36" i="34"/>
  <c r="M36" i="34"/>
  <c r="Q35" i="34"/>
  <c r="AI35" i="34"/>
  <c r="AD36" i="34"/>
  <c r="I36" i="34"/>
  <c r="M35" i="34"/>
  <c r="AH36" i="34"/>
  <c r="AC36" i="34"/>
  <c r="AE36" i="34"/>
  <c r="E36" i="34"/>
  <c r="I35" i="34"/>
  <c r="AI36" i="34"/>
  <c r="AC35" i="34"/>
  <c r="O35" i="34"/>
  <c r="E35" i="34"/>
  <c r="AE35" i="34"/>
  <c r="AB36" i="34"/>
  <c r="U36" i="34"/>
  <c r="N36" i="34"/>
  <c r="K35" i="34"/>
  <c r="Z36" i="34"/>
  <c r="AB35" i="34"/>
  <c r="Y36" i="34"/>
  <c r="Z35" i="34"/>
  <c r="L35" i="34"/>
  <c r="G35" i="34"/>
  <c r="AA35" i="34"/>
  <c r="Y35" i="34"/>
  <c r="P36" i="34"/>
  <c r="X36" i="34"/>
  <c r="R36" i="34"/>
  <c r="L36" i="34"/>
  <c r="AF36" i="34"/>
  <c r="V36" i="34"/>
  <c r="P35" i="34"/>
  <c r="H36" i="34"/>
  <c r="J35" i="34"/>
  <c r="AJ11" i="17"/>
  <c r="Y11" i="17"/>
  <c r="AB11" i="17"/>
  <c r="AH11" i="17"/>
  <c r="AI11" i="17"/>
  <c r="AK11" i="17"/>
  <c r="U57" i="17"/>
  <c r="X11" i="17"/>
  <c r="AF11" i="17"/>
  <c r="AE11" i="17"/>
  <c r="AC11" i="17"/>
  <c r="B114" i="17"/>
  <c r="H15" i="17"/>
  <c r="O15" i="17"/>
  <c r="E15" i="17"/>
  <c r="D15" i="17"/>
  <c r="B61" i="17"/>
  <c r="R15" i="17"/>
  <c r="Q15" i="17"/>
  <c r="M15" i="17"/>
  <c r="F15" i="17"/>
  <c r="G15" i="17"/>
  <c r="P15" i="17"/>
  <c r="B38" i="17"/>
  <c r="J15" i="17"/>
  <c r="K15" i="17"/>
  <c r="Y44" i="46"/>
  <c r="G170" i="17"/>
  <c r="J170" i="17"/>
  <c r="L170" i="17"/>
  <c r="Z24" i="17"/>
  <c r="AH24" i="17"/>
  <c r="AA24" i="17"/>
  <c r="AK24" i="17"/>
  <c r="AI24" i="17"/>
  <c r="AC24" i="17"/>
  <c r="X24" i="17"/>
  <c r="AE24" i="17"/>
  <c r="X10" i="17"/>
  <c r="AK10" i="17"/>
  <c r="AD10" i="17"/>
  <c r="AC10" i="17"/>
  <c r="AE10" i="17"/>
  <c r="AB10" i="17"/>
  <c r="AG10" i="17"/>
  <c r="AI10" i="17"/>
  <c r="B113" i="17"/>
  <c r="B83" i="17"/>
  <c r="D14" i="17"/>
  <c r="B60" i="17"/>
  <c r="E14" i="17"/>
  <c r="R14" i="17"/>
  <c r="M14" i="17"/>
  <c r="L14" i="17"/>
  <c r="H14" i="17"/>
  <c r="N14" i="17"/>
  <c r="C41" i="46"/>
  <c r="H41" i="46" s="1"/>
  <c r="F41" i="46"/>
  <c r="W46" i="33" s="1"/>
  <c r="X46" i="33" s="1"/>
  <c r="D41" i="46"/>
  <c r="W41" i="46" s="1"/>
  <c r="E41" i="46"/>
  <c r="Z41" i="46" s="1"/>
  <c r="AB23" i="46"/>
  <c r="AA23" i="46"/>
  <c r="AB34" i="17"/>
  <c r="AD9" i="34"/>
  <c r="I10" i="34"/>
  <c r="H43" i="17"/>
  <c r="R35" i="34"/>
  <c r="H59" i="34"/>
  <c r="Y56" i="34"/>
  <c r="AG122" i="17"/>
  <c r="X122" i="17"/>
  <c r="AK122" i="17"/>
  <c r="AA122" i="17"/>
  <c r="AC122" i="17"/>
  <c r="I176" i="15"/>
  <c r="K176" i="15"/>
  <c r="I202" i="15"/>
  <c r="K202" i="15"/>
  <c r="J172" i="17"/>
  <c r="AE87" i="34"/>
  <c r="H74" i="34"/>
  <c r="C35" i="17"/>
  <c r="U96" i="17"/>
  <c r="C13" i="46"/>
  <c r="J13" i="46" s="1"/>
  <c r="F13" i="46"/>
  <c r="S13" i="46" s="1"/>
  <c r="D13" i="46"/>
  <c r="W13" i="46" s="1"/>
  <c r="E13" i="46"/>
  <c r="Z13" i="46" s="1"/>
  <c r="Z216" i="15"/>
  <c r="U214" i="15"/>
  <c r="Z214" i="15" s="1"/>
  <c r="D182" i="15"/>
  <c r="F182" i="15"/>
  <c r="G182" i="15"/>
  <c r="I182" i="15"/>
  <c r="Y20" i="46"/>
  <c r="Z20" i="46"/>
  <c r="O14" i="34"/>
  <c r="S16" i="46"/>
  <c r="D211" i="15"/>
  <c r="H211" i="15"/>
  <c r="AL18" i="46"/>
  <c r="AI18" i="46"/>
  <c r="Z18" i="46"/>
  <c r="T42" i="33"/>
  <c r="L86" i="34"/>
  <c r="G14" i="17"/>
  <c r="L56" i="34"/>
  <c r="F228" i="15"/>
  <c r="E179" i="15"/>
  <c r="J179" i="15" s="1"/>
  <c r="I171" i="17"/>
  <c r="J171" i="17"/>
  <c r="L171" i="17"/>
  <c r="N87" i="34"/>
  <c r="B37" i="17"/>
  <c r="J38" i="34"/>
  <c r="AI115" i="17"/>
  <c r="Y27" i="17"/>
  <c r="F11" i="46"/>
  <c r="R11" i="46" s="1"/>
  <c r="S11" i="46"/>
  <c r="D11" i="46"/>
  <c r="E11" i="46"/>
  <c r="AI11" i="46" s="1"/>
  <c r="AA196" i="15"/>
  <c r="V196" i="15"/>
  <c r="Z196" i="15"/>
  <c r="AB181" i="15"/>
  <c r="X181" i="15"/>
  <c r="M228" i="15"/>
  <c r="F180" i="15"/>
  <c r="I228" i="15"/>
  <c r="AA18" i="46"/>
  <c r="AA57" i="34"/>
  <c r="AD56" i="34"/>
  <c r="O14" i="17"/>
  <c r="C60" i="17"/>
  <c r="T181" i="15"/>
  <c r="I41" i="46"/>
  <c r="G228" i="15"/>
  <c r="U215" i="15"/>
  <c r="Z215" i="15" s="1"/>
  <c r="AI41" i="46"/>
  <c r="AH19" i="46"/>
  <c r="W19" i="33"/>
  <c r="X19" i="33" s="1"/>
  <c r="G21" i="46"/>
  <c r="P14" i="17"/>
  <c r="AA14" i="34"/>
  <c r="AF35" i="34"/>
  <c r="K57" i="34"/>
  <c r="AH56" i="34"/>
  <c r="AC87" i="34"/>
  <c r="K29" i="46"/>
  <c r="Q29" i="46" s="1"/>
  <c r="U29" i="46"/>
  <c r="H29" i="46"/>
  <c r="I212" i="15"/>
  <c r="I13" i="46"/>
  <c r="C184" i="17"/>
  <c r="AD83" i="34"/>
  <c r="O68" i="34"/>
  <c r="Q27" i="17"/>
  <c r="A1" i="49"/>
  <c r="Q26" i="17"/>
  <c r="AB217" i="15"/>
  <c r="G212" i="15"/>
  <c r="AG69" i="34"/>
  <c r="B62" i="17"/>
  <c r="C123" i="17"/>
  <c r="C146" i="17" s="1"/>
  <c r="AJ18" i="17"/>
  <c r="T10" i="46"/>
  <c r="H220" i="15"/>
  <c r="S10" i="46"/>
  <c r="B94" i="17"/>
  <c r="V184" i="15"/>
  <c r="AC184" i="15"/>
  <c r="R10" i="46"/>
  <c r="C47" i="17"/>
  <c r="AB32" i="15"/>
  <c r="Z32" i="15"/>
  <c r="AC64" i="15"/>
  <c r="C195" i="17"/>
  <c r="C172" i="17"/>
  <c r="J39" i="17"/>
  <c r="AB67" i="17"/>
  <c r="AA64" i="17"/>
  <c r="I24" i="46"/>
  <c r="AA185" i="15"/>
  <c r="V230" i="15"/>
  <c r="J178" i="15"/>
  <c r="Z77" i="34"/>
  <c r="V146" i="17"/>
  <c r="V169" i="17"/>
  <c r="V192" i="17"/>
  <c r="C37" i="46"/>
  <c r="AG37" i="46"/>
  <c r="E37" i="46"/>
  <c r="W50" i="17"/>
  <c r="AJ72" i="17"/>
  <c r="V42" i="17"/>
  <c r="V118" i="17"/>
  <c r="V65" i="17"/>
  <c r="U195" i="15"/>
  <c r="I35" i="46" s="1"/>
  <c r="X195" i="15"/>
  <c r="F39" i="17"/>
  <c r="Y67" i="17"/>
  <c r="M218" i="15"/>
  <c r="AB188" i="15"/>
  <c r="G65" i="17"/>
  <c r="F24" i="46"/>
  <c r="AL24" i="46" s="1"/>
  <c r="X10" i="46"/>
  <c r="AH10" i="46"/>
  <c r="AD76" i="34"/>
  <c r="AG77" i="34"/>
  <c r="C36" i="46"/>
  <c r="V36" i="46" s="1"/>
  <c r="E36" i="46"/>
  <c r="D36" i="46"/>
  <c r="AH36" i="46" s="1"/>
  <c r="AE64" i="17"/>
  <c r="F173" i="15"/>
  <c r="C131" i="17"/>
  <c r="C154" i="17"/>
  <c r="C177" i="17"/>
  <c r="T34" i="46"/>
  <c r="AI33" i="46"/>
  <c r="Y32" i="46"/>
  <c r="T188" i="15"/>
  <c r="G181" i="15"/>
  <c r="L223" i="15"/>
  <c r="AH9" i="46"/>
  <c r="X9" i="46"/>
  <c r="X76" i="34"/>
  <c r="C147" i="17"/>
  <c r="C170" i="17"/>
  <c r="C35" i="46"/>
  <c r="K35" i="46" s="1"/>
  <c r="Q35" i="46" s="1"/>
  <c r="E35" i="46"/>
  <c r="G218" i="15"/>
  <c r="AC34" i="46"/>
  <c r="AI32" i="46"/>
  <c r="AA195" i="15"/>
  <c r="H39" i="17"/>
  <c r="M188" i="15"/>
  <c r="L218" i="15"/>
  <c r="V188" i="15"/>
  <c r="O39" i="17"/>
  <c r="Q74" i="17"/>
  <c r="P63" i="34"/>
  <c r="AF63" i="34"/>
  <c r="Q62" i="34"/>
  <c r="AD63" i="34"/>
  <c r="AG62" i="34"/>
  <c r="L63" i="34"/>
  <c r="AA62" i="34"/>
  <c r="Y62" i="34"/>
  <c r="W63" i="34"/>
  <c r="H63" i="34"/>
  <c r="AB63" i="34"/>
  <c r="AC62" i="34"/>
  <c r="AG63" i="34"/>
  <c r="AI62" i="34"/>
  <c r="AI63" i="34"/>
  <c r="H62" i="34"/>
  <c r="F62" i="34"/>
  <c r="G63" i="34"/>
  <c r="R62" i="34"/>
  <c r="V63" i="34"/>
  <c r="U63" i="34"/>
  <c r="Y63" i="34"/>
  <c r="Q63" i="34"/>
  <c r="AF62" i="34"/>
  <c r="J62" i="34"/>
  <c r="Z62" i="34"/>
  <c r="Z63" i="34"/>
  <c r="X62" i="34"/>
  <c r="J63" i="34"/>
  <c r="AH63" i="34"/>
  <c r="R63" i="34"/>
  <c r="AH62" i="34"/>
  <c r="O63" i="34"/>
  <c r="N62" i="34"/>
  <c r="N63" i="34"/>
  <c r="O62" i="34"/>
  <c r="AE63" i="34"/>
  <c r="E62" i="34"/>
  <c r="J10" i="17"/>
  <c r="L10" i="17"/>
  <c r="K10" i="17"/>
  <c r="I10" i="17"/>
  <c r="E10" i="17"/>
  <c r="D10" i="17"/>
  <c r="H10" i="17"/>
  <c r="G10" i="17"/>
  <c r="P10" i="17"/>
  <c r="D34" i="46"/>
  <c r="W34" i="46" s="1"/>
  <c r="E34" i="46"/>
  <c r="L74" i="17"/>
  <c r="F74" i="17"/>
  <c r="O14" i="33"/>
  <c r="F14" i="33"/>
  <c r="E14" i="33"/>
  <c r="T14" i="33"/>
  <c r="H14" i="33"/>
  <c r="L14" i="33"/>
  <c r="M14" i="33"/>
  <c r="D14" i="33"/>
  <c r="P14" i="33"/>
  <c r="K20" i="34"/>
  <c r="G20" i="34"/>
  <c r="E20" i="34"/>
  <c r="O19" i="34"/>
  <c r="I19" i="34"/>
  <c r="AI19" i="34"/>
  <c r="W19" i="34"/>
  <c r="F51" i="33"/>
  <c r="G51" i="33"/>
  <c r="L76" i="34"/>
  <c r="AD77" i="34"/>
  <c r="Z76" i="34"/>
  <c r="AF76" i="34"/>
  <c r="W77" i="34"/>
  <c r="AG76" i="34"/>
  <c r="AC76" i="34"/>
  <c r="X77" i="34"/>
  <c r="M77" i="34"/>
  <c r="Y76" i="34"/>
  <c r="AH77" i="34"/>
  <c r="AC77" i="34"/>
  <c r="K77" i="34"/>
  <c r="E77" i="34"/>
  <c r="L77" i="34"/>
  <c r="R77" i="34"/>
  <c r="AI77" i="34"/>
  <c r="AF77" i="34"/>
  <c r="N76" i="34"/>
  <c r="J77" i="34"/>
  <c r="AE77" i="34"/>
  <c r="W76" i="34"/>
  <c r="AI76" i="34"/>
  <c r="F76" i="34"/>
  <c r="M76" i="34"/>
  <c r="K76" i="34"/>
  <c r="H76" i="34"/>
  <c r="E76" i="34"/>
  <c r="P76" i="34"/>
  <c r="G77" i="34"/>
  <c r="AA76" i="34"/>
  <c r="J76" i="34"/>
  <c r="AB77" i="34"/>
  <c r="G76" i="34"/>
  <c r="AE76" i="34"/>
  <c r="O76" i="34"/>
  <c r="I76" i="34"/>
  <c r="Q77" i="34"/>
  <c r="V76" i="34"/>
  <c r="K36" i="33"/>
  <c r="D36" i="33"/>
  <c r="Q36" i="33"/>
  <c r="L36" i="33"/>
  <c r="F36" i="33"/>
  <c r="O36" i="33"/>
  <c r="P36" i="33"/>
  <c r="I36" i="33"/>
  <c r="G36" i="33"/>
  <c r="N36" i="33"/>
  <c r="E36" i="33"/>
  <c r="M36" i="33"/>
  <c r="V36" i="33"/>
  <c r="J36" i="33"/>
  <c r="B123" i="17"/>
  <c r="B192" i="17" s="1"/>
  <c r="H24" i="17"/>
  <c r="O24" i="17"/>
  <c r="E24" i="17"/>
  <c r="L24" i="17"/>
  <c r="B47" i="17"/>
  <c r="K24" i="17"/>
  <c r="G24" i="17"/>
  <c r="B70" i="17"/>
  <c r="B93" i="17"/>
  <c r="F24" i="17"/>
  <c r="P24" i="17"/>
  <c r="N47" i="46"/>
  <c r="O47" i="46" s="1"/>
  <c r="L47" i="46"/>
  <c r="K47" i="46"/>
  <c r="Q47" i="46" s="1"/>
  <c r="H47" i="46"/>
  <c r="J47" i="46"/>
  <c r="N33" i="46"/>
  <c r="M33" i="46"/>
  <c r="J33" i="46"/>
  <c r="H33" i="46"/>
  <c r="P33" i="46"/>
  <c r="I207" i="15"/>
  <c r="J226" i="15"/>
  <c r="J74" i="17"/>
  <c r="Q65" i="17"/>
  <c r="AH37" i="46"/>
  <c r="W90" i="34"/>
  <c r="K90" i="34"/>
  <c r="H90" i="34"/>
  <c r="W91" i="34"/>
  <c r="AA90" i="34"/>
  <c r="N90" i="34"/>
  <c r="AB91" i="34"/>
  <c r="X91" i="34"/>
  <c r="L91" i="34"/>
  <c r="M90" i="34"/>
  <c r="Y91" i="34"/>
  <c r="R91" i="34"/>
  <c r="Q90" i="34"/>
  <c r="U90" i="34"/>
  <c r="J90" i="34"/>
  <c r="Y90" i="34"/>
  <c r="AD91" i="34"/>
  <c r="AF91" i="34"/>
  <c r="V90" i="34"/>
  <c r="F91" i="34"/>
  <c r="AI90" i="34"/>
  <c r="AC91" i="34"/>
  <c r="V91" i="34"/>
  <c r="AC90" i="34"/>
  <c r="P90" i="34"/>
  <c r="H91" i="34"/>
  <c r="J91" i="34"/>
  <c r="AE91" i="34"/>
  <c r="O90" i="34"/>
  <c r="U91" i="34"/>
  <c r="AG91" i="34"/>
  <c r="G91" i="34"/>
  <c r="X90" i="34"/>
  <c r="Q91" i="34"/>
  <c r="I90" i="34"/>
  <c r="AH91" i="34"/>
  <c r="G90" i="34"/>
  <c r="R90" i="34"/>
  <c r="Q43" i="33"/>
  <c r="K43" i="33"/>
  <c r="E43" i="33"/>
  <c r="N43" i="33"/>
  <c r="V43" i="33"/>
  <c r="P43" i="33"/>
  <c r="I43" i="33"/>
  <c r="F43" i="33"/>
  <c r="O43" i="33"/>
  <c r="U43" i="33"/>
  <c r="D43" i="33"/>
  <c r="P60" i="34"/>
  <c r="K60" i="34"/>
  <c r="G61" i="34"/>
  <c r="O61" i="34"/>
  <c r="Y60" i="34"/>
  <c r="V60" i="34"/>
  <c r="E60" i="34"/>
  <c r="Q60" i="34"/>
  <c r="M60" i="34"/>
  <c r="H61" i="34"/>
  <c r="L61" i="34"/>
  <c r="AB61" i="34"/>
  <c r="U61" i="34"/>
  <c r="AI60" i="34"/>
  <c r="AD61" i="34"/>
  <c r="N60" i="34"/>
  <c r="R60" i="34"/>
  <c r="X61" i="34"/>
  <c r="E61" i="34"/>
  <c r="I61" i="34"/>
  <c r="AH61" i="34"/>
  <c r="Q61" i="34"/>
  <c r="U60" i="34"/>
  <c r="V61" i="34"/>
  <c r="AJ17" i="17"/>
  <c r="AC17" i="17"/>
  <c r="AD17" i="17"/>
  <c r="AB17" i="17"/>
  <c r="Y17" i="17"/>
  <c r="AH17" i="17"/>
  <c r="AA17" i="17"/>
  <c r="W17" i="17"/>
  <c r="Z17" i="17"/>
  <c r="G23" i="17"/>
  <c r="B69" i="17"/>
  <c r="V47" i="46"/>
  <c r="D47" i="46"/>
  <c r="P47" i="46"/>
  <c r="E47" i="46"/>
  <c r="U47" i="46"/>
  <c r="AG47" i="46"/>
  <c r="C24" i="46"/>
  <c r="U24" i="46" s="1"/>
  <c r="D24" i="46"/>
  <c r="AH24" i="46" s="1"/>
  <c r="AB195" i="15"/>
  <c r="D226" i="15"/>
  <c r="L65" i="17"/>
  <c r="H74" i="17"/>
  <c r="W32" i="46"/>
  <c r="AH32" i="46"/>
  <c r="O77" i="34"/>
  <c r="AG90" i="34"/>
  <c r="J12" i="33"/>
  <c r="M12" i="33"/>
  <c r="U12" i="33"/>
  <c r="N12" i="33"/>
  <c r="M15" i="34"/>
  <c r="P16" i="34"/>
  <c r="W15" i="34"/>
  <c r="M50" i="33"/>
  <c r="K50" i="33"/>
  <c r="G50" i="33"/>
  <c r="P50" i="33"/>
  <c r="L50" i="33"/>
  <c r="F50" i="33"/>
  <c r="D50" i="33"/>
  <c r="I50" i="33"/>
  <c r="N50" i="33"/>
  <c r="H50" i="33"/>
  <c r="J75" i="34"/>
  <c r="L75" i="34"/>
  <c r="AF74" i="34"/>
  <c r="I74" i="34"/>
  <c r="AG75" i="34"/>
  <c r="U75" i="34"/>
  <c r="J74" i="34"/>
  <c r="AB75" i="34"/>
  <c r="Y75" i="34"/>
  <c r="U74" i="34"/>
  <c r="W75" i="34"/>
  <c r="AE74" i="34"/>
  <c r="G74" i="34"/>
  <c r="O74" i="34"/>
  <c r="AB74" i="34"/>
  <c r="P74" i="34"/>
  <c r="W74" i="34"/>
  <c r="AI74" i="34"/>
  <c r="V75" i="34"/>
  <c r="O75" i="34"/>
  <c r="V74" i="34"/>
  <c r="X75" i="34"/>
  <c r="M75" i="34"/>
  <c r="AH75" i="34"/>
  <c r="AA74" i="34"/>
  <c r="L74" i="34"/>
  <c r="AE75" i="34"/>
  <c r="AD75" i="34"/>
  <c r="X74" i="34"/>
  <c r="K75" i="34"/>
  <c r="F75" i="34"/>
  <c r="R75" i="34"/>
  <c r="Q74" i="34"/>
  <c r="P75" i="34"/>
  <c r="G75" i="34"/>
  <c r="AC75" i="34"/>
  <c r="Y74" i="34"/>
  <c r="AI75" i="34"/>
  <c r="M74" i="34"/>
  <c r="Z75" i="34"/>
  <c r="K74" i="34"/>
  <c r="I35" i="33"/>
  <c r="O35" i="33"/>
  <c r="E35" i="33"/>
  <c r="D35" i="33"/>
  <c r="T35" i="33"/>
  <c r="J35" i="33"/>
  <c r="Q35" i="33"/>
  <c r="H35" i="33"/>
  <c r="N35" i="33"/>
  <c r="V35" i="33"/>
  <c r="AJ115" i="17"/>
  <c r="Z115" i="17"/>
  <c r="U161" i="17"/>
  <c r="AE115" i="17"/>
  <c r="AH115" i="17"/>
  <c r="AC115" i="17"/>
  <c r="C46" i="46"/>
  <c r="U46" i="46" s="1"/>
  <c r="P46" i="46"/>
  <c r="V46" i="46"/>
  <c r="E46" i="46"/>
  <c r="D46" i="46"/>
  <c r="X46" i="46" s="1"/>
  <c r="C31" i="46"/>
  <c r="E31" i="46"/>
  <c r="D31" i="46"/>
  <c r="AA31" i="46" s="1"/>
  <c r="F31" i="46"/>
  <c r="G31" i="46" s="1"/>
  <c r="V211" i="15"/>
  <c r="AC50" i="17"/>
  <c r="J65" i="17"/>
  <c r="E205" i="15"/>
  <c r="AI10" i="46"/>
  <c r="AI21" i="46"/>
  <c r="Z21" i="46"/>
  <c r="AB76" i="34"/>
  <c r="AA77" i="34"/>
  <c r="N42" i="34"/>
  <c r="V42" i="34"/>
  <c r="K41" i="34"/>
  <c r="G41" i="34"/>
  <c r="AA41" i="34"/>
  <c r="AG42" i="34"/>
  <c r="Q42" i="34"/>
  <c r="AC42" i="34"/>
  <c r="AB41" i="34"/>
  <c r="AA42" i="34"/>
  <c r="K42" i="34"/>
  <c r="L41" i="34"/>
  <c r="G13" i="34"/>
  <c r="K14" i="34"/>
  <c r="AF14" i="34"/>
  <c r="Q14" i="34"/>
  <c r="E13" i="34"/>
  <c r="M13" i="34"/>
  <c r="X13" i="34"/>
  <c r="AG14" i="34"/>
  <c r="I14" i="34"/>
  <c r="AH14" i="34"/>
  <c r="AE14" i="34"/>
  <c r="AI14" i="34"/>
  <c r="Q13" i="34"/>
  <c r="K13" i="34"/>
  <c r="AF13" i="34"/>
  <c r="H13" i="34"/>
  <c r="I13" i="34"/>
  <c r="AH13" i="34"/>
  <c r="L13" i="34"/>
  <c r="AI13" i="34"/>
  <c r="P13" i="34"/>
  <c r="AB13" i="34"/>
  <c r="X14" i="34"/>
  <c r="F13" i="34"/>
  <c r="H14" i="34"/>
  <c r="Y14" i="34"/>
  <c r="AC13" i="34"/>
  <c r="V14" i="34"/>
  <c r="M14" i="34"/>
  <c r="J13" i="34"/>
  <c r="L14" i="34"/>
  <c r="AA13" i="34"/>
  <c r="U14" i="34"/>
  <c r="R13" i="34"/>
  <c r="W14" i="34"/>
  <c r="AD13" i="34"/>
  <c r="U13" i="34"/>
  <c r="F14" i="34"/>
  <c r="AC14" i="34"/>
  <c r="J14" i="34"/>
  <c r="H89" i="34"/>
  <c r="AI88" i="34"/>
  <c r="Q88" i="34"/>
  <c r="N88" i="34"/>
  <c r="AE89" i="34"/>
  <c r="AG88" i="34"/>
  <c r="F88" i="34"/>
  <c r="AA88" i="34"/>
  <c r="AB89" i="34"/>
  <c r="L89" i="34"/>
  <c r="N89" i="34"/>
  <c r="Y88" i="34"/>
  <c r="K89" i="34"/>
  <c r="Y89" i="34"/>
  <c r="U89" i="34"/>
  <c r="AA89" i="34"/>
  <c r="AH88" i="34"/>
  <c r="M88" i="34"/>
  <c r="F89" i="34"/>
  <c r="E88" i="34"/>
  <c r="P88" i="34"/>
  <c r="H88" i="34"/>
  <c r="Q89" i="34"/>
  <c r="AG89" i="34"/>
  <c r="I89" i="34"/>
  <c r="AH89" i="34"/>
  <c r="AF88" i="34"/>
  <c r="G89" i="34"/>
  <c r="AB88" i="34"/>
  <c r="K88" i="34"/>
  <c r="Z89" i="34"/>
  <c r="I88" i="34"/>
  <c r="V89" i="34"/>
  <c r="J89" i="34"/>
  <c r="AF89" i="34"/>
  <c r="M89" i="34"/>
  <c r="W89" i="34"/>
  <c r="AD89" i="34"/>
  <c r="X89" i="34"/>
  <c r="U88" i="34"/>
  <c r="R89" i="34"/>
  <c r="AI89" i="34"/>
  <c r="AD88" i="34"/>
  <c r="P89" i="34"/>
  <c r="O88" i="34"/>
  <c r="J88" i="34"/>
  <c r="H42" i="33"/>
  <c r="K42" i="33"/>
  <c r="Q42" i="33"/>
  <c r="E42" i="33"/>
  <c r="I42" i="33"/>
  <c r="O42" i="33"/>
  <c r="U42" i="33"/>
  <c r="N42" i="33"/>
  <c r="J42" i="33"/>
  <c r="D42" i="33"/>
  <c r="P42" i="33"/>
  <c r="W150" i="17"/>
  <c r="AA150" i="17"/>
  <c r="AC150" i="17"/>
  <c r="AE150" i="17"/>
  <c r="Y150" i="17"/>
  <c r="Z150" i="17"/>
  <c r="AB150" i="17"/>
  <c r="C16" i="46"/>
  <c r="V16" i="46" s="1"/>
  <c r="E16" i="46"/>
  <c r="AI16" i="46" s="1"/>
  <c r="D16" i="46"/>
  <c r="AE16" i="17"/>
  <c r="U62" i="17"/>
  <c r="W16" i="17"/>
  <c r="AF16" i="17"/>
  <c r="AD16" i="17"/>
  <c r="AK16" i="17"/>
  <c r="U39" i="17"/>
  <c r="AH16" i="17"/>
  <c r="AB16" i="17"/>
  <c r="Y16" i="17"/>
  <c r="N45" i="46"/>
  <c r="O45" i="46" s="1"/>
  <c r="K45" i="46"/>
  <c r="Q45" i="46" s="1"/>
  <c r="M45" i="46"/>
  <c r="AC42" i="46"/>
  <c r="AL42" i="46"/>
  <c r="Y205" i="15"/>
  <c r="W195" i="15"/>
  <c r="AH50" i="17"/>
  <c r="G207" i="15"/>
  <c r="Y50" i="17"/>
  <c r="U193" i="15"/>
  <c r="Z67" i="17"/>
  <c r="G39" i="17"/>
  <c r="AA50" i="17"/>
  <c r="H188" i="15"/>
  <c r="K194" i="15"/>
  <c r="M207" i="15"/>
  <c r="W176" i="15"/>
  <c r="AB224" i="15"/>
  <c r="U194" i="15"/>
  <c r="AA194" i="15" s="1"/>
  <c r="F226" i="15"/>
  <c r="S42" i="46"/>
  <c r="I14" i="33"/>
  <c r="AH76" i="34"/>
  <c r="Y77" i="34"/>
  <c r="AI91" i="34"/>
  <c r="V56" i="17"/>
  <c r="V109" i="17"/>
  <c r="V79" i="17"/>
  <c r="C181" i="17"/>
  <c r="U173" i="15"/>
  <c r="W173" i="15" s="1"/>
  <c r="U172" i="15"/>
  <c r="X174" i="15"/>
  <c r="Z174" i="15"/>
  <c r="AJ127" i="17"/>
  <c r="AH127" i="17"/>
  <c r="Y127" i="17"/>
  <c r="U173" i="17"/>
  <c r="X127" i="17"/>
  <c r="AI127" i="17"/>
  <c r="AK127" i="17"/>
  <c r="AF127" i="17"/>
  <c r="AC127" i="17"/>
  <c r="AD127" i="17"/>
  <c r="AE127" i="17"/>
  <c r="V205" i="15"/>
  <c r="G188" i="15"/>
  <c r="AB211" i="15"/>
  <c r="I39" i="17"/>
  <c r="J207" i="15"/>
  <c r="V176" i="15"/>
  <c r="Y227" i="15"/>
  <c r="L175" i="15"/>
  <c r="G74" i="17"/>
  <c r="G29" i="46"/>
  <c r="G42" i="46"/>
  <c r="V24" i="46"/>
  <c r="K14" i="33"/>
  <c r="N77" i="34"/>
  <c r="M91" i="34"/>
  <c r="D24" i="17"/>
  <c r="W34" i="17"/>
  <c r="Y34" i="17"/>
  <c r="Z34" i="17"/>
  <c r="AA34" i="17"/>
  <c r="AE34" i="17"/>
  <c r="C82" i="17"/>
  <c r="C36" i="17"/>
  <c r="Y96" i="17"/>
  <c r="AH96" i="17"/>
  <c r="C43" i="46"/>
  <c r="V43" i="46" s="1"/>
  <c r="E43" i="46"/>
  <c r="Z43" i="46" s="1"/>
  <c r="F43" i="46"/>
  <c r="E207" i="15"/>
  <c r="I17" i="46" s="1"/>
  <c r="AJ64" i="17"/>
  <c r="Y33" i="46"/>
  <c r="E206" i="15"/>
  <c r="L39" i="17"/>
  <c r="T184" i="15"/>
  <c r="AC196" i="15"/>
  <c r="T208" i="15"/>
  <c r="AC197" i="15"/>
  <c r="AC227" i="15"/>
  <c r="K175" i="15"/>
  <c r="AL36" i="46"/>
  <c r="AL29" i="46"/>
  <c r="R42" i="46"/>
  <c r="G14" i="33"/>
  <c r="F77" i="34"/>
  <c r="AD90" i="34"/>
  <c r="V47" i="17"/>
  <c r="V70" i="17"/>
  <c r="V93" i="17"/>
  <c r="C50" i="17"/>
  <c r="C73" i="17"/>
  <c r="C96" i="17"/>
  <c r="C81" i="17"/>
  <c r="C58" i="17"/>
  <c r="P33" i="33"/>
  <c r="G33" i="33"/>
  <c r="F33" i="33"/>
  <c r="Q33" i="33"/>
  <c r="D33" i="33"/>
  <c r="O33" i="33"/>
  <c r="M33" i="33"/>
  <c r="V33" i="33"/>
  <c r="L33" i="33"/>
  <c r="I33" i="33"/>
  <c r="E33" i="33"/>
  <c r="J33" i="33"/>
  <c r="U85" i="17"/>
  <c r="Z85" i="17" s="1"/>
  <c r="Q19" i="17"/>
  <c r="I19" i="17"/>
  <c r="H19" i="17"/>
  <c r="E19" i="17"/>
  <c r="G19" i="17"/>
  <c r="B42" i="17"/>
  <c r="O19" i="17"/>
  <c r="J19" i="17"/>
  <c r="L19" i="17"/>
  <c r="N11" i="46"/>
  <c r="O11" i="46" s="1"/>
  <c r="M11" i="46"/>
  <c r="H11" i="46"/>
  <c r="L11" i="46"/>
  <c r="P11" i="46"/>
  <c r="V11" i="46"/>
  <c r="J11" i="46"/>
  <c r="K11" i="46"/>
  <c r="Q11" i="46" s="1"/>
  <c r="Z32" i="46"/>
  <c r="AC195" i="15"/>
  <c r="Z211" i="15"/>
  <c r="W67" i="17"/>
  <c r="AH67" i="17"/>
  <c r="L24" i="46"/>
  <c r="K207" i="15"/>
  <c r="F218" i="15"/>
  <c r="W227" i="15"/>
  <c r="J175" i="15"/>
  <c r="H202" i="15"/>
  <c r="H65" i="17"/>
  <c r="AJ32" i="46"/>
  <c r="U11" i="46"/>
  <c r="V92" i="17"/>
  <c r="V46" i="17"/>
  <c r="V55" i="17"/>
  <c r="V32" i="17"/>
  <c r="V108" i="17"/>
  <c r="V177" i="17" s="1"/>
  <c r="O23" i="33"/>
  <c r="J23" i="33"/>
  <c r="E23" i="33"/>
  <c r="M23" i="33"/>
  <c r="K23" i="33"/>
  <c r="P23" i="33"/>
  <c r="G23" i="33"/>
  <c r="F23" i="33"/>
  <c r="I23" i="33"/>
  <c r="V23" i="33"/>
  <c r="D23" i="33"/>
  <c r="K7" i="33"/>
  <c r="I7" i="33"/>
  <c r="G7" i="33"/>
  <c r="O7" i="33"/>
  <c r="M7" i="33"/>
  <c r="L7" i="33"/>
  <c r="J7" i="33"/>
  <c r="F7" i="33"/>
  <c r="U7" i="33"/>
  <c r="W33" i="34"/>
  <c r="K34" i="34"/>
  <c r="AE33" i="34"/>
  <c r="AI33" i="34"/>
  <c r="AC33" i="34"/>
  <c r="G34" i="34"/>
  <c r="AH33" i="34"/>
  <c r="M33" i="34"/>
  <c r="AB33" i="34"/>
  <c r="U34" i="34"/>
  <c r="O33" i="34"/>
  <c r="AF34" i="34"/>
  <c r="Z34" i="34"/>
  <c r="P33" i="34"/>
  <c r="K33" i="34"/>
  <c r="R34" i="34"/>
  <c r="AD34" i="34"/>
  <c r="I33" i="34"/>
  <c r="Y33" i="34"/>
  <c r="Y34" i="34"/>
  <c r="G33" i="34"/>
  <c r="N34" i="34"/>
  <c r="AC34" i="34"/>
  <c r="Z33" i="34"/>
  <c r="J34" i="34"/>
  <c r="AB34" i="34"/>
  <c r="E33" i="34"/>
  <c r="X34" i="34"/>
  <c r="AA34" i="34"/>
  <c r="F34" i="34"/>
  <c r="AA33" i="34"/>
  <c r="U33" i="34"/>
  <c r="R33" i="34"/>
  <c r="J33" i="34"/>
  <c r="V34" i="34"/>
  <c r="X33" i="34"/>
  <c r="F33" i="34"/>
  <c r="H33" i="34"/>
  <c r="Q34" i="34"/>
  <c r="AG6" i="34"/>
  <c r="W5" i="34"/>
  <c r="AD6" i="34"/>
  <c r="Q5" i="34"/>
  <c r="F6" i="34"/>
  <c r="Y5" i="34"/>
  <c r="U5" i="34"/>
  <c r="R5" i="34"/>
  <c r="AF6" i="34"/>
  <c r="E6" i="34"/>
  <c r="N5" i="34"/>
  <c r="AB6" i="34"/>
  <c r="J5" i="34"/>
  <c r="AI5" i="34"/>
  <c r="I6" i="34"/>
  <c r="F5" i="34"/>
  <c r="Z5" i="34"/>
  <c r="V6" i="34"/>
  <c r="AI6" i="34"/>
  <c r="M6" i="34"/>
  <c r="AH6" i="34"/>
  <c r="Z6" i="34"/>
  <c r="V5" i="34"/>
  <c r="G5" i="34"/>
  <c r="Q6" i="34"/>
  <c r="AH5" i="34"/>
  <c r="P6" i="34"/>
  <c r="AA6" i="34"/>
  <c r="K5" i="34"/>
  <c r="AE6" i="34"/>
  <c r="H6" i="34"/>
  <c r="AB5" i="34"/>
  <c r="O5" i="34"/>
  <c r="AD5" i="34"/>
  <c r="P5" i="34"/>
  <c r="X6" i="34"/>
  <c r="R6" i="34"/>
  <c r="G6" i="34"/>
  <c r="H5" i="34"/>
  <c r="Y6" i="34"/>
  <c r="O6" i="34"/>
  <c r="AC5" i="34"/>
  <c r="W6" i="34"/>
  <c r="U6" i="34"/>
  <c r="AG5" i="34"/>
  <c r="AA5" i="34"/>
  <c r="I40" i="33"/>
  <c r="P40" i="33"/>
  <c r="T40" i="33"/>
  <c r="E40" i="33"/>
  <c r="O40" i="33"/>
  <c r="K40" i="33"/>
  <c r="J40" i="33"/>
  <c r="L40" i="33"/>
  <c r="N40" i="33"/>
  <c r="M40" i="33"/>
  <c r="D40" i="33"/>
  <c r="V40" i="33"/>
  <c r="U40" i="33"/>
  <c r="U196" i="17"/>
  <c r="U13" i="46"/>
  <c r="P13" i="46"/>
  <c r="K13" i="46"/>
  <c r="Q13" i="46" s="1"/>
  <c r="M13" i="46"/>
  <c r="AG13" i="46"/>
  <c r="AC111" i="17"/>
  <c r="AE111" i="17"/>
  <c r="W111" i="17"/>
  <c r="AJ111" i="17"/>
  <c r="K230" i="15"/>
  <c r="AB227" i="15"/>
  <c r="M202" i="15"/>
  <c r="D74" i="17"/>
  <c r="AA9" i="46"/>
  <c r="V14" i="33"/>
  <c r="C136" i="17"/>
  <c r="AH138" i="17"/>
  <c r="Y138" i="17"/>
  <c r="AA138" i="17"/>
  <c r="AC138" i="17"/>
  <c r="W138" i="17"/>
  <c r="Z138" i="17"/>
  <c r="AB138" i="17"/>
  <c r="F90" i="34"/>
  <c r="I91" i="34"/>
  <c r="H171" i="17"/>
  <c r="V87" i="17"/>
  <c r="B120" i="17"/>
  <c r="H170" i="17"/>
  <c r="V63" i="17"/>
  <c r="AA44" i="32"/>
  <c r="AA8" i="46"/>
  <c r="J58" i="33"/>
  <c r="V116" i="17"/>
  <c r="B87" i="17"/>
  <c r="H87" i="17" s="1"/>
  <c r="AJ33" i="46"/>
  <c r="U58" i="17"/>
  <c r="B85" i="17"/>
  <c r="D85" i="17" s="1"/>
  <c r="AJ29" i="46"/>
  <c r="B84" i="17"/>
  <c r="O84" i="17" s="1"/>
  <c r="I173" i="17"/>
  <c r="AA44" i="46"/>
  <c r="Q21" i="17"/>
  <c r="AF46" i="47"/>
  <c r="H14" i="46"/>
  <c r="U14" i="46"/>
  <c r="J14" i="46"/>
  <c r="L14" i="46"/>
  <c r="P14" i="46"/>
  <c r="AG14" i="46"/>
  <c r="K14" i="46"/>
  <c r="Q14" i="46" s="1"/>
  <c r="M14" i="46"/>
  <c r="AI125" i="17"/>
  <c r="AH18" i="46"/>
  <c r="W18" i="46"/>
  <c r="V50" i="17"/>
  <c r="V73" i="17"/>
  <c r="P38" i="33"/>
  <c r="M38" i="33"/>
  <c r="F38" i="33"/>
  <c r="H38" i="33"/>
  <c r="L38" i="33"/>
  <c r="Q38" i="33"/>
  <c r="V38" i="33"/>
  <c r="I38" i="33"/>
  <c r="T38" i="33"/>
  <c r="G38" i="33"/>
  <c r="O38" i="33"/>
  <c r="K38" i="33"/>
  <c r="N38" i="33"/>
  <c r="D38" i="33"/>
  <c r="AA15" i="17"/>
  <c r="AI15" i="17"/>
  <c r="AD15" i="17"/>
  <c r="U61" i="17"/>
  <c r="AJ15" i="17"/>
  <c r="U84" i="17"/>
  <c r="Y15" i="17"/>
  <c r="AH15" i="17"/>
  <c r="Z15" i="17"/>
  <c r="AC15" i="17"/>
  <c r="W15" i="17"/>
  <c r="AE15" i="17"/>
  <c r="U38" i="17"/>
  <c r="AB15" i="17"/>
  <c r="AK15" i="17"/>
  <c r="AF15" i="17"/>
  <c r="P22" i="17"/>
  <c r="L22" i="17"/>
  <c r="J22" i="17"/>
  <c r="K22" i="17"/>
  <c r="M22" i="17"/>
  <c r="H22" i="17"/>
  <c r="E22" i="17"/>
  <c r="AC226" i="15"/>
  <c r="Z176" i="15"/>
  <c r="S31" i="46"/>
  <c r="L211" i="15"/>
  <c r="D173" i="15"/>
  <c r="AJ17" i="46"/>
  <c r="AH17" i="46"/>
  <c r="AA17" i="46"/>
  <c r="AB17" i="46"/>
  <c r="X17" i="46"/>
  <c r="AE92" i="34"/>
  <c r="V95" i="17"/>
  <c r="V125" i="17"/>
  <c r="V49" i="17"/>
  <c r="I45" i="33"/>
  <c r="L45" i="33"/>
  <c r="K45" i="33"/>
  <c r="M45" i="33"/>
  <c r="V45" i="33"/>
  <c r="E45" i="33"/>
  <c r="N45" i="33"/>
  <c r="J45" i="33"/>
  <c r="F45" i="33"/>
  <c r="O45" i="33"/>
  <c r="T45" i="33"/>
  <c r="H45" i="33"/>
  <c r="D45" i="33"/>
  <c r="P45" i="33"/>
  <c r="AH64" i="34"/>
  <c r="AB64" i="34"/>
  <c r="AI65" i="34"/>
  <c r="X65" i="34"/>
  <c r="U64" i="34"/>
  <c r="AA64" i="34"/>
  <c r="AE65" i="34"/>
  <c r="U65" i="34"/>
  <c r="H65" i="34"/>
  <c r="Z64" i="34"/>
  <c r="AD65" i="34"/>
  <c r="Y65" i="34"/>
  <c r="AC65" i="34"/>
  <c r="R65" i="34"/>
  <c r="V64" i="34"/>
  <c r="AB65" i="34"/>
  <c r="N65" i="34"/>
  <c r="F65" i="34"/>
  <c r="AA65" i="34"/>
  <c r="I64" i="34"/>
  <c r="L65" i="34"/>
  <c r="X64" i="34"/>
  <c r="Z65" i="34"/>
  <c r="G65" i="34"/>
  <c r="M65" i="34"/>
  <c r="Y64" i="34"/>
  <c r="K65" i="34"/>
  <c r="M64" i="34"/>
  <c r="M100" i="34" s="1"/>
  <c r="V65" i="34"/>
  <c r="I65" i="34"/>
  <c r="P65" i="34"/>
  <c r="Q64" i="34"/>
  <c r="H64" i="34"/>
  <c r="J64" i="34"/>
  <c r="L64" i="34"/>
  <c r="O65" i="34"/>
  <c r="AD64" i="34"/>
  <c r="W64" i="34"/>
  <c r="G64" i="34"/>
  <c r="J65" i="34"/>
  <c r="Q65" i="34"/>
  <c r="N64" i="34"/>
  <c r="AH65" i="34"/>
  <c r="P64" i="34"/>
  <c r="AI64" i="34"/>
  <c r="AG65" i="34"/>
  <c r="U113" i="17"/>
  <c r="AJ113" i="17" s="1"/>
  <c r="Z14" i="17"/>
  <c r="AA14" i="17"/>
  <c r="AH14" i="17"/>
  <c r="AD14" i="17"/>
  <c r="U60" i="17"/>
  <c r="AJ14" i="17"/>
  <c r="U83" i="17"/>
  <c r="AB83" i="17" s="1"/>
  <c r="U37" i="17"/>
  <c r="Y14" i="17"/>
  <c r="AI14" i="17"/>
  <c r="W14" i="17"/>
  <c r="AB14" i="17"/>
  <c r="AC14" i="17"/>
  <c r="AB45" i="46"/>
  <c r="AH45" i="46"/>
  <c r="W217" i="15"/>
  <c r="G209" i="15"/>
  <c r="G230" i="15"/>
  <c r="AA176" i="15"/>
  <c r="F211" i="15"/>
  <c r="I61" i="17"/>
  <c r="Q52" i="33"/>
  <c r="N52" i="33"/>
  <c r="U52" i="33"/>
  <c r="F52" i="33"/>
  <c r="E52" i="33"/>
  <c r="V52" i="33"/>
  <c r="D52" i="33"/>
  <c r="M52" i="33"/>
  <c r="Q78" i="34"/>
  <c r="W79" i="34"/>
  <c r="AG78" i="34"/>
  <c r="N78" i="34"/>
  <c r="X78" i="34"/>
  <c r="P79" i="34"/>
  <c r="I78" i="34"/>
  <c r="L79" i="34"/>
  <c r="P78" i="34"/>
  <c r="X79" i="34"/>
  <c r="N79" i="34"/>
  <c r="G79" i="34"/>
  <c r="AD78" i="34"/>
  <c r="O78" i="34"/>
  <c r="Y78" i="34"/>
  <c r="AF78" i="34"/>
  <c r="M79" i="34"/>
  <c r="AA78" i="34"/>
  <c r="Y79" i="34"/>
  <c r="AE78" i="34"/>
  <c r="J78" i="34"/>
  <c r="L78" i="34"/>
  <c r="V79" i="34"/>
  <c r="J79" i="34"/>
  <c r="F78" i="34"/>
  <c r="H79" i="34"/>
  <c r="K78" i="34"/>
  <c r="R78" i="34"/>
  <c r="Q79" i="34"/>
  <c r="Z79" i="34"/>
  <c r="AG79" i="34"/>
  <c r="AI78" i="34"/>
  <c r="AB79" i="34"/>
  <c r="U79" i="34"/>
  <c r="R79" i="34"/>
  <c r="AC79" i="34"/>
  <c r="O79" i="34"/>
  <c r="AE79" i="34"/>
  <c r="AD79" i="34"/>
  <c r="I79" i="34"/>
  <c r="E78" i="34"/>
  <c r="AH79" i="34"/>
  <c r="AH78" i="34"/>
  <c r="N37" i="33"/>
  <c r="L37" i="33"/>
  <c r="K37" i="33"/>
  <c r="D37" i="33"/>
  <c r="F37" i="33"/>
  <c r="G37" i="33"/>
  <c r="Q37" i="33"/>
  <c r="I37" i="33"/>
  <c r="M37" i="33"/>
  <c r="E37" i="33"/>
  <c r="U37" i="33"/>
  <c r="V37" i="33"/>
  <c r="P37" i="33"/>
  <c r="H37" i="33"/>
  <c r="O37" i="33"/>
  <c r="U95" i="17"/>
  <c r="AK26" i="17"/>
  <c r="U49" i="17"/>
  <c r="Y26" i="17"/>
  <c r="AH26" i="17"/>
  <c r="AB26" i="17"/>
  <c r="AE26" i="17"/>
  <c r="X26" i="17"/>
  <c r="AI26" i="17"/>
  <c r="AA26" i="17"/>
  <c r="W26" i="17"/>
  <c r="AC26" i="17"/>
  <c r="AD26" i="17"/>
  <c r="AF26" i="17"/>
  <c r="I173" i="15"/>
  <c r="J173" i="15"/>
  <c r="L173" i="15"/>
  <c r="X45" i="46"/>
  <c r="T44" i="33"/>
  <c r="H44" i="33"/>
  <c r="J44" i="33"/>
  <c r="Q44" i="33"/>
  <c r="G44" i="33"/>
  <c r="N44" i="33"/>
  <c r="P44" i="33"/>
  <c r="M44" i="33"/>
  <c r="K44" i="33"/>
  <c r="O44" i="33"/>
  <c r="F44" i="33"/>
  <c r="E44" i="33"/>
  <c r="AG15" i="17"/>
  <c r="Z217" i="15"/>
  <c r="F209" i="15"/>
  <c r="I230" i="15"/>
  <c r="T176" i="15"/>
  <c r="V200" i="15"/>
  <c r="Z221" i="15"/>
  <c r="X227" i="15"/>
  <c r="K211" i="15"/>
  <c r="W45" i="46"/>
  <c r="D57" i="17"/>
  <c r="F57" i="17"/>
  <c r="G57" i="17"/>
  <c r="H57" i="17"/>
  <c r="I57" i="17"/>
  <c r="Y57" i="17"/>
  <c r="Z57" i="17"/>
  <c r="AA57" i="17"/>
  <c r="AB57" i="17"/>
  <c r="W57" i="17"/>
  <c r="E13" i="33"/>
  <c r="I13" i="33"/>
  <c r="H13" i="33"/>
  <c r="K13" i="33"/>
  <c r="O13" i="33"/>
  <c r="J13" i="33"/>
  <c r="F13" i="33"/>
  <c r="U13" i="33"/>
  <c r="N13" i="33"/>
  <c r="M13" i="33"/>
  <c r="T13" i="33"/>
  <c r="L13" i="33"/>
  <c r="Q13" i="33"/>
  <c r="P13" i="33"/>
  <c r="V13" i="33"/>
  <c r="G13" i="33"/>
  <c r="D13" i="33"/>
  <c r="X19" i="34"/>
  <c r="K19" i="34"/>
  <c r="AH20" i="34"/>
  <c r="O20" i="34"/>
  <c r="E19" i="34"/>
  <c r="R20" i="34"/>
  <c r="G19" i="34"/>
  <c r="AE19" i="34"/>
  <c r="M19" i="34"/>
  <c r="N20" i="34"/>
  <c r="AC20" i="34"/>
  <c r="AB20" i="34"/>
  <c r="J20" i="34"/>
  <c r="P20" i="34"/>
  <c r="Y20" i="34"/>
  <c r="F20" i="34"/>
  <c r="L20" i="34"/>
  <c r="AG20" i="34"/>
  <c r="AE20" i="34"/>
  <c r="P19" i="34"/>
  <c r="H20" i="34"/>
  <c r="AG19" i="34"/>
  <c r="L19" i="34"/>
  <c r="R19" i="34"/>
  <c r="AD20" i="34"/>
  <c r="AD19" i="34"/>
  <c r="H19" i="34"/>
  <c r="N19" i="34"/>
  <c r="AF20" i="34"/>
  <c r="Z20" i="34"/>
  <c r="J19" i="34"/>
  <c r="AF19" i="34"/>
  <c r="AI20" i="34"/>
  <c r="Q20" i="34"/>
  <c r="F19" i="34"/>
  <c r="AC19" i="34"/>
  <c r="W20" i="34"/>
  <c r="AA20" i="34"/>
  <c r="AH19" i="34"/>
  <c r="AA19" i="34"/>
  <c r="U20" i="34"/>
  <c r="Q19" i="34"/>
  <c r="M20" i="34"/>
  <c r="V20" i="34"/>
  <c r="I20" i="34"/>
  <c r="AB19" i="34"/>
  <c r="Y19" i="34"/>
  <c r="U19" i="34"/>
  <c r="V19" i="34"/>
  <c r="L51" i="33"/>
  <c r="D51" i="33"/>
  <c r="I51" i="33"/>
  <c r="J51" i="33"/>
  <c r="K51" i="33"/>
  <c r="U51" i="33"/>
  <c r="Q51" i="33"/>
  <c r="V51" i="33"/>
  <c r="P51" i="33"/>
  <c r="N51" i="33"/>
  <c r="O51" i="33"/>
  <c r="H51" i="33"/>
  <c r="M51" i="33"/>
  <c r="T51" i="33"/>
  <c r="L22" i="46"/>
  <c r="M22" i="46"/>
  <c r="J22" i="46"/>
  <c r="U22" i="46"/>
  <c r="V22" i="46"/>
  <c r="H22" i="46"/>
  <c r="M10" i="46"/>
  <c r="L10" i="46"/>
  <c r="K10" i="46"/>
  <c r="Q10" i="46" s="1"/>
  <c r="J10" i="46"/>
  <c r="AG10" i="46"/>
  <c r="U10" i="46"/>
  <c r="H10" i="46"/>
  <c r="AC205" i="15"/>
  <c r="T217" i="15"/>
  <c r="K218" i="15"/>
  <c r="W200" i="15"/>
  <c r="H190" i="15"/>
  <c r="J211" i="15"/>
  <c r="M220" i="15"/>
  <c r="G61" i="17"/>
  <c r="F12" i="33"/>
  <c r="I12" i="33"/>
  <c r="Q12" i="33"/>
  <c r="H12" i="33"/>
  <c r="T12" i="33"/>
  <c r="E12" i="33"/>
  <c r="G12" i="33"/>
  <c r="P12" i="33"/>
  <c r="O12" i="33"/>
  <c r="K12" i="33"/>
  <c r="V12" i="33"/>
  <c r="D12" i="33"/>
  <c r="AA18" i="34"/>
  <c r="L18" i="34"/>
  <c r="AC17" i="34"/>
  <c r="AI17" i="34"/>
  <c r="W17" i="34"/>
  <c r="J17" i="34"/>
  <c r="Q18" i="34"/>
  <c r="I17" i="34"/>
  <c r="G17" i="34"/>
  <c r="Z17" i="34"/>
  <c r="O92" i="34"/>
  <c r="H93" i="34"/>
  <c r="K93" i="34"/>
  <c r="M92" i="34"/>
  <c r="AF92" i="34"/>
  <c r="L92" i="34"/>
  <c r="AG93" i="34"/>
  <c r="E92" i="34"/>
  <c r="I92" i="34"/>
  <c r="AH92" i="34"/>
  <c r="AA93" i="34"/>
  <c r="R92" i="34"/>
  <c r="M93" i="34"/>
  <c r="L93" i="34"/>
  <c r="Z93" i="34"/>
  <c r="W92" i="34"/>
  <c r="AD92" i="34"/>
  <c r="AC93" i="34"/>
  <c r="AE93" i="34"/>
  <c r="AG92" i="34"/>
  <c r="U93" i="34"/>
  <c r="AF93" i="34"/>
  <c r="H92" i="34"/>
  <c r="I93" i="34"/>
  <c r="U92" i="34"/>
  <c r="X93" i="34"/>
  <c r="R93" i="34"/>
  <c r="J92" i="34"/>
  <c r="F92" i="34"/>
  <c r="Q92" i="34"/>
  <c r="K92" i="34"/>
  <c r="N92" i="34"/>
  <c r="J93" i="34"/>
  <c r="O93" i="34"/>
  <c r="Y92" i="34"/>
  <c r="Z92" i="34"/>
  <c r="G93" i="34"/>
  <c r="W93" i="34"/>
  <c r="AB93" i="34"/>
  <c r="P92" i="34"/>
  <c r="AC92" i="34"/>
  <c r="F93" i="34"/>
  <c r="V92" i="34"/>
  <c r="Z184" i="15"/>
  <c r="T196" i="15"/>
  <c r="AA223" i="15"/>
  <c r="H200" i="15"/>
  <c r="M209" i="15"/>
  <c r="F230" i="15"/>
  <c r="X200" i="15"/>
  <c r="X221" i="15"/>
  <c r="M190" i="15"/>
  <c r="G211" i="15"/>
  <c r="G220" i="15"/>
  <c r="Y24" i="46"/>
  <c r="D44" i="33"/>
  <c r="E93" i="34"/>
  <c r="V11" i="33"/>
  <c r="U11" i="33"/>
  <c r="P11" i="33"/>
  <c r="E11" i="33"/>
  <c r="T11" i="33"/>
  <c r="D11" i="33"/>
  <c r="I11" i="33"/>
  <c r="L11" i="33"/>
  <c r="H11" i="33"/>
  <c r="M11" i="33"/>
  <c r="O11" i="33"/>
  <c r="G11" i="33"/>
  <c r="K11" i="33"/>
  <c r="Q11" i="33"/>
  <c r="X20" i="34"/>
  <c r="X15" i="34"/>
  <c r="G15" i="34"/>
  <c r="H15" i="34"/>
  <c r="V15" i="34"/>
  <c r="L15" i="34"/>
  <c r="V16" i="34"/>
  <c r="O16" i="34"/>
  <c r="U15" i="34"/>
  <c r="W16" i="34"/>
  <c r="AF15" i="34"/>
  <c r="Z15" i="34"/>
  <c r="E15" i="34"/>
  <c r="U16" i="34"/>
  <c r="I15" i="34"/>
  <c r="O87" i="17"/>
  <c r="AB194" i="15"/>
  <c r="N22" i="17"/>
  <c r="Z24" i="46"/>
  <c r="U44" i="33"/>
  <c r="Q93" i="34"/>
  <c r="Y93" i="34"/>
  <c r="AH2" i="13"/>
  <c r="Q45" i="13"/>
  <c r="AH45" i="13"/>
  <c r="N19" i="46"/>
  <c r="K19" i="46"/>
  <c r="Q19" i="46" s="1"/>
  <c r="P19" i="46"/>
  <c r="U19" i="46"/>
  <c r="M19" i="46"/>
  <c r="J19" i="46"/>
  <c r="N7" i="46"/>
  <c r="C30" i="46"/>
  <c r="P30" i="46" s="1"/>
  <c r="F30" i="46"/>
  <c r="W35" i="33" s="1"/>
  <c r="X35" i="33" s="1"/>
  <c r="D30" i="46"/>
  <c r="E30" i="46"/>
  <c r="U124" i="17"/>
  <c r="AJ124" i="17" s="1"/>
  <c r="W25" i="17"/>
  <c r="AI25" i="17"/>
  <c r="AB25" i="17"/>
  <c r="AF25" i="17"/>
  <c r="AE25" i="17"/>
  <c r="X25" i="17"/>
  <c r="AD25" i="17"/>
  <c r="AK25" i="17"/>
  <c r="U94" i="17"/>
  <c r="AJ25" i="17"/>
  <c r="Y25" i="17"/>
  <c r="Z25" i="17"/>
  <c r="AC25" i="17"/>
  <c r="T194" i="15"/>
  <c r="I187" i="15"/>
  <c r="AL28" i="46"/>
  <c r="G28" i="46"/>
  <c r="AH25" i="17"/>
  <c r="AI93" i="34"/>
  <c r="P18" i="46"/>
  <c r="H18" i="46"/>
  <c r="AG18" i="46"/>
  <c r="M18" i="46"/>
  <c r="V18" i="46"/>
  <c r="K18" i="46"/>
  <c r="Q18" i="46" s="1"/>
  <c r="N41" i="46"/>
  <c r="O41" i="46" s="1"/>
  <c r="K41" i="46"/>
  <c r="Q41" i="46" s="1"/>
  <c r="AG41" i="46"/>
  <c r="P41" i="46"/>
  <c r="M41" i="46"/>
  <c r="J41" i="46"/>
  <c r="L41" i="46"/>
  <c r="J187" i="15"/>
  <c r="I211" i="15"/>
  <c r="X15" i="17"/>
  <c r="U71" i="17"/>
  <c r="C40" i="46"/>
  <c r="D40" i="46"/>
  <c r="AJ40" i="46" s="1"/>
  <c r="E40" i="46"/>
  <c r="AI40" i="46" s="1"/>
  <c r="F40" i="46"/>
  <c r="N29" i="46"/>
  <c r="O29" i="46" s="1"/>
  <c r="M29" i="46"/>
  <c r="AG29" i="46"/>
  <c r="J29" i="46"/>
  <c r="P29" i="46"/>
  <c r="V29" i="46"/>
  <c r="L29" i="46"/>
  <c r="X217" i="15"/>
  <c r="AC31" i="46"/>
  <c r="K187" i="15"/>
  <c r="Q61" i="17"/>
  <c r="H61" i="17"/>
  <c r="W7" i="33"/>
  <c r="X7" i="33" s="1"/>
  <c r="AL9" i="46"/>
  <c r="AC9" i="46"/>
  <c r="G46" i="46"/>
  <c r="W51" i="33"/>
  <c r="X51" i="33" s="1"/>
  <c r="S46" i="46"/>
  <c r="AC46" i="46"/>
  <c r="E38" i="33"/>
  <c r="I44" i="33"/>
  <c r="U48" i="17"/>
  <c r="AA92" i="34"/>
  <c r="Y217" i="15"/>
  <c r="J200" i="15"/>
  <c r="I209" i="15"/>
  <c r="V203" i="15"/>
  <c r="W224" i="15"/>
  <c r="L61" i="17"/>
  <c r="W18" i="33"/>
  <c r="X18" i="33" s="1"/>
  <c r="W49" i="33"/>
  <c r="X49" i="33" s="1"/>
  <c r="AI92" i="34"/>
  <c r="V72" i="17"/>
  <c r="C89" i="17"/>
  <c r="C119" i="17"/>
  <c r="C66" i="17"/>
  <c r="C43" i="17"/>
  <c r="C15" i="46"/>
  <c r="AG15" i="46" s="1"/>
  <c r="E15" i="46"/>
  <c r="D15" i="46"/>
  <c r="Q112" i="17"/>
  <c r="D112" i="17"/>
  <c r="J112" i="17"/>
  <c r="P112" i="17"/>
  <c r="M112" i="17"/>
  <c r="B158" i="17"/>
  <c r="L112" i="17"/>
  <c r="B135" i="17"/>
  <c r="R112" i="17"/>
  <c r="E112" i="17"/>
  <c r="K112" i="17"/>
  <c r="O112" i="17"/>
  <c r="G112" i="17"/>
  <c r="F39" i="46"/>
  <c r="W44" i="33" s="1"/>
  <c r="X44" i="33" s="1"/>
  <c r="E39" i="46"/>
  <c r="Z39" i="46" s="1"/>
  <c r="D39" i="46"/>
  <c r="AH39" i="46" s="1"/>
  <c r="R31" i="46"/>
  <c r="M173" i="15"/>
  <c r="K209" i="15"/>
  <c r="M230" i="15"/>
  <c r="I227" i="15"/>
  <c r="X203" i="15"/>
  <c r="S28" i="46"/>
  <c r="J61" i="17"/>
  <c r="AL46" i="46"/>
  <c r="U38" i="33"/>
  <c r="G92" i="34"/>
  <c r="AB92" i="34"/>
  <c r="C42" i="17"/>
  <c r="C118" i="17"/>
  <c r="C88" i="17"/>
  <c r="C65" i="17"/>
  <c r="B111" i="17"/>
  <c r="B134" i="17" s="1"/>
  <c r="K12" i="17"/>
  <c r="H12" i="17"/>
  <c r="G12" i="17"/>
  <c r="J12" i="17"/>
  <c r="P12" i="17"/>
  <c r="D12" i="17"/>
  <c r="F12" i="17"/>
  <c r="B35" i="17"/>
  <c r="I12" i="17"/>
  <c r="E12" i="17"/>
  <c r="L12" i="17"/>
  <c r="O12" i="17"/>
  <c r="R12" i="17"/>
  <c r="L230" i="15"/>
  <c r="T31" i="46"/>
  <c r="Z190" i="15"/>
  <c r="W196" i="15"/>
  <c r="AA217" i="15"/>
  <c r="AC229" i="15"/>
  <c r="M182" i="15"/>
  <c r="L200" i="15"/>
  <c r="I218" i="15"/>
  <c r="V197" i="15"/>
  <c r="AC203" i="15"/>
  <c r="F199" i="15"/>
  <c r="M205" i="15"/>
  <c r="R46" i="46"/>
  <c r="J38" i="33"/>
  <c r="V126" i="17"/>
  <c r="V172" i="17" s="1"/>
  <c r="V114" i="17"/>
  <c r="V183" i="17" s="1"/>
  <c r="V38" i="17"/>
  <c r="E14" i="46"/>
  <c r="AB14" i="46" s="1"/>
  <c r="F14" i="46"/>
  <c r="G14" i="46" s="1"/>
  <c r="X14" i="46"/>
  <c r="V14" i="46"/>
  <c r="AG25" i="17"/>
  <c r="AB184" i="15"/>
  <c r="K173" i="15"/>
  <c r="J209" i="15"/>
  <c r="J230" i="15"/>
  <c r="G227" i="15"/>
  <c r="X176" i="15"/>
  <c r="AB197" i="15"/>
  <c r="V227" i="15"/>
  <c r="K190" i="15"/>
  <c r="G9" i="46"/>
  <c r="T46" i="46"/>
  <c r="AJ11" i="46"/>
  <c r="AA11" i="46"/>
  <c r="AH93" i="34"/>
  <c r="C6" i="46"/>
  <c r="AG6" i="46" s="1"/>
  <c r="D6" i="46"/>
  <c r="E6" i="46"/>
  <c r="B46" i="17"/>
  <c r="O23" i="17"/>
  <c r="D23" i="17"/>
  <c r="E23" i="17"/>
  <c r="K23" i="17"/>
  <c r="F23" i="17"/>
  <c r="L23" i="17"/>
  <c r="J23" i="17"/>
  <c r="M23" i="17"/>
  <c r="B110" i="17"/>
  <c r="B80" i="17"/>
  <c r="J11" i="17"/>
  <c r="O11" i="17"/>
  <c r="I11" i="17"/>
  <c r="B34" i="17"/>
  <c r="D34" i="17" s="1"/>
  <c r="D11" i="17"/>
  <c r="H11" i="17"/>
  <c r="L11" i="17"/>
  <c r="K11" i="17"/>
  <c r="Z205" i="15"/>
  <c r="AC217" i="15"/>
  <c r="D200" i="15"/>
  <c r="D218" i="15"/>
  <c r="H218" i="15"/>
  <c r="AC176" i="15"/>
  <c r="T197" i="15"/>
  <c r="T227" i="15"/>
  <c r="F190" i="15"/>
  <c r="J208" i="15"/>
  <c r="R22" i="17"/>
  <c r="Y172" i="15"/>
  <c r="T172" i="15"/>
  <c r="W38" i="33"/>
  <c r="X38" i="33" s="1"/>
  <c r="G33" i="46"/>
  <c r="W17" i="46"/>
  <c r="AA34" i="46"/>
  <c r="V93" i="34"/>
  <c r="X13" i="46"/>
  <c r="AJ13" i="46"/>
  <c r="AH13" i="46"/>
  <c r="Z19" i="34"/>
  <c r="V127" i="17"/>
  <c r="V51" i="17"/>
  <c r="V97" i="17"/>
  <c r="V181" i="17"/>
  <c r="V158" i="17"/>
  <c r="V135" i="17"/>
  <c r="C25" i="46"/>
  <c r="V25" i="46" s="1"/>
  <c r="D25" i="46"/>
  <c r="W25" i="46" s="1"/>
  <c r="U114" i="17"/>
  <c r="B121" i="17"/>
  <c r="N121" i="17" s="1"/>
  <c r="AA42" i="46"/>
  <c r="Q18" i="17"/>
  <c r="G10" i="46"/>
  <c r="Z23" i="46"/>
  <c r="X24" i="46"/>
  <c r="W9" i="33"/>
  <c r="X9" i="33" s="1"/>
  <c r="W9" i="17"/>
  <c r="AJ19" i="46"/>
  <c r="C74" i="17"/>
  <c r="AA85" i="17"/>
  <c r="U78" i="17"/>
  <c r="W78" i="17" s="1"/>
  <c r="AB85" i="17"/>
  <c r="N12" i="46"/>
  <c r="O12" i="46" s="1"/>
  <c r="AJ22" i="17"/>
  <c r="U121" i="17"/>
  <c r="Z121" i="17" s="1"/>
  <c r="V69" i="17"/>
  <c r="C109" i="17"/>
  <c r="C132" i="17" s="1"/>
  <c r="C127" i="17"/>
  <c r="C173" i="17" s="1"/>
  <c r="AJ20" i="17"/>
  <c r="U108" i="17"/>
  <c r="U177" i="17" s="1"/>
  <c r="C193" i="17"/>
  <c r="Q126" i="17"/>
  <c r="B115" i="17"/>
  <c r="O33" i="46"/>
  <c r="W24" i="46"/>
  <c r="V122" i="17"/>
  <c r="D19" i="17"/>
  <c r="U81" i="17"/>
  <c r="AI23" i="46"/>
  <c r="AJ23" i="46"/>
  <c r="AJ18" i="46"/>
  <c r="AA29" i="46"/>
  <c r="AB28" i="46"/>
  <c r="K22" i="15"/>
  <c r="U66" i="17"/>
  <c r="B96" i="17"/>
  <c r="U80" i="17"/>
  <c r="AA80" i="17" s="1"/>
  <c r="Y23" i="46"/>
  <c r="AI42" i="46"/>
  <c r="H172" i="17"/>
  <c r="C149" i="17"/>
  <c r="C51" i="17"/>
  <c r="Y42" i="46"/>
  <c r="D172" i="17"/>
  <c r="L91" i="15"/>
  <c r="L35" i="46"/>
  <c r="M35" i="46"/>
  <c r="J35" i="46"/>
  <c r="U35" i="46"/>
  <c r="H35" i="46"/>
  <c r="AC199" i="15"/>
  <c r="T178" i="15"/>
  <c r="AA205" i="15"/>
  <c r="T214" i="15"/>
  <c r="F176" i="15"/>
  <c r="I194" i="15"/>
  <c r="W182" i="15"/>
  <c r="L187" i="15"/>
  <c r="AL41" i="46"/>
  <c r="W44" i="46"/>
  <c r="X20" i="46"/>
  <c r="AH20" i="46"/>
  <c r="AJ20" i="46"/>
  <c r="W20" i="46"/>
  <c r="M176" i="15"/>
  <c r="D176" i="15"/>
  <c r="J194" i="15"/>
  <c r="J227" i="15"/>
  <c r="AB185" i="15"/>
  <c r="H193" i="15"/>
  <c r="J217" i="15"/>
  <c r="D223" i="15"/>
  <c r="K223" i="15"/>
  <c r="T187" i="15"/>
  <c r="V187" i="15"/>
  <c r="J191" i="15"/>
  <c r="M206" i="15"/>
  <c r="I221" i="15"/>
  <c r="V224" i="15"/>
  <c r="T224" i="15"/>
  <c r="X224" i="15"/>
  <c r="H187" i="15"/>
  <c r="L193" i="15"/>
  <c r="D217" i="15"/>
  <c r="G223" i="15"/>
  <c r="F9" i="17"/>
  <c r="D9" i="17"/>
  <c r="I9" i="17"/>
  <c r="G9" i="17"/>
  <c r="L9" i="17"/>
  <c r="M9" i="17"/>
  <c r="N9" i="17"/>
  <c r="K9" i="17"/>
  <c r="J9" i="17"/>
  <c r="E9" i="17"/>
  <c r="B32" i="17"/>
  <c r="AB214" i="15"/>
  <c r="W199" i="15"/>
  <c r="AB205" i="15"/>
  <c r="T226" i="15"/>
  <c r="L176" i="15"/>
  <c r="D194" i="15"/>
  <c r="T221" i="15"/>
  <c r="H175" i="15"/>
  <c r="L217" i="15"/>
  <c r="J223" i="15"/>
  <c r="W52" i="33"/>
  <c r="X52" i="33" s="1"/>
  <c r="G47" i="46"/>
  <c r="S47" i="46"/>
  <c r="F185" i="15"/>
  <c r="Y230" i="15"/>
  <c r="AC230" i="15"/>
  <c r="K217" i="15"/>
  <c r="D184" i="15"/>
  <c r="I184" i="15"/>
  <c r="G24" i="46"/>
  <c r="W22" i="33"/>
  <c r="X22" i="33" s="1"/>
  <c r="W13" i="33"/>
  <c r="X13" i="33" s="1"/>
  <c r="AL15" i="46"/>
  <c r="AL34" i="46"/>
  <c r="S34" i="46"/>
  <c r="G43" i="46"/>
  <c r="W48" i="33"/>
  <c r="X48" i="33" s="1"/>
  <c r="AL43" i="46"/>
  <c r="D35" i="46"/>
  <c r="AJ35" i="46" s="1"/>
  <c r="N35" i="46"/>
  <c r="O35" i="46" s="1"/>
  <c r="AG35" i="46"/>
  <c r="P35" i="46"/>
  <c r="F35" i="46"/>
  <c r="Z185" i="15"/>
  <c r="V185" i="15"/>
  <c r="W23" i="33"/>
  <c r="X23" i="33" s="1"/>
  <c r="G172" i="15"/>
  <c r="H172" i="15"/>
  <c r="AA84" i="34"/>
  <c r="AI85" i="34"/>
  <c r="L85" i="34"/>
  <c r="AE85" i="34"/>
  <c r="O84" i="34"/>
  <c r="R85" i="34"/>
  <c r="I84" i="34"/>
  <c r="AI84" i="34"/>
  <c r="AD85" i="34"/>
  <c r="AC85" i="34"/>
  <c r="G84" i="34"/>
  <c r="X84" i="34"/>
  <c r="AF84" i="34"/>
  <c r="M84" i="34"/>
  <c r="G85" i="34"/>
  <c r="F84" i="34"/>
  <c r="N85" i="34"/>
  <c r="Z85" i="34"/>
  <c r="K84" i="34"/>
  <c r="AH85" i="34"/>
  <c r="AB85" i="34"/>
  <c r="H84" i="34"/>
  <c r="W84" i="34"/>
  <c r="AG85" i="34"/>
  <c r="J84" i="34"/>
  <c r="AB84" i="34"/>
  <c r="AH84" i="34"/>
  <c r="AG84" i="34"/>
  <c r="P85" i="34"/>
  <c r="N84" i="34"/>
  <c r="Y85" i="34"/>
  <c r="Z84" i="34"/>
  <c r="I85" i="34"/>
  <c r="AD84" i="34"/>
  <c r="E84" i="34"/>
  <c r="Q84" i="34"/>
  <c r="E85" i="34"/>
  <c r="M85" i="34"/>
  <c r="F85" i="34"/>
  <c r="W85" i="34"/>
  <c r="P84" i="34"/>
  <c r="AC84" i="34"/>
  <c r="AA85" i="34"/>
  <c r="K85" i="34"/>
  <c r="AE84" i="34"/>
  <c r="Q85" i="34"/>
  <c r="J85" i="34"/>
  <c r="V85" i="34"/>
  <c r="Y84" i="34"/>
  <c r="L84" i="34"/>
  <c r="U85" i="34"/>
  <c r="V84" i="34"/>
  <c r="O85" i="34"/>
  <c r="X85" i="34"/>
  <c r="R84" i="34"/>
  <c r="H85" i="34"/>
  <c r="J71" i="34"/>
  <c r="AC70" i="34"/>
  <c r="AC71" i="34"/>
  <c r="AD71" i="34"/>
  <c r="N70" i="34"/>
  <c r="O71" i="34"/>
  <c r="M71" i="34"/>
  <c r="Q71" i="34"/>
  <c r="L70" i="34"/>
  <c r="AH70" i="34"/>
  <c r="O70" i="34"/>
  <c r="J70" i="34"/>
  <c r="AE71" i="34"/>
  <c r="R70" i="34"/>
  <c r="K71" i="34"/>
  <c r="AB71" i="34"/>
  <c r="AE70" i="34"/>
  <c r="I70" i="34"/>
  <c r="W71" i="34"/>
  <c r="AG71" i="34"/>
  <c r="AD70" i="34"/>
  <c r="Q70" i="34"/>
  <c r="F70" i="34"/>
  <c r="Z71" i="34"/>
  <c r="Z70" i="34"/>
  <c r="AI71" i="34"/>
  <c r="AF71" i="34"/>
  <c r="E71" i="34"/>
  <c r="W70" i="34"/>
  <c r="I71" i="34"/>
  <c r="AB70" i="34"/>
  <c r="X70" i="34"/>
  <c r="G71" i="34"/>
  <c r="H71" i="34"/>
  <c r="L71" i="34"/>
  <c r="AF70" i="34"/>
  <c r="Y71" i="34"/>
  <c r="AH71" i="34"/>
  <c r="AI70" i="34"/>
  <c r="Y70" i="34"/>
  <c r="AA70" i="34"/>
  <c r="P70" i="34"/>
  <c r="R71" i="34"/>
  <c r="V71" i="34"/>
  <c r="V70" i="34"/>
  <c r="AG70" i="34"/>
  <c r="U70" i="34"/>
  <c r="P71" i="34"/>
  <c r="E70" i="34"/>
  <c r="U71" i="34"/>
  <c r="H70" i="34"/>
  <c r="N71" i="34"/>
  <c r="K70" i="34"/>
  <c r="X71" i="34"/>
  <c r="U118" i="17"/>
  <c r="AJ118" i="17" s="1"/>
  <c r="U65" i="17"/>
  <c r="AH19" i="17"/>
  <c r="U88" i="17"/>
  <c r="AB88" i="17" s="1"/>
  <c r="U42" i="17"/>
  <c r="Y19" i="17"/>
  <c r="Z19" i="17"/>
  <c r="AB19" i="17"/>
  <c r="W19" i="17"/>
  <c r="AA19" i="17"/>
  <c r="AI19" i="17"/>
  <c r="AE19" i="17"/>
  <c r="AD19" i="17"/>
  <c r="AC19" i="17"/>
  <c r="AK19" i="17"/>
  <c r="X19" i="17"/>
  <c r="AA214" i="15"/>
  <c r="T41" i="46"/>
  <c r="G41" i="46"/>
  <c r="F217" i="15"/>
  <c r="H217" i="15"/>
  <c r="V142" i="17"/>
  <c r="V165" i="17"/>
  <c r="V188" i="17"/>
  <c r="Y187" i="15"/>
  <c r="X214" i="15"/>
  <c r="M194" i="15"/>
  <c r="X28" i="46"/>
  <c r="X187" i="15"/>
  <c r="Y184" i="15"/>
  <c r="X190" i="15"/>
  <c r="K206" i="15"/>
  <c r="AC221" i="15"/>
  <c r="AA227" i="15"/>
  <c r="F175" i="15"/>
  <c r="G184" i="15"/>
  <c r="I217" i="15"/>
  <c r="G15" i="46"/>
  <c r="W6" i="33"/>
  <c r="X6" i="33" s="1"/>
  <c r="AL8" i="46"/>
  <c r="G8" i="46"/>
  <c r="U84" i="34"/>
  <c r="G70" i="34"/>
  <c r="D47" i="33"/>
  <c r="N47" i="33"/>
  <c r="O47" i="33"/>
  <c r="F47" i="33"/>
  <c r="U47" i="33"/>
  <c r="M47" i="33"/>
  <c r="T47" i="33"/>
  <c r="Q47" i="33"/>
  <c r="P47" i="33"/>
  <c r="G47" i="33"/>
  <c r="H47" i="33"/>
  <c r="V47" i="33"/>
  <c r="L47" i="33"/>
  <c r="I47" i="33"/>
  <c r="K47" i="33"/>
  <c r="J47" i="33"/>
  <c r="H176" i="15"/>
  <c r="F194" i="15"/>
  <c r="I203" i="15"/>
  <c r="F227" i="15"/>
  <c r="D227" i="15"/>
  <c r="K184" i="15"/>
  <c r="M217" i="15"/>
  <c r="R15" i="46"/>
  <c r="W28" i="34"/>
  <c r="L28" i="34"/>
  <c r="E27" i="34"/>
  <c r="AF28" i="34"/>
  <c r="Y28" i="34"/>
  <c r="H28" i="34"/>
  <c r="AI27" i="34"/>
  <c r="AF27" i="34"/>
  <c r="R27" i="34"/>
  <c r="AD28" i="34"/>
  <c r="AE27" i="34"/>
  <c r="I28" i="34"/>
  <c r="R28" i="34"/>
  <c r="N27" i="34"/>
  <c r="J28" i="34"/>
  <c r="J27" i="34"/>
  <c r="G27" i="34"/>
  <c r="AA28" i="34"/>
  <c r="P27" i="34"/>
  <c r="Y27" i="34"/>
  <c r="H27" i="34"/>
  <c r="F27" i="34"/>
  <c r="AH28" i="34"/>
  <c r="AC28" i="34"/>
  <c r="N28" i="34"/>
  <c r="W27" i="34"/>
  <c r="AB28" i="34"/>
  <c r="O27" i="34"/>
  <c r="AD27" i="34"/>
  <c r="L27" i="34"/>
  <c r="O28" i="34"/>
  <c r="AI28" i="34"/>
  <c r="M28" i="34"/>
  <c r="K28" i="34"/>
  <c r="X28" i="34"/>
  <c r="X27" i="34"/>
  <c r="Q28" i="34"/>
  <c r="P28" i="34"/>
  <c r="I27" i="34"/>
  <c r="AG27" i="34"/>
  <c r="U28" i="34"/>
  <c r="V27" i="34"/>
  <c r="E28" i="34"/>
  <c r="AA27" i="34"/>
  <c r="U27" i="34"/>
  <c r="K27" i="34"/>
  <c r="Z28" i="34"/>
  <c r="AC27" i="34"/>
  <c r="V28" i="34"/>
  <c r="F28" i="34"/>
  <c r="AB27" i="34"/>
  <c r="AH27" i="34"/>
  <c r="AG28" i="34"/>
  <c r="Z27" i="34"/>
  <c r="Q27" i="34"/>
  <c r="M27" i="34"/>
  <c r="H9" i="46"/>
  <c r="AG9" i="46"/>
  <c r="L9" i="46"/>
  <c r="V9" i="46"/>
  <c r="J9" i="46"/>
  <c r="K9" i="46"/>
  <c r="Q9" i="46" s="1"/>
  <c r="U9" i="46"/>
  <c r="P9" i="46"/>
  <c r="M9" i="46"/>
  <c r="X194" i="15"/>
  <c r="Z194" i="15"/>
  <c r="F184" i="15"/>
  <c r="G6" i="46"/>
  <c r="X33" i="46"/>
  <c r="AJ22" i="46"/>
  <c r="Y22" i="46"/>
  <c r="AL25" i="46"/>
  <c r="G25" i="46"/>
  <c r="AC25" i="46"/>
  <c r="S25" i="46"/>
  <c r="R25" i="46"/>
  <c r="X178" i="15"/>
  <c r="F206" i="15"/>
  <c r="Y178" i="15"/>
  <c r="G176" i="15"/>
  <c r="J188" i="15"/>
  <c r="H194" i="15"/>
  <c r="H221" i="15"/>
  <c r="L221" i="15"/>
  <c r="V221" i="15"/>
  <c r="W33" i="46"/>
  <c r="AB20" i="46"/>
  <c r="AA71" i="34"/>
  <c r="I94" i="17"/>
  <c r="H94" i="17"/>
  <c r="F94" i="17"/>
  <c r="D94" i="17"/>
  <c r="G94" i="17"/>
  <c r="O94" i="17"/>
  <c r="W28" i="46"/>
  <c r="W187" i="15"/>
  <c r="D206" i="15"/>
  <c r="T212" i="15"/>
  <c r="AB221" i="15"/>
  <c r="F187" i="15"/>
  <c r="AA28" i="46"/>
  <c r="M70" i="34"/>
  <c r="Y14" i="46"/>
  <c r="AB44" i="46"/>
  <c r="X44" i="46"/>
  <c r="AC187" i="15"/>
  <c r="W205" i="15"/>
  <c r="G200" i="15"/>
  <c r="L209" i="15"/>
  <c r="Y182" i="15"/>
  <c r="Z197" i="15"/>
  <c r="Y221" i="15"/>
  <c r="G187" i="15"/>
  <c r="AJ28" i="46"/>
  <c r="T9" i="46"/>
  <c r="S9" i="46"/>
  <c r="R9" i="46"/>
  <c r="AA37" i="46"/>
  <c r="AJ37" i="46"/>
  <c r="AB37" i="46"/>
  <c r="F170" i="17"/>
  <c r="Q170" i="17"/>
  <c r="O170" i="17"/>
  <c r="D170" i="17"/>
  <c r="I170" i="17"/>
  <c r="AB187" i="15"/>
  <c r="Z187" i="15"/>
  <c r="Z182" i="15"/>
  <c r="AB230" i="15"/>
  <c r="R24" i="46"/>
  <c r="D187" i="15"/>
  <c r="AA33" i="46"/>
  <c r="AA16" i="46"/>
  <c r="AJ16" i="46"/>
  <c r="Y16" i="46"/>
  <c r="Z16" i="46"/>
  <c r="AF85" i="34"/>
  <c r="W43" i="33"/>
  <c r="X43" i="33" s="1"/>
  <c r="AH25" i="46"/>
  <c r="W12" i="46"/>
  <c r="AJ10" i="46"/>
  <c r="X8" i="46"/>
  <c r="I80" i="34"/>
  <c r="Z80" i="34"/>
  <c r="E80" i="34"/>
  <c r="C168" i="17"/>
  <c r="C191" i="17"/>
  <c r="P73" i="34"/>
  <c r="H72" i="34"/>
  <c r="AD72" i="34"/>
  <c r="AC72" i="34"/>
  <c r="F72" i="34"/>
  <c r="N73" i="34"/>
  <c r="AF73" i="34"/>
  <c r="L72" i="34"/>
  <c r="W73" i="34"/>
  <c r="J73" i="34"/>
  <c r="Z72" i="34"/>
  <c r="P72" i="34"/>
  <c r="X72" i="34"/>
  <c r="G73" i="34"/>
  <c r="AA72" i="34"/>
  <c r="I73" i="34"/>
  <c r="G72" i="34"/>
  <c r="X73" i="34"/>
  <c r="K73" i="34"/>
  <c r="AI73" i="34"/>
  <c r="J72" i="34"/>
  <c r="Z73" i="34"/>
  <c r="E73" i="34"/>
  <c r="AE73" i="34"/>
  <c r="AI72" i="34"/>
  <c r="Q73" i="34"/>
  <c r="AG72" i="34"/>
  <c r="Y72" i="34"/>
  <c r="R72" i="34"/>
  <c r="M73" i="34"/>
  <c r="H73" i="34"/>
  <c r="AH72" i="34"/>
  <c r="N72" i="34"/>
  <c r="I72" i="34"/>
  <c r="M72" i="34"/>
  <c r="Y73" i="34"/>
  <c r="AD73" i="34"/>
  <c r="E72" i="34"/>
  <c r="AB72" i="34"/>
  <c r="AF59" i="34"/>
  <c r="E59" i="34"/>
  <c r="AA58" i="34"/>
  <c r="AA59" i="34"/>
  <c r="Y58" i="34"/>
  <c r="AC58" i="34"/>
  <c r="G59" i="34"/>
  <c r="N58" i="34"/>
  <c r="AG59" i="34"/>
  <c r="AH58" i="34"/>
  <c r="W59" i="34"/>
  <c r="AF58" i="34"/>
  <c r="Q59" i="34"/>
  <c r="AB58" i="34"/>
  <c r="AD59" i="34"/>
  <c r="AI58" i="34"/>
  <c r="W58" i="34"/>
  <c r="AI59" i="34"/>
  <c r="L58" i="34"/>
  <c r="R58" i="34"/>
  <c r="E58" i="34"/>
  <c r="AE58" i="34"/>
  <c r="L59" i="34"/>
  <c r="J59" i="34"/>
  <c r="X59" i="34"/>
  <c r="AH59" i="34"/>
  <c r="J58" i="34"/>
  <c r="I58" i="34"/>
  <c r="Q58" i="34"/>
  <c r="G58" i="34"/>
  <c r="P59" i="34"/>
  <c r="N59" i="34"/>
  <c r="AA84" i="17"/>
  <c r="Y84" i="17"/>
  <c r="Z84" i="17"/>
  <c r="AB84" i="17"/>
  <c r="W84" i="17"/>
  <c r="U79" i="17"/>
  <c r="W79" i="17" s="1"/>
  <c r="Y10" i="17"/>
  <c r="AA10" i="17"/>
  <c r="U56" i="17"/>
  <c r="Z10" i="17"/>
  <c r="AH10" i="17"/>
  <c r="U109" i="17"/>
  <c r="U33" i="17"/>
  <c r="W10" i="17"/>
  <c r="Y10" i="46"/>
  <c r="AH12" i="46"/>
  <c r="AB10" i="46"/>
  <c r="W8" i="46"/>
  <c r="C148" i="17"/>
  <c r="C171" i="17"/>
  <c r="C194" i="17"/>
  <c r="C57" i="17"/>
  <c r="C110" i="17"/>
  <c r="C34" i="17"/>
  <c r="C80" i="17"/>
  <c r="O41" i="33"/>
  <c r="G41" i="33"/>
  <c r="H41" i="33"/>
  <c r="J41" i="33"/>
  <c r="D41" i="33"/>
  <c r="E41" i="33"/>
  <c r="Q41" i="33"/>
  <c r="P41" i="33"/>
  <c r="F41" i="33"/>
  <c r="AA83" i="17"/>
  <c r="AH83" i="17"/>
  <c r="AA78" i="17"/>
  <c r="Y78" i="17"/>
  <c r="Z78" i="17"/>
  <c r="AB32" i="46"/>
  <c r="R81" i="34"/>
  <c r="Y81" i="34"/>
  <c r="C46" i="17"/>
  <c r="C69" i="17"/>
  <c r="C92" i="17"/>
  <c r="AG26" i="34"/>
  <c r="L25" i="34"/>
  <c r="AC25" i="34"/>
  <c r="N25" i="34"/>
  <c r="H25" i="34"/>
  <c r="R26" i="34"/>
  <c r="AG25" i="34"/>
  <c r="J25" i="34"/>
  <c r="W25" i="34"/>
  <c r="N26" i="34"/>
  <c r="F25" i="34"/>
  <c r="J26" i="34"/>
  <c r="X25" i="34"/>
  <c r="F26" i="34"/>
  <c r="AC26" i="34"/>
  <c r="Q25" i="34"/>
  <c r="O25" i="34"/>
  <c r="I25" i="34"/>
  <c r="AI25" i="34"/>
  <c r="K25" i="34"/>
  <c r="H26" i="34"/>
  <c r="AH26" i="34"/>
  <c r="G25" i="34"/>
  <c r="AF26" i="34"/>
  <c r="AE25" i="34"/>
  <c r="P26" i="34"/>
  <c r="M25" i="34"/>
  <c r="L26" i="34"/>
  <c r="AF25" i="34"/>
  <c r="W26" i="34"/>
  <c r="Q26" i="34"/>
  <c r="P25" i="34"/>
  <c r="AD25" i="34"/>
  <c r="R25" i="34"/>
  <c r="X26" i="34"/>
  <c r="AL1" i="31"/>
  <c r="AL43" i="31" s="1"/>
  <c r="L43" i="31"/>
  <c r="C8" i="46"/>
  <c r="Q114" i="17"/>
  <c r="B183" i="17"/>
  <c r="F183" i="17" s="1"/>
  <c r="C34" i="46"/>
  <c r="AG34" i="46" s="1"/>
  <c r="AB18" i="46"/>
  <c r="G81" i="34"/>
  <c r="K81" i="34"/>
  <c r="Q81" i="34"/>
  <c r="C121" i="17"/>
  <c r="C144" i="17" s="1"/>
  <c r="C45" i="17"/>
  <c r="C91" i="17"/>
  <c r="C68" i="17"/>
  <c r="P24" i="34"/>
  <c r="AE23" i="34"/>
  <c r="H23" i="34"/>
  <c r="M24" i="34"/>
  <c r="X24" i="34"/>
  <c r="Z23" i="34"/>
  <c r="Q23" i="34"/>
  <c r="AE24" i="34"/>
  <c r="I24" i="34"/>
  <c r="AA24" i="34"/>
  <c r="W23" i="34"/>
  <c r="E24" i="34"/>
  <c r="AB24" i="34"/>
  <c r="AD24" i="34"/>
  <c r="R24" i="34"/>
  <c r="R23" i="34"/>
  <c r="AG23" i="34"/>
  <c r="N24" i="34"/>
  <c r="N23" i="34"/>
  <c r="AH24" i="34"/>
  <c r="J24" i="34"/>
  <c r="J23" i="34"/>
  <c r="AF23" i="34"/>
  <c r="AC24" i="34"/>
  <c r="I23" i="34"/>
  <c r="G23" i="34"/>
  <c r="L24" i="34"/>
  <c r="O24" i="34"/>
  <c r="AI23" i="34"/>
  <c r="AB23" i="34"/>
  <c r="K24" i="34"/>
  <c r="AG24" i="34"/>
  <c r="AC23" i="34"/>
  <c r="L23" i="34"/>
  <c r="Q24" i="34"/>
  <c r="Y23" i="34"/>
  <c r="D43" i="46"/>
  <c r="N43" i="46"/>
  <c r="O43" i="46" s="1"/>
  <c r="W36" i="33"/>
  <c r="X36" i="33" s="1"/>
  <c r="AH80" i="34"/>
  <c r="C90" i="17"/>
  <c r="C44" i="17"/>
  <c r="C42" i="46"/>
  <c r="P42" i="46" s="1"/>
  <c r="V60" i="17"/>
  <c r="V37" i="17"/>
  <c r="V83" i="17"/>
  <c r="V113" i="17"/>
  <c r="O52" i="33"/>
  <c r="K52" i="33"/>
  <c r="J52" i="33"/>
  <c r="J80" i="34"/>
  <c r="AF80" i="34"/>
  <c r="H80" i="34"/>
  <c r="P81" i="34"/>
  <c r="W81" i="34"/>
  <c r="J81" i="34"/>
  <c r="L81" i="34"/>
  <c r="Z81" i="34"/>
  <c r="N80" i="34"/>
  <c r="W80" i="34"/>
  <c r="AE81" i="34"/>
  <c r="AB81" i="34"/>
  <c r="O80" i="34"/>
  <c r="M80" i="34"/>
  <c r="M81" i="34"/>
  <c r="E81" i="34"/>
  <c r="AG81" i="34"/>
  <c r="G80" i="34"/>
  <c r="K80" i="34"/>
  <c r="AF81" i="34"/>
  <c r="Q80" i="34"/>
  <c r="O81" i="34"/>
  <c r="AD80" i="34"/>
  <c r="AI80" i="34"/>
  <c r="F81" i="34"/>
  <c r="B181" i="17"/>
  <c r="I112" i="17"/>
  <c r="F80" i="34"/>
  <c r="I81" i="34"/>
  <c r="V82" i="17"/>
  <c r="V59" i="17"/>
  <c r="V36" i="17"/>
  <c r="B122" i="17"/>
  <c r="P23" i="17"/>
  <c r="B92" i="17"/>
  <c r="H23" i="17"/>
  <c r="I23" i="17"/>
  <c r="D13" i="17"/>
  <c r="Q13" i="17"/>
  <c r="H13" i="17"/>
  <c r="O13" i="17"/>
  <c r="B59" i="17"/>
  <c r="I13" i="17"/>
  <c r="B36" i="17"/>
  <c r="V58" i="17"/>
  <c r="V35" i="17"/>
  <c r="V111" i="17"/>
  <c r="N15" i="34"/>
  <c r="AI15" i="34"/>
  <c r="AH15" i="34"/>
  <c r="O15" i="34"/>
  <c r="AA16" i="34"/>
  <c r="AB16" i="34"/>
  <c r="AC15" i="34"/>
  <c r="F16" i="34"/>
  <c r="AD15" i="34"/>
  <c r="AB15" i="34"/>
  <c r="J16" i="34"/>
  <c r="AD16" i="34"/>
  <c r="I16" i="34"/>
  <c r="N16" i="34"/>
  <c r="AF16" i="34"/>
  <c r="AG16" i="34"/>
  <c r="AG15" i="34"/>
  <c r="R16" i="34"/>
  <c r="AH16" i="34"/>
  <c r="P15" i="34"/>
  <c r="Q15" i="34"/>
  <c r="X16" i="34"/>
  <c r="G16" i="34"/>
  <c r="H16" i="34"/>
  <c r="AA15" i="34"/>
  <c r="Y16" i="34"/>
  <c r="AE15" i="34"/>
  <c r="K16" i="34"/>
  <c r="L16" i="34"/>
  <c r="AC16" i="34"/>
  <c r="E16" i="34"/>
  <c r="M16" i="34"/>
  <c r="K15" i="34"/>
  <c r="Z16" i="34"/>
  <c r="N14" i="46"/>
  <c r="O14" i="46" s="1"/>
  <c r="Q23" i="17"/>
  <c r="AL7" i="46"/>
  <c r="H173" i="15"/>
  <c r="AB8" i="46"/>
  <c r="H52" i="33"/>
  <c r="AA80" i="34"/>
  <c r="AJ40" i="34"/>
  <c r="Y15" i="34"/>
  <c r="W31" i="46"/>
  <c r="X31" i="46"/>
  <c r="V48" i="17"/>
  <c r="V94" i="17"/>
  <c r="V124" i="17"/>
  <c r="C116" i="17"/>
  <c r="C86" i="17"/>
  <c r="C63" i="17"/>
  <c r="P42" i="34"/>
  <c r="Z41" i="34"/>
  <c r="L42" i="34"/>
  <c r="R41" i="34"/>
  <c r="AH41" i="34"/>
  <c r="O42" i="34"/>
  <c r="H42" i="34"/>
  <c r="AE41" i="34"/>
  <c r="G42" i="34"/>
  <c r="W41" i="34"/>
  <c r="AF41" i="34"/>
  <c r="Q41" i="34"/>
  <c r="AH42" i="34"/>
  <c r="P41" i="34"/>
  <c r="M42" i="34"/>
  <c r="M41" i="34"/>
  <c r="I42" i="34"/>
  <c r="H41" i="34"/>
  <c r="E42" i="34"/>
  <c r="I41" i="34"/>
  <c r="Y41" i="34"/>
  <c r="N41" i="34"/>
  <c r="AC41" i="34"/>
  <c r="E41" i="34"/>
  <c r="AB42" i="34"/>
  <c r="F41" i="34"/>
  <c r="R42" i="34"/>
  <c r="AI41" i="34"/>
  <c r="X42" i="34"/>
  <c r="AE42" i="34"/>
  <c r="J42" i="34"/>
  <c r="AG41" i="34"/>
  <c r="X41" i="34"/>
  <c r="AF42" i="34"/>
  <c r="F42" i="34"/>
  <c r="AD42" i="34"/>
  <c r="Z42" i="34"/>
  <c r="O41" i="34"/>
  <c r="Y42" i="34"/>
  <c r="AD41" i="34"/>
  <c r="B82" i="17"/>
  <c r="Q22" i="17"/>
  <c r="B45" i="17"/>
  <c r="F22" i="17"/>
  <c r="G22" i="17"/>
  <c r="I22" i="17"/>
  <c r="D22" i="17"/>
  <c r="O22" i="17"/>
  <c r="B91" i="17"/>
  <c r="F91" i="17" s="1"/>
  <c r="B68" i="17"/>
  <c r="X22" i="46"/>
  <c r="Y80" i="34"/>
  <c r="AE165" i="17"/>
  <c r="AC165" i="17"/>
  <c r="Y165" i="17"/>
  <c r="AA165" i="17"/>
  <c r="L9" i="33"/>
  <c r="F9" i="33"/>
  <c r="U82" i="17"/>
  <c r="Z82" i="17" s="1"/>
  <c r="U59" i="17"/>
  <c r="AH13" i="17"/>
  <c r="W13" i="17"/>
  <c r="Z13" i="17"/>
  <c r="AA13" i="17"/>
  <c r="U112" i="17"/>
  <c r="U181" i="17" s="1"/>
  <c r="U36" i="17"/>
  <c r="W22" i="46"/>
  <c r="AB12" i="46"/>
  <c r="AG80" i="34"/>
  <c r="J15" i="34"/>
  <c r="U191" i="17"/>
  <c r="AB191" i="17" s="1"/>
  <c r="AB122" i="17"/>
  <c r="W122" i="17"/>
  <c r="Y122" i="17"/>
  <c r="Z122" i="17"/>
  <c r="U145" i="17"/>
  <c r="U168" i="17"/>
  <c r="AD122" i="17"/>
  <c r="AI122" i="17"/>
  <c r="AF122" i="17"/>
  <c r="AH122" i="17"/>
  <c r="B79" i="17"/>
  <c r="I79" i="17" s="1"/>
  <c r="Q10" i="17"/>
  <c r="O10" i="17"/>
  <c r="F10" i="17"/>
  <c r="B56" i="17"/>
  <c r="B33" i="17"/>
  <c r="W33" i="33"/>
  <c r="X33" i="33" s="1"/>
  <c r="I52" i="33"/>
  <c r="F112" i="17"/>
  <c r="AC80" i="34"/>
  <c r="AI16" i="34"/>
  <c r="Q16" i="34"/>
  <c r="W72" i="34"/>
  <c r="C150" i="17"/>
  <c r="C196" i="17"/>
  <c r="Z23" i="17"/>
  <c r="U92" i="17"/>
  <c r="Z92" i="17" s="1"/>
  <c r="Y23" i="17"/>
  <c r="U46" i="17"/>
  <c r="AB23" i="17"/>
  <c r="W23" i="17"/>
  <c r="AJ23" i="17"/>
  <c r="U180" i="17"/>
  <c r="AB111" i="17"/>
  <c r="AF111" i="17"/>
  <c r="AK111" i="17"/>
  <c r="Y111" i="17"/>
  <c r="U157" i="17"/>
  <c r="AI111" i="17"/>
  <c r="AH111" i="17"/>
  <c r="AD111" i="17"/>
  <c r="AA111" i="17"/>
  <c r="X111" i="17"/>
  <c r="U134" i="17"/>
  <c r="W134" i="17" s="1"/>
  <c r="Z111" i="17"/>
  <c r="H90" i="17"/>
  <c r="D90" i="17"/>
  <c r="F90" i="17"/>
  <c r="G90" i="17"/>
  <c r="O90" i="17"/>
  <c r="G20" i="46"/>
  <c r="AJ12" i="46"/>
  <c r="AA22" i="46"/>
  <c r="AJ8" i="46"/>
  <c r="AB19" i="46"/>
  <c r="X18" i="46"/>
  <c r="N81" i="34"/>
  <c r="AE16" i="34"/>
  <c r="X81" i="34"/>
  <c r="X60" i="34"/>
  <c r="AC60" i="34"/>
  <c r="L60" i="34"/>
  <c r="AA61" i="34"/>
  <c r="AE60" i="34"/>
  <c r="AB60" i="34"/>
  <c r="AC61" i="34"/>
  <c r="I60" i="34"/>
  <c r="AD60" i="34"/>
  <c r="W61" i="34"/>
  <c r="Z61" i="34"/>
  <c r="O60" i="34"/>
  <c r="P61" i="34"/>
  <c r="AI61" i="34"/>
  <c r="W60" i="34"/>
  <c r="AF60" i="34"/>
  <c r="AE61" i="34"/>
  <c r="J60" i="34"/>
  <c r="R61" i="34"/>
  <c r="J61" i="34"/>
  <c r="Z60" i="34"/>
  <c r="AG61" i="34"/>
  <c r="H60" i="34"/>
  <c r="AF61" i="34"/>
  <c r="M61" i="34"/>
  <c r="AA60" i="34"/>
  <c r="K61" i="34"/>
  <c r="X121" i="17"/>
  <c r="AA121" i="17"/>
  <c r="Y121" i="17"/>
  <c r="B89" i="17"/>
  <c r="Q20" i="17"/>
  <c r="F20" i="17"/>
  <c r="H20" i="17"/>
  <c r="B66" i="17"/>
  <c r="I20" i="17"/>
  <c r="D20" i="17"/>
  <c r="G20" i="17"/>
  <c r="T42" i="46"/>
  <c r="W8" i="33"/>
  <c r="X8" i="33" s="1"/>
  <c r="X25" i="46"/>
  <c r="AA24" i="46"/>
  <c r="AA10" i="46"/>
  <c r="AH8" i="46"/>
  <c r="L52" i="33"/>
  <c r="X80" i="34"/>
  <c r="F15" i="34"/>
  <c r="R15" i="34"/>
  <c r="C145" i="17"/>
  <c r="V45" i="17"/>
  <c r="V121" i="17"/>
  <c r="W91" i="17"/>
  <c r="AH91" i="17"/>
  <c r="Z91" i="17"/>
  <c r="AB91" i="17"/>
  <c r="AH196" i="17"/>
  <c r="H80" i="17"/>
  <c r="AA94" i="17"/>
  <c r="AB94" i="17"/>
  <c r="AB196" i="17"/>
  <c r="N22" i="46"/>
  <c r="Q24" i="17"/>
  <c r="V44" i="17"/>
  <c r="N20" i="46"/>
  <c r="B118" i="17"/>
  <c r="B187" i="17" s="1"/>
  <c r="Y12" i="17"/>
  <c r="C33" i="17"/>
  <c r="U89" i="17"/>
  <c r="AB89" i="17" s="1"/>
  <c r="N10" i="46"/>
  <c r="O10" i="46" s="1"/>
  <c r="N18" i="46"/>
  <c r="O18" i="46" s="1"/>
  <c r="N9" i="46"/>
  <c r="O9" i="46" s="1"/>
  <c r="Q11" i="17"/>
  <c r="W18" i="17"/>
  <c r="AH80" i="17"/>
  <c r="Y85" i="17"/>
  <c r="Y21" i="17"/>
  <c r="Z196" i="17"/>
  <c r="X226" i="15"/>
  <c r="AB226" i="15"/>
  <c r="M200" i="15"/>
  <c r="K203" i="15"/>
  <c r="H191" i="15"/>
  <c r="Z203" i="15"/>
  <c r="AB203" i="15"/>
  <c r="W203" i="15"/>
  <c r="T203" i="15"/>
  <c r="H208" i="15"/>
  <c r="D208" i="15"/>
  <c r="G208" i="15"/>
  <c r="L208" i="15"/>
  <c r="K208" i="15"/>
  <c r="I208" i="15"/>
  <c r="F208" i="15"/>
  <c r="M224" i="15"/>
  <c r="K224" i="15"/>
  <c r="X191" i="15"/>
  <c r="W209" i="15"/>
  <c r="V209" i="15"/>
  <c r="AC209" i="15"/>
  <c r="G121" i="17"/>
  <c r="R121" i="17"/>
  <c r="AC212" i="15"/>
  <c r="Y212" i="15"/>
  <c r="Z212" i="15"/>
  <c r="F191" i="15"/>
  <c r="Z226" i="15"/>
  <c r="F200" i="15"/>
  <c r="D224" i="15"/>
  <c r="AB191" i="15"/>
  <c r="X206" i="15"/>
  <c r="X212" i="15"/>
  <c r="Y215" i="15"/>
  <c r="Y7" i="46"/>
  <c r="AA7" i="46"/>
  <c r="AB7" i="46"/>
  <c r="Z7" i="46"/>
  <c r="AI7" i="46"/>
  <c r="AJ7" i="46"/>
  <c r="AH38" i="46"/>
  <c r="W38" i="46"/>
  <c r="X38" i="46"/>
  <c r="AA38" i="46"/>
  <c r="AB38" i="46"/>
  <c r="AH42" i="46"/>
  <c r="W42" i="46"/>
  <c r="AJ42" i="46"/>
  <c r="X42" i="46"/>
  <c r="AB42" i="46"/>
  <c r="V214" i="15"/>
  <c r="W223" i="15"/>
  <c r="T223" i="15"/>
  <c r="X196" i="15"/>
  <c r="H182" i="15"/>
  <c r="I188" i="15"/>
  <c r="L188" i="15"/>
  <c r="M191" i="15"/>
  <c r="M203" i="15"/>
  <c r="W185" i="15"/>
  <c r="AB206" i="15"/>
  <c r="AA212" i="15"/>
  <c r="X218" i="15"/>
  <c r="H196" i="15"/>
  <c r="G23" i="46"/>
  <c r="AB223" i="15"/>
  <c r="W212" i="15"/>
  <c r="V181" i="15"/>
  <c r="V178" i="15"/>
  <c r="AB193" i="15"/>
  <c r="V199" i="15"/>
  <c r="AA211" i="15"/>
  <c r="X205" i="15"/>
  <c r="I224" i="15"/>
  <c r="AC206" i="15"/>
  <c r="V212" i="15"/>
  <c r="J196" i="15"/>
  <c r="D178" i="15"/>
  <c r="K178" i="15"/>
  <c r="G178" i="15"/>
  <c r="I178" i="15"/>
  <c r="G226" i="15"/>
  <c r="H226" i="15"/>
  <c r="L226" i="15"/>
  <c r="M226" i="15"/>
  <c r="K226" i="15"/>
  <c r="Z223" i="15"/>
  <c r="Y181" i="15"/>
  <c r="AA178" i="15"/>
  <c r="AB199" i="15"/>
  <c r="T211" i="15"/>
  <c r="X223" i="15"/>
  <c r="Y226" i="15"/>
  <c r="L191" i="15"/>
  <c r="D215" i="15"/>
  <c r="D196" i="15"/>
  <c r="D181" i="15"/>
  <c r="I181" i="15"/>
  <c r="L181" i="15"/>
  <c r="F181" i="15"/>
  <c r="Z14" i="46"/>
  <c r="AJ14" i="46"/>
  <c r="AA14" i="46"/>
  <c r="Y206" i="15"/>
  <c r="F196" i="15"/>
  <c r="R13" i="46"/>
  <c r="AL13" i="46"/>
  <c r="G13" i="46"/>
  <c r="W11" i="33"/>
  <c r="X11" i="33" s="1"/>
  <c r="V223" i="15"/>
  <c r="K191" i="15"/>
  <c r="F203" i="15"/>
  <c r="D203" i="15"/>
  <c r="I196" i="15"/>
  <c r="AL32" i="46"/>
  <c r="G32" i="46"/>
  <c r="V208" i="15"/>
  <c r="V226" i="15"/>
  <c r="W226" i="15"/>
  <c r="L203" i="15"/>
  <c r="M227" i="15"/>
  <c r="L227" i="15"/>
  <c r="J212" i="15"/>
  <c r="M212" i="15"/>
  <c r="K212" i="15"/>
  <c r="Y209" i="15"/>
  <c r="AB215" i="15"/>
  <c r="AC185" i="15"/>
  <c r="T185" i="15"/>
  <c r="Y185" i="15"/>
  <c r="AA206" i="15"/>
  <c r="V206" i="15"/>
  <c r="T206" i="15"/>
  <c r="W206" i="15"/>
  <c r="AC181" i="15"/>
  <c r="Z181" i="15"/>
  <c r="AB178" i="15"/>
  <c r="Y190" i="15"/>
  <c r="W190" i="15"/>
  <c r="AA199" i="15"/>
  <c r="X211" i="15"/>
  <c r="W211" i="15"/>
  <c r="Y208" i="15"/>
  <c r="AA208" i="15"/>
  <c r="D191" i="15"/>
  <c r="F224" i="15"/>
  <c r="Z209" i="15"/>
  <c r="AA188" i="15"/>
  <c r="X188" i="15"/>
  <c r="H181" i="15"/>
  <c r="H205" i="15"/>
  <c r="G229" i="15"/>
  <c r="D193" i="15"/>
  <c r="J193" i="15"/>
  <c r="G193" i="15"/>
  <c r="M193" i="15"/>
  <c r="AC191" i="15"/>
  <c r="AA191" i="15"/>
  <c r="Y191" i="15"/>
  <c r="Z191" i="15"/>
  <c r="W191" i="15"/>
  <c r="T191" i="15"/>
  <c r="W181" i="15"/>
  <c r="AA181" i="15"/>
  <c r="W178" i="15"/>
  <c r="X184" i="15"/>
  <c r="X199" i="15"/>
  <c r="T199" i="15"/>
  <c r="Y211" i="15"/>
  <c r="Z208" i="15"/>
  <c r="AC214" i="15"/>
  <c r="AC223" i="15"/>
  <c r="K182" i="15"/>
  <c r="K188" i="15"/>
  <c r="H224" i="15"/>
  <c r="X209" i="15"/>
  <c r="D205" i="15"/>
  <c r="M199" i="15"/>
  <c r="D199" i="15"/>
  <c r="H199" i="15"/>
  <c r="G199" i="15"/>
  <c r="J199" i="15"/>
  <c r="K199" i="15"/>
  <c r="W20" i="33"/>
  <c r="X20" i="33" s="1"/>
  <c r="AL22" i="46"/>
  <c r="G22" i="46"/>
  <c r="T22" i="46"/>
  <c r="W208" i="15"/>
  <c r="J182" i="15"/>
  <c r="I200" i="15"/>
  <c r="G203" i="15"/>
  <c r="F212" i="15"/>
  <c r="H227" i="15"/>
  <c r="T209" i="15"/>
  <c r="I199" i="15"/>
  <c r="R22" i="46"/>
  <c r="AI14" i="46"/>
  <c r="AJ46" i="46"/>
  <c r="Y46" i="46"/>
  <c r="Z46" i="46"/>
  <c r="AI46" i="46"/>
  <c r="M196" i="15"/>
  <c r="K196" i="15"/>
  <c r="G196" i="15"/>
  <c r="Z178" i="15"/>
  <c r="Z199" i="15"/>
  <c r="Y214" i="15"/>
  <c r="W214" i="15"/>
  <c r="I191" i="15"/>
  <c r="L224" i="15"/>
  <c r="Y203" i="15"/>
  <c r="AA209" i="15"/>
  <c r="J205" i="15"/>
  <c r="I205" i="15"/>
  <c r="F205" i="15"/>
  <c r="AJ30" i="34"/>
  <c r="F202" i="15"/>
  <c r="R21" i="46"/>
  <c r="T21" i="46"/>
  <c r="AL21" i="46"/>
  <c r="J172" i="15"/>
  <c r="AB9" i="46"/>
  <c r="AJ9" i="46"/>
  <c r="W9" i="46"/>
  <c r="L172" i="15"/>
  <c r="AB21" i="46"/>
  <c r="Y21" i="46"/>
  <c r="W11" i="46"/>
  <c r="X11" i="46"/>
  <c r="AB182" i="15"/>
  <c r="W230" i="15"/>
  <c r="G175" i="15"/>
  <c r="AL16" i="46"/>
  <c r="S15" i="46"/>
  <c r="AI24" i="46"/>
  <c r="Z40" i="46"/>
  <c r="C41" i="17"/>
  <c r="C117" i="17"/>
  <c r="C87" i="17"/>
  <c r="C64" i="17"/>
  <c r="K18" i="34"/>
  <c r="R17" i="34"/>
  <c r="Y17" i="34"/>
  <c r="K17" i="34"/>
  <c r="F18" i="34"/>
  <c r="AF18" i="34"/>
  <c r="V17" i="34"/>
  <c r="X17" i="34"/>
  <c r="J18" i="34"/>
  <c r="AI18" i="34"/>
  <c r="AF17" i="34"/>
  <c r="U17" i="34"/>
  <c r="AB17" i="34"/>
  <c r="N18" i="34"/>
  <c r="AH17" i="34"/>
  <c r="H17" i="34"/>
  <c r="R18" i="34"/>
  <c r="AC18" i="34"/>
  <c r="O18" i="34"/>
  <c r="L17" i="34"/>
  <c r="W18" i="34"/>
  <c r="AG18" i="34"/>
  <c r="AB18" i="34"/>
  <c r="G18" i="34"/>
  <c r="P17" i="34"/>
  <c r="Z18" i="34"/>
  <c r="V18" i="34"/>
  <c r="O17" i="34"/>
  <c r="H18" i="34"/>
  <c r="AG17" i="34"/>
  <c r="U18" i="34"/>
  <c r="M17" i="34"/>
  <c r="I18" i="34"/>
  <c r="P18" i="34"/>
  <c r="AE18" i="34"/>
  <c r="E18" i="34"/>
  <c r="Q17" i="34"/>
  <c r="AD17" i="34"/>
  <c r="AE17" i="34"/>
  <c r="AD18" i="34"/>
  <c r="M18" i="34"/>
  <c r="AH18" i="34"/>
  <c r="E17" i="34"/>
  <c r="F17" i="34"/>
  <c r="AA17" i="34"/>
  <c r="N17" i="34"/>
  <c r="Y18" i="34"/>
  <c r="T182" i="15"/>
  <c r="AA230" i="15"/>
  <c r="I175" i="15"/>
  <c r="L184" i="15"/>
  <c r="I223" i="15"/>
  <c r="G16" i="46"/>
  <c r="T15" i="46"/>
  <c r="T47" i="46"/>
  <c r="W47" i="33"/>
  <c r="X47" i="33" s="1"/>
  <c r="AI9" i="46"/>
  <c r="Y9" i="46"/>
  <c r="J173" i="17"/>
  <c r="Q173" i="17"/>
  <c r="H173" i="17"/>
  <c r="AH134" i="17"/>
  <c r="AA134" i="17"/>
  <c r="V189" i="17"/>
  <c r="V166" i="17"/>
  <c r="Y97" i="17"/>
  <c r="Z97" i="17"/>
  <c r="AH97" i="17"/>
  <c r="AB97" i="17"/>
  <c r="W97" i="17"/>
  <c r="AA97" i="17"/>
  <c r="X182" i="15"/>
  <c r="T230" i="15"/>
  <c r="R6" i="46"/>
  <c r="M175" i="15"/>
  <c r="F223" i="15"/>
  <c r="AC15" i="46"/>
  <c r="AB24" i="46"/>
  <c r="AI25" i="46"/>
  <c r="Y25" i="46"/>
  <c r="AB46" i="46"/>
  <c r="AC21" i="46"/>
  <c r="G12" i="46"/>
  <c r="W4" i="33"/>
  <c r="W39" i="33"/>
  <c r="X39" i="33" s="1"/>
  <c r="AA19" i="46"/>
  <c r="AL12" i="46"/>
  <c r="AB25" i="46"/>
  <c r="W16" i="46"/>
  <c r="AB16" i="46"/>
  <c r="Y176" i="15"/>
  <c r="V194" i="15"/>
  <c r="AC224" i="15"/>
  <c r="J202" i="15"/>
  <c r="I220" i="15"/>
  <c r="H223" i="15"/>
  <c r="S41" i="46"/>
  <c r="S21" i="46"/>
  <c r="AJ44" i="46"/>
  <c r="Y45" i="46"/>
  <c r="Z45" i="46"/>
  <c r="AJ45" i="46"/>
  <c r="AA45" i="46"/>
  <c r="Y194" i="15"/>
  <c r="L202" i="15"/>
  <c r="L220" i="15"/>
  <c r="G34" i="46"/>
  <c r="G37" i="46"/>
  <c r="AC41" i="46"/>
  <c r="D172" i="15"/>
  <c r="Z25" i="46"/>
  <c r="AA25" i="46"/>
  <c r="G171" i="17"/>
  <c r="D171" i="17"/>
  <c r="F171" i="17"/>
  <c r="O171" i="17"/>
  <c r="AB33" i="46"/>
  <c r="AH33" i="46"/>
  <c r="Y39" i="46"/>
  <c r="AB39" i="46"/>
  <c r="AJ4" i="34"/>
  <c r="E4" i="33"/>
  <c r="Q9" i="17"/>
  <c r="B78" i="17"/>
  <c r="B55" i="17"/>
  <c r="B108" i="17"/>
  <c r="W90" i="17"/>
  <c r="AH90" i="17"/>
  <c r="AB90" i="17"/>
  <c r="AA90" i="17"/>
  <c r="Y90" i="17"/>
  <c r="Z90" i="17"/>
  <c r="AL31" i="46"/>
  <c r="AB40" i="46"/>
  <c r="X32" i="46"/>
  <c r="K127" i="17"/>
  <c r="P20" i="33"/>
  <c r="V196" i="17"/>
  <c r="N21" i="46"/>
  <c r="O21" i="46" s="1"/>
  <c r="X119" i="17"/>
  <c r="AK119" i="17"/>
  <c r="U188" i="17"/>
  <c r="AF119" i="17"/>
  <c r="AD119" i="17"/>
  <c r="AJ119" i="17"/>
  <c r="W119" i="17"/>
  <c r="Z119" i="17"/>
  <c r="AH119" i="17"/>
  <c r="AB119" i="17"/>
  <c r="U142" i="17"/>
  <c r="Y119" i="17"/>
  <c r="AA119" i="17"/>
  <c r="G127" i="17"/>
  <c r="K20" i="33"/>
  <c r="C183" i="17"/>
  <c r="C160" i="17"/>
  <c r="C137" i="17"/>
  <c r="H35" i="34"/>
  <c r="W35" i="34"/>
  <c r="AD35" i="34"/>
  <c r="X35" i="34"/>
  <c r="U187" i="17"/>
  <c r="X118" i="17"/>
  <c r="AK118" i="17"/>
  <c r="AI118" i="17"/>
  <c r="AF118" i="17"/>
  <c r="AD118" i="17"/>
  <c r="U164" i="17"/>
  <c r="H20" i="33"/>
  <c r="AG64" i="34"/>
  <c r="F64" i="34"/>
  <c r="R64" i="34"/>
  <c r="E64" i="34"/>
  <c r="E65" i="34"/>
  <c r="AH87" i="17"/>
  <c r="AB87" i="17"/>
  <c r="AA87" i="17"/>
  <c r="Y87" i="17"/>
  <c r="Z87" i="17"/>
  <c r="W87" i="17"/>
  <c r="Q127" i="17"/>
  <c r="B196" i="17"/>
  <c r="J20" i="33"/>
  <c r="M4" i="33"/>
  <c r="R127" i="17"/>
  <c r="I127" i="17"/>
  <c r="D4" i="33"/>
  <c r="H4" i="33"/>
  <c r="Q4" i="33"/>
  <c r="L4" i="33"/>
  <c r="F4" i="33"/>
  <c r="D20" i="33"/>
  <c r="I195" i="17"/>
  <c r="H195" i="17"/>
  <c r="O195" i="17"/>
  <c r="D195" i="17"/>
  <c r="G195" i="17"/>
  <c r="F195" i="17"/>
  <c r="Q117" i="17"/>
  <c r="B186" i="17"/>
  <c r="O127" i="17"/>
  <c r="P4" i="33"/>
  <c r="F20" i="33"/>
  <c r="AG87" i="34"/>
  <c r="W86" i="34"/>
  <c r="J86" i="34"/>
  <c r="B194" i="17"/>
  <c r="Q125" i="17"/>
  <c r="Q17" i="17"/>
  <c r="B86" i="17"/>
  <c r="B116" i="17"/>
  <c r="E111" i="17"/>
  <c r="G20" i="33"/>
  <c r="J4" i="33"/>
  <c r="V84" i="17"/>
  <c r="V61" i="17"/>
  <c r="N17" i="46"/>
  <c r="O17" i="46" s="1"/>
  <c r="Z95" i="17"/>
  <c r="AH95" i="17"/>
  <c r="AB95" i="17"/>
  <c r="W95" i="17"/>
  <c r="AA95" i="17"/>
  <c r="Y95" i="17"/>
  <c r="H193" i="17"/>
  <c r="D193" i="17"/>
  <c r="O193" i="17"/>
  <c r="G193" i="17"/>
  <c r="F193" i="17"/>
  <c r="I193" i="17"/>
  <c r="W37" i="46"/>
  <c r="N4" i="33"/>
  <c r="O20" i="33"/>
  <c r="X40" i="46"/>
  <c r="B150" i="17"/>
  <c r="AB22" i="46"/>
  <c r="W10" i="46"/>
  <c r="Z165" i="17"/>
  <c r="W165" i="17"/>
  <c r="AH165" i="17"/>
  <c r="AB165" i="17"/>
  <c r="U47" i="17"/>
  <c r="AB24" i="17"/>
  <c r="U93" i="17"/>
  <c r="W24" i="17"/>
  <c r="U70" i="17"/>
  <c r="Y24" i="17"/>
  <c r="AJ24" i="17"/>
  <c r="U123" i="17"/>
  <c r="E1" i="49"/>
  <c r="E6" i="50"/>
  <c r="C23" i="50" s="1"/>
  <c r="P127" i="17"/>
  <c r="Y81" i="17"/>
  <c r="AB81" i="17"/>
  <c r="Q113" i="17"/>
  <c r="B182" i="17"/>
  <c r="AH31" i="46"/>
  <c r="B88" i="17"/>
  <c r="O20" i="46"/>
  <c r="AJ26" i="17"/>
  <c r="AJ10" i="17"/>
  <c r="AY1" i="47"/>
  <c r="AY45" i="47" s="1"/>
  <c r="C6" i="50"/>
  <c r="C22" i="50" s="1"/>
  <c r="O80" i="17"/>
  <c r="AH84" i="17"/>
  <c r="G80" i="17"/>
  <c r="AA96" i="17"/>
  <c r="B95" i="17"/>
  <c r="W96" i="17"/>
  <c r="W80" i="17"/>
  <c r="AJ122" i="17"/>
  <c r="U117" i="17"/>
  <c r="Q115" i="17"/>
  <c r="H83" i="17"/>
  <c r="Y92" i="17"/>
  <c r="F87" i="17"/>
  <c r="Y91" i="17"/>
  <c r="O23" i="46"/>
  <c r="O19" i="46"/>
  <c r="U144" i="17"/>
  <c r="G93" i="17"/>
  <c r="AB96" i="17"/>
  <c r="AB80" i="17"/>
  <c r="U184" i="17"/>
  <c r="AJ21" i="17"/>
  <c r="U116" i="17"/>
  <c r="B109" i="17"/>
  <c r="O44" i="46"/>
  <c r="O32" i="46"/>
  <c r="A3" i="49"/>
  <c r="V117" i="17"/>
  <c r="V64" i="17"/>
  <c r="Z44" i="31"/>
  <c r="I83" i="17"/>
  <c r="AA91" i="17"/>
  <c r="Y88" i="17"/>
  <c r="D92" i="17"/>
  <c r="U86" i="17"/>
  <c r="Q14" i="17"/>
  <c r="AJ19" i="17"/>
  <c r="U126" i="17"/>
  <c r="U110" i="17"/>
  <c r="Q124" i="17"/>
  <c r="B119" i="17"/>
  <c r="A4" i="49"/>
  <c r="F83" i="17"/>
  <c r="O22" i="46"/>
  <c r="V96" i="17"/>
  <c r="D80" i="17"/>
  <c r="D83" i="17"/>
  <c r="Q28" i="17"/>
  <c r="Q12" i="17"/>
  <c r="U120" i="17"/>
  <c r="C120" i="17"/>
  <c r="Y83" i="17"/>
  <c r="W83" i="17"/>
  <c r="AJ13" i="17"/>
  <c r="I92" i="17"/>
  <c r="Z96" i="17"/>
  <c r="Z80" i="17"/>
  <c r="B97" i="17"/>
  <c r="B81" i="17"/>
  <c r="N46" i="46"/>
  <c r="O46" i="46" s="1"/>
  <c r="N38" i="46"/>
  <c r="O38" i="46" s="1"/>
  <c r="N30" i="46"/>
  <c r="O30" i="46" s="1"/>
  <c r="O83" i="17"/>
  <c r="K99" i="15"/>
  <c r="AA44" i="15"/>
  <c r="S64" i="15"/>
  <c r="C99" i="15"/>
  <c r="C137" i="15"/>
  <c r="AA48" i="15"/>
  <c r="S117" i="15"/>
  <c r="C139" i="15"/>
  <c r="C147" i="15"/>
  <c r="AB97" i="15"/>
  <c r="O63" i="15"/>
  <c r="C42" i="15"/>
  <c r="AB74" i="15"/>
  <c r="AA74" i="15"/>
  <c r="AD31" i="15"/>
  <c r="AE31" i="15" s="1"/>
  <c r="AC42" i="15"/>
  <c r="AB42" i="15"/>
  <c r="Z119" i="15"/>
  <c r="AA105" i="15"/>
  <c r="Z159" i="15"/>
  <c r="T155" i="15"/>
  <c r="AC119" i="15"/>
  <c r="S163" i="15"/>
  <c r="S105" i="15"/>
  <c r="T159" i="15"/>
  <c r="C113" i="15"/>
  <c r="C40" i="15"/>
  <c r="AC159" i="15"/>
  <c r="AA119" i="15"/>
  <c r="Z105" i="15"/>
  <c r="K50" i="15"/>
  <c r="AA26" i="15"/>
  <c r="D74" i="15"/>
  <c r="AB159" i="15"/>
  <c r="AB105" i="15"/>
  <c r="M40" i="15"/>
  <c r="D147" i="15"/>
  <c r="T129" i="15"/>
  <c r="M38" i="15"/>
  <c r="S78" i="15"/>
  <c r="AB141" i="15"/>
  <c r="K151" i="15"/>
  <c r="K139" i="15"/>
  <c r="D151" i="15"/>
  <c r="M139" i="15"/>
  <c r="L151" i="15"/>
  <c r="J139" i="15"/>
  <c r="AA141" i="15"/>
  <c r="Z141" i="15"/>
  <c r="J147" i="15"/>
  <c r="L107" i="15"/>
  <c r="AA64" i="15"/>
  <c r="AA22" i="15"/>
  <c r="D109" i="15"/>
  <c r="AB93" i="15"/>
  <c r="AC22" i="15"/>
  <c r="Z93" i="15"/>
  <c r="O92" i="15"/>
  <c r="AB145" i="15"/>
  <c r="AB64" i="15"/>
  <c r="S32" i="15"/>
  <c r="M60" i="15"/>
  <c r="AA32" i="15"/>
  <c r="AD59" i="15"/>
  <c r="AE59" i="15" s="1"/>
  <c r="AD65" i="15"/>
  <c r="AE65" i="15" s="1"/>
  <c r="M137" i="15"/>
  <c r="AC32" i="15"/>
  <c r="C28" i="15"/>
  <c r="O75" i="15"/>
  <c r="L137" i="15"/>
  <c r="M113" i="15"/>
  <c r="O27" i="15"/>
  <c r="O29" i="15"/>
  <c r="Z129" i="15"/>
  <c r="K113" i="15"/>
  <c r="AB54" i="15"/>
  <c r="AA129" i="15"/>
  <c r="Z64" i="15"/>
  <c r="K107" i="15"/>
  <c r="J60" i="15"/>
  <c r="AA16" i="15"/>
  <c r="D58" i="15"/>
  <c r="J24" i="15"/>
  <c r="Z97" i="15"/>
  <c r="J145" i="15"/>
  <c r="K24" i="15"/>
  <c r="AA97" i="15"/>
  <c r="AB157" i="15"/>
  <c r="L145" i="15"/>
  <c r="AC16" i="15"/>
  <c r="S131" i="15"/>
  <c r="S54" i="15"/>
  <c r="L24" i="15"/>
  <c r="S97" i="15"/>
  <c r="C97" i="15"/>
  <c r="O150" i="15"/>
  <c r="AC131" i="15"/>
  <c r="AB12" i="15"/>
  <c r="C125" i="15"/>
  <c r="AB131" i="15"/>
  <c r="AB38" i="15"/>
  <c r="AC111" i="15"/>
  <c r="AA111" i="15"/>
  <c r="AC157" i="15"/>
  <c r="AD130" i="15"/>
  <c r="AE130" i="15" s="1"/>
  <c r="O124" i="15"/>
  <c r="O100" i="15"/>
  <c r="S16" i="15"/>
  <c r="T157" i="15"/>
  <c r="C38" i="15"/>
  <c r="AD5" i="15"/>
  <c r="AE5" i="15" s="1"/>
  <c r="AA157" i="15"/>
  <c r="O94" i="15"/>
  <c r="AD128" i="15"/>
  <c r="AE128" i="15" s="1"/>
  <c r="D137" i="15"/>
  <c r="Z46" i="15"/>
  <c r="Z22" i="15"/>
  <c r="M107" i="15"/>
  <c r="D145" i="15"/>
  <c r="O134" i="15"/>
  <c r="J137" i="15"/>
  <c r="T123" i="15"/>
  <c r="C60" i="15"/>
  <c r="M151" i="15"/>
  <c r="K60" i="15"/>
  <c r="K38" i="15"/>
  <c r="Z44" i="15"/>
  <c r="S38" i="15"/>
  <c r="L44" i="15"/>
  <c r="K91" i="15"/>
  <c r="T16" i="15"/>
  <c r="L101" i="15"/>
  <c r="J91" i="15"/>
  <c r="L95" i="15"/>
  <c r="AC103" i="15"/>
  <c r="T163" i="15"/>
  <c r="S107" i="15"/>
  <c r="D54" i="15"/>
  <c r="J95" i="15"/>
  <c r="AB117" i="15"/>
  <c r="C161" i="15"/>
  <c r="C109" i="15"/>
  <c r="C95" i="15"/>
  <c r="D12" i="15"/>
  <c r="AD13" i="15"/>
  <c r="AE13" i="15" s="1"/>
  <c r="O23" i="15"/>
  <c r="AC117" i="15"/>
  <c r="AB34" i="15"/>
  <c r="Z24" i="15"/>
  <c r="S161" i="15"/>
  <c r="C16" i="15"/>
  <c r="T22" i="15"/>
  <c r="AC56" i="15"/>
  <c r="T107" i="15"/>
  <c r="L22" i="15"/>
  <c r="C4" i="15"/>
  <c r="M16" i="15"/>
  <c r="AA24" i="15"/>
  <c r="AC107" i="15"/>
  <c r="J4" i="15"/>
  <c r="K16" i="15"/>
  <c r="AC24" i="15"/>
  <c r="Z107" i="15"/>
  <c r="K4" i="15"/>
  <c r="L16" i="15"/>
  <c r="T44" i="15"/>
  <c r="L131" i="15"/>
  <c r="AB123" i="15"/>
  <c r="M42" i="15"/>
  <c r="AB119" i="15"/>
  <c r="AB76" i="15"/>
  <c r="S76" i="15"/>
  <c r="S22" i="15"/>
  <c r="C151" i="15"/>
  <c r="C107" i="15"/>
  <c r="T97" i="15"/>
  <c r="D4" i="15"/>
  <c r="J16" i="15"/>
  <c r="AA123" i="15"/>
  <c r="T119" i="15"/>
  <c r="M4" i="15"/>
  <c r="S93" i="15"/>
  <c r="AC155" i="15"/>
  <c r="C74" i="15"/>
  <c r="C91" i="15"/>
  <c r="D8" i="15"/>
  <c r="T145" i="15"/>
  <c r="Z12" i="15"/>
  <c r="D91" i="15"/>
  <c r="M95" i="15"/>
  <c r="AD156" i="15"/>
  <c r="AE156" i="15" s="1"/>
  <c r="AC145" i="15"/>
  <c r="AC34" i="15"/>
  <c r="C119" i="15"/>
  <c r="D95" i="15"/>
  <c r="O122" i="15"/>
  <c r="M68" i="15"/>
  <c r="AA50" i="15"/>
  <c r="Z131" i="15"/>
  <c r="K119" i="15"/>
  <c r="T117" i="15"/>
  <c r="L66" i="15"/>
  <c r="D68" i="15"/>
  <c r="D24" i="15"/>
  <c r="T161" i="15"/>
  <c r="AA145" i="15"/>
  <c r="AA131" i="15"/>
  <c r="AC129" i="15"/>
  <c r="J119" i="15"/>
  <c r="D111" i="15"/>
  <c r="L105" i="15"/>
  <c r="J66" i="15"/>
  <c r="L36" i="15"/>
  <c r="M24" i="15"/>
  <c r="AA161" i="15"/>
  <c r="K66" i="15"/>
  <c r="Z145" i="15"/>
  <c r="J131" i="15"/>
  <c r="AB129" i="15"/>
  <c r="K125" i="15"/>
  <c r="D119" i="15"/>
  <c r="J111" i="15"/>
  <c r="D105" i="15"/>
  <c r="Z62" i="15"/>
  <c r="Z16" i="15"/>
  <c r="S151" i="15"/>
  <c r="D66" i="15"/>
  <c r="J89" i="15"/>
  <c r="AB99" i="15"/>
  <c r="AA89" i="15"/>
  <c r="J159" i="15"/>
  <c r="O39" i="15"/>
  <c r="K153" i="15"/>
  <c r="AC151" i="15"/>
  <c r="J125" i="15"/>
  <c r="K105" i="15"/>
  <c r="S113" i="15"/>
  <c r="J34" i="15"/>
  <c r="Z101" i="15"/>
  <c r="D36" i="15"/>
  <c r="J97" i="15"/>
  <c r="C12" i="15"/>
  <c r="AD154" i="15"/>
  <c r="AE154" i="15" s="1"/>
  <c r="L153" i="15"/>
  <c r="AB151" i="15"/>
  <c r="L125" i="15"/>
  <c r="C34" i="15"/>
  <c r="S101" i="15"/>
  <c r="K97" i="15"/>
  <c r="K12" i="15"/>
  <c r="T28" i="15"/>
  <c r="C66" i="15"/>
  <c r="AC99" i="15"/>
  <c r="T62" i="15"/>
  <c r="J105" i="15"/>
  <c r="D125" i="15"/>
  <c r="M105" i="15"/>
  <c r="AD102" i="15"/>
  <c r="AE102" i="15" s="1"/>
  <c r="O118" i="15"/>
  <c r="AD3" i="15"/>
  <c r="AE3" i="15" s="1"/>
  <c r="K78" i="15"/>
  <c r="T151" i="15"/>
  <c r="AA28" i="15"/>
  <c r="K34" i="15"/>
  <c r="Z30" i="15"/>
  <c r="S149" i="15"/>
  <c r="S48" i="15"/>
  <c r="C56" i="15"/>
  <c r="AB101" i="15"/>
  <c r="D34" i="15"/>
  <c r="T99" i="15"/>
  <c r="AA93" i="15"/>
  <c r="T48" i="15"/>
  <c r="Z117" i="15"/>
  <c r="AC125" i="15"/>
  <c r="L111" i="15"/>
  <c r="J12" i="15"/>
  <c r="AA70" i="15"/>
  <c r="M78" i="15"/>
  <c r="M147" i="15"/>
  <c r="D141" i="15"/>
  <c r="M56" i="15"/>
  <c r="K54" i="15"/>
  <c r="M46" i="15"/>
  <c r="AC28" i="15"/>
  <c r="M34" i="15"/>
  <c r="J56" i="15"/>
  <c r="AB89" i="15"/>
  <c r="M12" i="15"/>
  <c r="T125" i="15"/>
  <c r="AC161" i="15"/>
  <c r="M119" i="15"/>
  <c r="S30" i="15"/>
  <c r="K159" i="15"/>
  <c r="AB161" i="15"/>
  <c r="AC70" i="15"/>
  <c r="L147" i="15"/>
  <c r="J141" i="15"/>
  <c r="K56" i="15"/>
  <c r="M54" i="15"/>
  <c r="K46" i="15"/>
  <c r="AC123" i="15"/>
  <c r="C127" i="15"/>
  <c r="D56" i="15"/>
  <c r="T70" i="15"/>
  <c r="T46" i="15"/>
  <c r="O33" i="15"/>
  <c r="M141" i="15"/>
  <c r="Z123" i="15"/>
  <c r="AB70" i="15"/>
  <c r="Z48" i="15"/>
  <c r="C141" i="15"/>
  <c r="AC95" i="15"/>
  <c r="O152" i="15"/>
  <c r="AD152" i="15"/>
  <c r="AE152" i="15" s="1"/>
  <c r="S58" i="15"/>
  <c r="Z58" i="15"/>
  <c r="T58" i="15"/>
  <c r="AA58" i="15"/>
  <c r="AC58" i="15"/>
  <c r="AB58" i="15"/>
  <c r="AB26" i="15"/>
  <c r="T26" i="15"/>
  <c r="AC26" i="15"/>
  <c r="S26" i="15"/>
  <c r="Z121" i="15"/>
  <c r="S121" i="15"/>
  <c r="L52" i="15"/>
  <c r="J52" i="15"/>
  <c r="C52" i="15"/>
  <c r="M52" i="15"/>
  <c r="D52" i="15"/>
  <c r="AC36" i="15"/>
  <c r="AA36" i="15"/>
  <c r="AB143" i="15"/>
  <c r="S143" i="15"/>
  <c r="T143" i="15"/>
  <c r="AC143" i="15"/>
  <c r="AA143" i="15"/>
  <c r="Z143" i="15"/>
  <c r="K115" i="15"/>
  <c r="L115" i="15"/>
  <c r="C115" i="15"/>
  <c r="J115" i="15"/>
  <c r="D115" i="15"/>
  <c r="M115" i="15"/>
  <c r="D62" i="15"/>
  <c r="L62" i="15"/>
  <c r="M62" i="15"/>
  <c r="J62" i="15"/>
  <c r="K62" i="15"/>
  <c r="C62" i="15"/>
  <c r="D30" i="15"/>
  <c r="C30" i="15"/>
  <c r="K30" i="15"/>
  <c r="M30" i="15"/>
  <c r="J30" i="15"/>
  <c r="L30" i="15"/>
  <c r="O114" i="15"/>
  <c r="AD114" i="15"/>
  <c r="AE114" i="15" s="1"/>
  <c r="AD146" i="15"/>
  <c r="AE146" i="15" s="1"/>
  <c r="O146" i="15"/>
  <c r="T135" i="15"/>
  <c r="Z135" i="15"/>
  <c r="AA135" i="15"/>
  <c r="AB135" i="15"/>
  <c r="AC135" i="15"/>
  <c r="L143" i="15"/>
  <c r="D143" i="15"/>
  <c r="J143" i="15"/>
  <c r="K143" i="15"/>
  <c r="AD9" i="15"/>
  <c r="AE9" i="15" s="1"/>
  <c r="O9" i="15"/>
  <c r="O41" i="15"/>
  <c r="AD41" i="15"/>
  <c r="AE41" i="15" s="1"/>
  <c r="D157" i="15"/>
  <c r="M157" i="15"/>
  <c r="K157" i="15"/>
  <c r="L157" i="15"/>
  <c r="J157" i="15"/>
  <c r="J14" i="15"/>
  <c r="D14" i="15"/>
  <c r="AA163" i="15"/>
  <c r="AB163" i="15"/>
  <c r="Z163" i="15"/>
  <c r="AD120" i="15"/>
  <c r="AE120" i="15" s="1"/>
  <c r="O120" i="15"/>
  <c r="AD49" i="15"/>
  <c r="AE49" i="15" s="1"/>
  <c r="T14" i="15"/>
  <c r="M159" i="15"/>
  <c r="AA56" i="15"/>
  <c r="Z113" i="15"/>
  <c r="M28" i="15"/>
  <c r="AB18" i="15"/>
  <c r="S46" i="15"/>
  <c r="J50" i="15"/>
  <c r="L50" i="15"/>
  <c r="D40" i="15"/>
  <c r="J22" i="15"/>
  <c r="C10" i="15"/>
  <c r="AA99" i="15"/>
  <c r="W164" i="15"/>
  <c r="AB164" i="15"/>
  <c r="D159" i="15"/>
  <c r="O69" i="15"/>
  <c r="AD35" i="15"/>
  <c r="AE35" i="15" s="1"/>
  <c r="AA151" i="15"/>
  <c r="K145" i="15"/>
  <c r="T141" i="15"/>
  <c r="AB113" i="15"/>
  <c r="K28" i="15"/>
  <c r="AB56" i="15"/>
  <c r="Z66" i="15"/>
  <c r="L28" i="15"/>
  <c r="D76" i="15"/>
  <c r="M22" i="15"/>
  <c r="T89" i="15"/>
  <c r="T12" i="15"/>
  <c r="L159" i="15"/>
  <c r="O21" i="15"/>
  <c r="M145" i="15"/>
  <c r="AC141" i="15"/>
  <c r="K40" i="15"/>
  <c r="K109" i="15"/>
  <c r="Z28" i="15"/>
  <c r="X79" i="15"/>
  <c r="W4" i="17" s="1"/>
  <c r="S44" i="15"/>
  <c r="S24" i="15"/>
  <c r="J28" i="15"/>
  <c r="AC105" i="15"/>
  <c r="C22" i="15"/>
  <c r="AC93" i="15"/>
  <c r="T66" i="15"/>
  <c r="M131" i="15"/>
  <c r="D72" i="15"/>
  <c r="Z155" i="15"/>
  <c r="L60" i="15"/>
  <c r="D50" i="15"/>
  <c r="AD43" i="15"/>
  <c r="AE43" i="15" s="1"/>
  <c r="AD15" i="15"/>
  <c r="AE15" i="15" s="1"/>
  <c r="Z149" i="15"/>
  <c r="AA76" i="15"/>
  <c r="AD158" i="15"/>
  <c r="AE158" i="15" s="1"/>
  <c r="AD88" i="15"/>
  <c r="AE88" i="15" s="1"/>
  <c r="AD148" i="15"/>
  <c r="AE148" i="15" s="1"/>
  <c r="D163" i="15"/>
  <c r="O47" i="15"/>
  <c r="O53" i="15"/>
  <c r="AD67" i="15"/>
  <c r="AE67" i="15" s="1"/>
  <c r="K72" i="15"/>
  <c r="AC149" i="15"/>
  <c r="AA38" i="15"/>
  <c r="M127" i="15"/>
  <c r="M121" i="15"/>
  <c r="Z109" i="15"/>
  <c r="AB44" i="15"/>
  <c r="Y15" i="15"/>
  <c r="Z76" i="15"/>
  <c r="S111" i="15"/>
  <c r="J76" i="15"/>
  <c r="C54" i="15"/>
  <c r="K20" i="15"/>
  <c r="K8" i="15"/>
  <c r="AC89" i="15"/>
  <c r="K6" i="15"/>
  <c r="T38" i="15"/>
  <c r="AA149" i="15"/>
  <c r="O140" i="15"/>
  <c r="AB149" i="15"/>
  <c r="Z78" i="15"/>
  <c r="C26" i="15"/>
  <c r="J163" i="15"/>
  <c r="Z38" i="15"/>
  <c r="S34" i="15"/>
  <c r="D6" i="15"/>
  <c r="T78" i="15"/>
  <c r="AC76" i="15"/>
  <c r="K163" i="15"/>
  <c r="AC66" i="15"/>
  <c r="AD51" i="15"/>
  <c r="AE51" i="15" s="1"/>
  <c r="O61" i="15"/>
  <c r="AC54" i="15"/>
  <c r="D127" i="15"/>
  <c r="AA109" i="15"/>
  <c r="AC12" i="15"/>
  <c r="AB24" i="15"/>
  <c r="Z56" i="15"/>
  <c r="S70" i="15"/>
  <c r="S14" i="15"/>
  <c r="L76" i="15"/>
  <c r="C72" i="15"/>
  <c r="D26" i="15"/>
  <c r="L20" i="15"/>
  <c r="M8" i="15"/>
  <c r="S89" i="15"/>
  <c r="J6" i="15"/>
  <c r="J107" i="15"/>
  <c r="L40" i="15"/>
  <c r="AA46" i="15"/>
  <c r="J121" i="15"/>
  <c r="O116" i="15"/>
  <c r="L163" i="15"/>
  <c r="AA66" i="15"/>
  <c r="AD37" i="15"/>
  <c r="AE37" i="15" s="1"/>
  <c r="O17" i="15"/>
  <c r="AA54" i="15"/>
  <c r="J127" i="15"/>
  <c r="K123" i="15"/>
  <c r="D113" i="15"/>
  <c r="AC109" i="15"/>
  <c r="AA12" i="15"/>
  <c r="Z34" i="15"/>
  <c r="S50" i="15"/>
  <c r="J54" i="15"/>
  <c r="D44" i="15"/>
  <c r="C8" i="15"/>
  <c r="L97" i="15"/>
  <c r="M6" i="15"/>
  <c r="T56" i="15"/>
  <c r="J44" i="15"/>
  <c r="K131" i="15"/>
  <c r="AA155" i="15"/>
  <c r="D131" i="15"/>
  <c r="T60" i="15"/>
  <c r="AB155" i="15"/>
  <c r="M72" i="15"/>
  <c r="D121" i="15"/>
  <c r="AB66" i="15"/>
  <c r="AD96" i="15"/>
  <c r="AE96" i="15" s="1"/>
  <c r="M163" i="15"/>
  <c r="O57" i="15"/>
  <c r="L127" i="15"/>
  <c r="D123" i="15"/>
  <c r="L113" i="15"/>
  <c r="AB109" i="15"/>
  <c r="Z54" i="15"/>
  <c r="S159" i="15"/>
  <c r="J72" i="15"/>
  <c r="J8" i="15"/>
  <c r="C6" i="15"/>
  <c r="T34" i="15"/>
  <c r="AB50" i="15"/>
  <c r="S99" i="15"/>
  <c r="M50" i="15"/>
  <c r="L121" i="15"/>
  <c r="Z60" i="15"/>
  <c r="AC78" i="15"/>
  <c r="C20" i="15"/>
  <c r="D97" i="15"/>
  <c r="T109" i="15"/>
  <c r="Z14" i="15"/>
  <c r="D42" i="15"/>
  <c r="AD112" i="15"/>
  <c r="AE112" i="15" s="1"/>
  <c r="AD160" i="15"/>
  <c r="AE160" i="15" s="1"/>
  <c r="O11" i="15"/>
  <c r="AD11" i="15"/>
  <c r="AE11" i="15" s="1"/>
  <c r="S147" i="15"/>
  <c r="AC147" i="15"/>
  <c r="T147" i="15"/>
  <c r="AB147" i="15"/>
  <c r="Z147" i="15"/>
  <c r="AA147" i="15"/>
  <c r="S133" i="15"/>
  <c r="AB127" i="15"/>
  <c r="T127" i="15"/>
  <c r="AA127" i="15"/>
  <c r="AC127" i="15"/>
  <c r="L123" i="15"/>
  <c r="M123" i="15"/>
  <c r="AD144" i="15"/>
  <c r="AE144" i="15" s="1"/>
  <c r="O144" i="15"/>
  <c r="X164" i="15"/>
  <c r="W103" i="17" s="1"/>
  <c r="Z153" i="15"/>
  <c r="AC153" i="15"/>
  <c r="AB153" i="15"/>
  <c r="AA153" i="15"/>
  <c r="S139" i="15"/>
  <c r="K93" i="15"/>
  <c r="J93" i="15"/>
  <c r="L93" i="15"/>
  <c r="AB91" i="15"/>
  <c r="AC91" i="15"/>
  <c r="Z91" i="15"/>
  <c r="J155" i="15"/>
  <c r="D155" i="15"/>
  <c r="M155" i="15"/>
  <c r="D135" i="15"/>
  <c r="J135" i="15"/>
  <c r="J64" i="15"/>
  <c r="C64" i="15"/>
  <c r="D64" i="15"/>
  <c r="K64" i="15"/>
  <c r="M64" i="15"/>
  <c r="L64" i="15"/>
  <c r="J32" i="15"/>
  <c r="C32" i="15"/>
  <c r="K32" i="15"/>
  <c r="D32" i="15"/>
  <c r="M32" i="15"/>
  <c r="L32" i="15"/>
  <c r="M18" i="15"/>
  <c r="C18" i="15"/>
  <c r="J18" i="15"/>
  <c r="L18" i="15"/>
  <c r="K18" i="15"/>
  <c r="S68" i="15"/>
  <c r="AA68" i="15"/>
  <c r="T68" i="15"/>
  <c r="Z68" i="15"/>
  <c r="AC68" i="15"/>
  <c r="AB68" i="15"/>
  <c r="S36" i="15"/>
  <c r="T36" i="15"/>
  <c r="Z36" i="15"/>
  <c r="AB36" i="15"/>
  <c r="AD138" i="15"/>
  <c r="AE138" i="15" s="1"/>
  <c r="O138" i="15"/>
  <c r="T153" i="15"/>
  <c r="J161" i="15"/>
  <c r="L161" i="15"/>
  <c r="D161" i="15"/>
  <c r="K161" i="15"/>
  <c r="K103" i="15"/>
  <c r="M103" i="15"/>
  <c r="J103" i="15"/>
  <c r="L103" i="15"/>
  <c r="T91" i="15"/>
  <c r="J149" i="15"/>
  <c r="K149" i="15"/>
  <c r="L149" i="15"/>
  <c r="AD106" i="15"/>
  <c r="AE106" i="15" s="1"/>
  <c r="O106" i="15"/>
  <c r="O104" i="15"/>
  <c r="AD104" i="15"/>
  <c r="AE104" i="15" s="1"/>
  <c r="AD71" i="15"/>
  <c r="AE71" i="15" s="1"/>
  <c r="O71" i="15"/>
  <c r="Z95" i="15"/>
  <c r="S95" i="15"/>
  <c r="AA95" i="15"/>
  <c r="L164" i="15"/>
  <c r="AD136" i="15"/>
  <c r="AE136" i="15" s="1"/>
  <c r="O136" i="15"/>
  <c r="C89" i="15"/>
  <c r="L89" i="15"/>
  <c r="K89" i="15"/>
  <c r="M89" i="15"/>
  <c r="J10" i="15"/>
  <c r="D10" i="15"/>
  <c r="L10" i="15"/>
  <c r="M10" i="15"/>
  <c r="T137" i="15"/>
  <c r="S137" i="15"/>
  <c r="AA137" i="15"/>
  <c r="Z137" i="15"/>
  <c r="AC137" i="15"/>
  <c r="D133" i="15"/>
  <c r="J133" i="15"/>
  <c r="C133" i="15"/>
  <c r="K133" i="15"/>
  <c r="M133" i="15"/>
  <c r="H164" i="15"/>
  <c r="D103" i="17" s="1"/>
  <c r="AB6" i="15"/>
  <c r="AC6" i="15"/>
  <c r="AA6" i="15"/>
  <c r="S6" i="15"/>
  <c r="L129" i="15"/>
  <c r="K129" i="15"/>
  <c r="O73" i="15"/>
  <c r="AD73" i="15"/>
  <c r="AE73" i="15" s="1"/>
  <c r="K135" i="15"/>
  <c r="L79" i="15"/>
  <c r="AB4" i="15"/>
  <c r="AA4" i="15"/>
  <c r="C101" i="15"/>
  <c r="J101" i="15"/>
  <c r="M101" i="15"/>
  <c r="O98" i="15"/>
  <c r="AD98" i="15"/>
  <c r="AE98" i="15" s="1"/>
  <c r="L155" i="15"/>
  <c r="M135" i="15"/>
  <c r="S4" i="15"/>
  <c r="G79" i="15"/>
  <c r="K155" i="15"/>
  <c r="L135" i="15"/>
  <c r="L70" i="15"/>
  <c r="K70" i="15"/>
  <c r="D70" i="15"/>
  <c r="L38" i="15"/>
  <c r="D38" i="15"/>
  <c r="D93" i="15"/>
  <c r="Z4" i="15"/>
  <c r="S74" i="15"/>
  <c r="T74" i="15"/>
  <c r="Z74" i="15"/>
  <c r="S42" i="15"/>
  <c r="T42" i="15"/>
  <c r="Z42" i="15"/>
  <c r="S10" i="15"/>
  <c r="AB10" i="15"/>
  <c r="AC10" i="15"/>
  <c r="Z10" i="15"/>
  <c r="T10" i="15"/>
  <c r="T6" i="15"/>
  <c r="AD126" i="15"/>
  <c r="AE126" i="15" s="1"/>
  <c r="O126" i="15"/>
  <c r="T133" i="15"/>
  <c r="D129" i="15"/>
  <c r="S115" i="15"/>
  <c r="T115" i="15"/>
  <c r="AC115" i="15"/>
  <c r="Z115" i="15"/>
  <c r="AA115" i="15"/>
  <c r="AB115" i="15"/>
  <c r="J48" i="15"/>
  <c r="D48" i="15"/>
  <c r="C48" i="15"/>
  <c r="K48" i="15"/>
  <c r="L48" i="15"/>
  <c r="M48" i="15"/>
  <c r="AC4" i="15"/>
  <c r="S52" i="15"/>
  <c r="T52" i="15"/>
  <c r="Z52" i="15"/>
  <c r="AA52" i="15"/>
  <c r="AB52" i="15"/>
  <c r="S20" i="15"/>
  <c r="AC20" i="15"/>
  <c r="T20" i="15"/>
  <c r="Z20" i="15"/>
  <c r="AA20" i="15"/>
  <c r="AB20" i="15"/>
  <c r="AD162" i="15"/>
  <c r="AE162" i="15" s="1"/>
  <c r="AD45" i="15"/>
  <c r="AE45" i="15" s="1"/>
  <c r="AC139" i="15"/>
  <c r="L133" i="15"/>
  <c r="AA133" i="15"/>
  <c r="J129" i="15"/>
  <c r="C111" i="15"/>
  <c r="K111" i="15"/>
  <c r="C103" i="15"/>
  <c r="K58" i="15"/>
  <c r="L58" i="15"/>
  <c r="M58" i="15"/>
  <c r="J58" i="15"/>
  <c r="S91" i="15"/>
  <c r="AA62" i="15"/>
  <c r="AC62" i="15"/>
  <c r="AB62" i="15"/>
  <c r="AB30" i="15"/>
  <c r="AC30" i="15"/>
  <c r="AA30" i="15"/>
  <c r="AC8" i="15"/>
  <c r="AA8" i="15"/>
  <c r="T8" i="15"/>
  <c r="Z8" i="15"/>
  <c r="AB8" i="15"/>
  <c r="AB79" i="15"/>
  <c r="O110" i="15"/>
  <c r="O142" i="15"/>
  <c r="AD90" i="15"/>
  <c r="AE90" i="15" s="1"/>
  <c r="H79" i="15"/>
  <c r="D4" i="17" s="1"/>
  <c r="AA139" i="15"/>
  <c r="AC133" i="15"/>
  <c r="M129" i="15"/>
  <c r="AB121" i="15"/>
  <c r="AA121" i="15"/>
  <c r="AC121" i="15"/>
  <c r="T121" i="15"/>
  <c r="J68" i="15"/>
  <c r="K68" i="15"/>
  <c r="C68" i="15"/>
  <c r="J36" i="15"/>
  <c r="K36" i="15"/>
  <c r="C36" i="15"/>
  <c r="M99" i="15"/>
  <c r="J99" i="15"/>
  <c r="L99" i="15"/>
  <c r="T95" i="15"/>
  <c r="S72" i="15"/>
  <c r="AC72" i="15"/>
  <c r="AA72" i="15"/>
  <c r="T72" i="15"/>
  <c r="Z72" i="15"/>
  <c r="S40" i="15"/>
  <c r="AC40" i="15"/>
  <c r="AA40" i="15"/>
  <c r="T40" i="15"/>
  <c r="Z40" i="15"/>
  <c r="M149" i="15"/>
  <c r="Z139" i="15"/>
  <c r="Z133" i="15"/>
  <c r="J117" i="15"/>
  <c r="D117" i="15"/>
  <c r="M117" i="15"/>
  <c r="L117" i="15"/>
  <c r="K117" i="15"/>
  <c r="C70" i="15"/>
  <c r="D78" i="15"/>
  <c r="C78" i="15"/>
  <c r="L78" i="15"/>
  <c r="D46" i="15"/>
  <c r="C46" i="15"/>
  <c r="L46" i="15"/>
  <c r="D101" i="15"/>
  <c r="T50" i="15"/>
  <c r="Z50" i="15"/>
  <c r="T18" i="15"/>
  <c r="Z18" i="15"/>
  <c r="AC18" i="15"/>
  <c r="AA18" i="15"/>
  <c r="AD132" i="15"/>
  <c r="AE132" i="15" s="1"/>
  <c r="AD7" i="15"/>
  <c r="AE7" i="15" s="1"/>
  <c r="O7" i="15"/>
  <c r="O55" i="15"/>
  <c r="AD55" i="15"/>
  <c r="AE55" i="15" s="1"/>
  <c r="O108" i="15"/>
  <c r="D149" i="15"/>
  <c r="M70" i="15"/>
  <c r="AB139" i="15"/>
  <c r="S127" i="15"/>
  <c r="C143" i="15"/>
  <c r="M143" i="15"/>
  <c r="C123" i="15"/>
  <c r="G164" i="15"/>
  <c r="C93" i="15"/>
  <c r="W79" i="15"/>
  <c r="J74" i="15"/>
  <c r="J42" i="15"/>
  <c r="AA78" i="15"/>
  <c r="Z157" i="15"/>
  <c r="K141" i="15"/>
  <c r="L139" i="15"/>
  <c r="AC48" i="15"/>
  <c r="K121" i="15"/>
  <c r="AB107" i="15"/>
  <c r="S125" i="15"/>
  <c r="S60" i="15"/>
  <c r="S28" i="15"/>
  <c r="C153" i="15"/>
  <c r="T103" i="15"/>
  <c r="K42" i="15"/>
  <c r="AC113" i="15"/>
  <c r="T111" i="15"/>
  <c r="AC101" i="15"/>
  <c r="M153" i="15"/>
  <c r="K76" i="15"/>
  <c r="T113" i="15"/>
  <c r="Z111" i="15"/>
  <c r="L74" i="15"/>
  <c r="M26" i="15"/>
  <c r="T101" i="15"/>
  <c r="M14" i="15"/>
  <c r="J153" i="15"/>
  <c r="M76" i="15"/>
  <c r="L26" i="15"/>
  <c r="C14" i="15"/>
  <c r="O25" i="15"/>
  <c r="O19" i="15"/>
  <c r="AA60" i="15"/>
  <c r="M74" i="15"/>
  <c r="AA125" i="15"/>
  <c r="L109" i="15"/>
  <c r="AB46" i="15"/>
  <c r="AB14" i="15"/>
  <c r="K26" i="15"/>
  <c r="L14" i="15"/>
  <c r="AB103" i="15"/>
  <c r="AA103" i="15"/>
  <c r="S103" i="15"/>
  <c r="AD77" i="15"/>
  <c r="AE77" i="15" s="1"/>
  <c r="AC60" i="15"/>
  <c r="Z125" i="15"/>
  <c r="K44" i="15"/>
  <c r="J109" i="15"/>
  <c r="AA14" i="15"/>
  <c r="C44" i="15"/>
  <c r="J20" i="15"/>
  <c r="K14" i="15"/>
  <c r="M20" i="15"/>
  <c r="G36" i="46" l="1"/>
  <c r="S36" i="46"/>
  <c r="R36" i="46"/>
  <c r="D44" i="17"/>
  <c r="L44" i="17"/>
  <c r="O44" i="17"/>
  <c r="H44" i="17"/>
  <c r="G44" i="17"/>
  <c r="Q44" i="17"/>
  <c r="I44" i="17"/>
  <c r="F44" i="17"/>
  <c r="J44" i="17"/>
  <c r="N42" i="46"/>
  <c r="O42" i="46" s="1"/>
  <c r="W88" i="17"/>
  <c r="P111" i="17"/>
  <c r="AA21" i="46"/>
  <c r="AA26" i="46" s="1"/>
  <c r="J229" i="15"/>
  <c r="Y202" i="15"/>
  <c r="AL23" i="46"/>
  <c r="U167" i="17"/>
  <c r="V39" i="46"/>
  <c r="C135" i="17"/>
  <c r="Q43" i="17"/>
  <c r="AG38" i="46"/>
  <c r="Z22" i="46"/>
  <c r="I90" i="17"/>
  <c r="J90" i="17"/>
  <c r="L90" i="17"/>
  <c r="Q90" i="17"/>
  <c r="I85" i="17"/>
  <c r="G111" i="17"/>
  <c r="U48" i="34"/>
  <c r="AJ21" i="46"/>
  <c r="W202" i="15"/>
  <c r="AB202" i="15"/>
  <c r="R23" i="46"/>
  <c r="AB121" i="17"/>
  <c r="Z218" i="15"/>
  <c r="T179" i="15"/>
  <c r="D179" i="15"/>
  <c r="M179" i="15"/>
  <c r="G43" i="17"/>
  <c r="AE41" i="17"/>
  <c r="L185" i="15"/>
  <c r="K7" i="46"/>
  <c r="X7" i="46"/>
  <c r="W7" i="46"/>
  <c r="J43" i="17"/>
  <c r="R111" i="17"/>
  <c r="AA218" i="15"/>
  <c r="T215" i="15"/>
  <c r="AK121" i="17"/>
  <c r="K185" i="15"/>
  <c r="AC218" i="15"/>
  <c r="AJ22" i="34"/>
  <c r="Z41" i="17"/>
  <c r="U7" i="46"/>
  <c r="T7" i="46"/>
  <c r="Z47" i="34"/>
  <c r="P100" i="34"/>
  <c r="AA179" i="15"/>
  <c r="E48" i="46"/>
  <c r="AA220" i="15"/>
  <c r="AH41" i="17"/>
  <c r="Y41" i="17"/>
  <c r="AJ41" i="17"/>
  <c r="AB41" i="17"/>
  <c r="N25" i="46"/>
  <c r="O25" i="46" s="1"/>
  <c r="Y79" i="17"/>
  <c r="AH118" i="17"/>
  <c r="AJ39" i="46"/>
  <c r="V48" i="34"/>
  <c r="I215" i="15"/>
  <c r="Y218" i="15"/>
  <c r="X215" i="15"/>
  <c r="U190" i="17"/>
  <c r="W190" i="17" s="1"/>
  <c r="Z83" i="17"/>
  <c r="M185" i="15"/>
  <c r="T23" i="46"/>
  <c r="W64" i="17"/>
  <c r="S8" i="46"/>
  <c r="AB29" i="46"/>
  <c r="W218" i="15"/>
  <c r="N28" i="46"/>
  <c r="O28" i="46" s="1"/>
  <c r="B157" i="17"/>
  <c r="Q27" i="33"/>
  <c r="AA79" i="17"/>
  <c r="B180" i="17"/>
  <c r="AI48" i="34"/>
  <c r="J215" i="15"/>
  <c r="W215" i="15"/>
  <c r="K215" i="15"/>
  <c r="G100" i="34"/>
  <c r="I185" i="15"/>
  <c r="AC179" i="15"/>
  <c r="G7" i="46"/>
  <c r="G26" i="46" s="1"/>
  <c r="F85" i="17"/>
  <c r="L179" i="15"/>
  <c r="AC64" i="17"/>
  <c r="AJ8" i="34"/>
  <c r="AJ38" i="34"/>
  <c r="AJ10" i="34"/>
  <c r="W41" i="17"/>
  <c r="H28" i="46"/>
  <c r="T28" i="46"/>
  <c r="V220" i="15"/>
  <c r="Y220" i="15"/>
  <c r="W220" i="15"/>
  <c r="AC215" i="15"/>
  <c r="K111" i="17"/>
  <c r="AB79" i="17"/>
  <c r="Q111" i="17"/>
  <c r="M215" i="15"/>
  <c r="AA215" i="15"/>
  <c r="X202" i="15"/>
  <c r="W179" i="15"/>
  <c r="W5" i="33"/>
  <c r="X5" i="33" s="1"/>
  <c r="H85" i="17"/>
  <c r="AB179" i="15"/>
  <c r="Y64" i="17"/>
  <c r="Z29" i="46"/>
  <c r="U28" i="46"/>
  <c r="AC7" i="46"/>
  <c r="AA63" i="17"/>
  <c r="AJ63" i="17"/>
  <c r="U18" i="46"/>
  <c r="L18" i="46"/>
  <c r="J18" i="46"/>
  <c r="AH79" i="17"/>
  <c r="H215" i="15"/>
  <c r="G215" i="15"/>
  <c r="T218" i="15"/>
  <c r="AA36" i="46"/>
  <c r="V202" i="15"/>
  <c r="L7" i="46"/>
  <c r="G85" i="17"/>
  <c r="T202" i="15"/>
  <c r="AH64" i="17"/>
  <c r="Y29" i="46"/>
  <c r="AG28" i="46"/>
  <c r="Y43" i="46"/>
  <c r="H7" i="46"/>
  <c r="V215" i="15"/>
  <c r="S23" i="46"/>
  <c r="R20" i="46"/>
  <c r="V28" i="46"/>
  <c r="T8" i="46"/>
  <c r="AL45" i="46"/>
  <c r="AC202" i="15"/>
  <c r="AH124" i="17"/>
  <c r="W41" i="33"/>
  <c r="X41" i="33" s="1"/>
  <c r="AI43" i="46"/>
  <c r="X179" i="15"/>
  <c r="H179" i="15"/>
  <c r="V7" i="46"/>
  <c r="T27" i="33"/>
  <c r="AA20" i="46"/>
  <c r="AC22" i="46"/>
  <c r="W29" i="46"/>
  <c r="L45" i="46"/>
  <c r="J45" i="46"/>
  <c r="H45" i="46"/>
  <c r="O85" i="17"/>
  <c r="H229" i="15"/>
  <c r="AA202" i="15"/>
  <c r="AB36" i="46"/>
  <c r="AJ121" i="17"/>
  <c r="N27" i="33"/>
  <c r="W48" i="34"/>
  <c r="X220" i="15"/>
  <c r="D229" i="15"/>
  <c r="X36" i="46"/>
  <c r="U193" i="17"/>
  <c r="V149" i="17"/>
  <c r="I87" i="17"/>
  <c r="P7" i="46"/>
  <c r="M24" i="46"/>
  <c r="AA47" i="46"/>
  <c r="D230" i="15"/>
  <c r="Z220" i="15"/>
  <c r="Z44" i="46"/>
  <c r="AC87" i="17"/>
  <c r="AE87" i="17"/>
  <c r="AJ87" i="17"/>
  <c r="Z79" i="17"/>
  <c r="AJ25" i="46"/>
  <c r="M229" i="15"/>
  <c r="I179" i="15"/>
  <c r="W36" i="46"/>
  <c r="V195" i="17"/>
  <c r="F179" i="15"/>
  <c r="J185" i="15"/>
  <c r="V35" i="46"/>
  <c r="AB218" i="15"/>
  <c r="J7" i="46"/>
  <c r="AB64" i="17"/>
  <c r="Y41" i="46"/>
  <c r="AJ57" i="34"/>
  <c r="R7" i="46"/>
  <c r="C161" i="17"/>
  <c r="C138" i="17"/>
  <c r="I43" i="17"/>
  <c r="L43" i="17"/>
  <c r="F43" i="17"/>
  <c r="O43" i="17"/>
  <c r="O7" i="46"/>
  <c r="Z179" i="15"/>
  <c r="AJ36" i="46"/>
  <c r="G27" i="33"/>
  <c r="F100" i="34"/>
  <c r="AC220" i="15"/>
  <c r="K229" i="15"/>
  <c r="T220" i="15"/>
  <c r="G179" i="15"/>
  <c r="H185" i="15"/>
  <c r="AG7" i="46"/>
  <c r="M28" i="46"/>
  <c r="J28" i="46"/>
  <c r="L28" i="46"/>
  <c r="AC36" i="46"/>
  <c r="N34" i="46"/>
  <c r="O34" i="46" s="1"/>
  <c r="H111" i="17"/>
  <c r="L229" i="15"/>
  <c r="AC23" i="46"/>
  <c r="AC26" i="46" s="1"/>
  <c r="F215" i="15"/>
  <c r="AI121" i="17"/>
  <c r="G185" i="15"/>
  <c r="Q7" i="46"/>
  <c r="U27" i="33"/>
  <c r="I229" i="15"/>
  <c r="V179" i="15"/>
  <c r="AC29" i="46"/>
  <c r="Y28" i="46"/>
  <c r="AA41" i="17"/>
  <c r="AH63" i="17"/>
  <c r="X29" i="46"/>
  <c r="P28" i="46"/>
  <c r="T36" i="46"/>
  <c r="AJ138" i="17"/>
  <c r="AE138" i="17"/>
  <c r="S29" i="46"/>
  <c r="Y173" i="15"/>
  <c r="U30" i="46"/>
  <c r="G87" i="17"/>
  <c r="W125" i="17"/>
  <c r="AA46" i="46"/>
  <c r="C192" i="17"/>
  <c r="U41" i="46"/>
  <c r="AC97" i="17"/>
  <c r="AE97" i="17"/>
  <c r="AJ97" i="17"/>
  <c r="AB35" i="46"/>
  <c r="X173" i="15"/>
  <c r="AB6" i="46"/>
  <c r="AG30" i="46"/>
  <c r="U194" i="17"/>
  <c r="C169" i="17"/>
  <c r="V41" i="46"/>
  <c r="U182" i="17"/>
  <c r="I123" i="17"/>
  <c r="AJ125" i="17"/>
  <c r="AB41" i="46"/>
  <c r="X41" i="46"/>
  <c r="K179" i="15"/>
  <c r="D84" i="17"/>
  <c r="B169" i="17"/>
  <c r="J214" i="15"/>
  <c r="AA41" i="46"/>
  <c r="AE125" i="17"/>
  <c r="J48" i="34"/>
  <c r="Q123" i="17"/>
  <c r="G214" i="15"/>
  <c r="AC125" i="17"/>
  <c r="U148" i="17"/>
  <c r="AG100" i="34"/>
  <c r="X47" i="46"/>
  <c r="L27" i="33"/>
  <c r="W47" i="46"/>
  <c r="H123" i="17"/>
  <c r="D56" i="33"/>
  <c r="X125" i="17"/>
  <c r="AH47" i="46"/>
  <c r="M214" i="15"/>
  <c r="AF125" i="17"/>
  <c r="T20" i="46"/>
  <c r="AJ87" i="34"/>
  <c r="AB47" i="46"/>
  <c r="F101" i="34"/>
  <c r="F102" i="34" s="1"/>
  <c r="L214" i="15"/>
  <c r="AG125" i="17"/>
  <c r="Y51" i="17"/>
  <c r="Z51" i="17"/>
  <c r="AC51" i="17"/>
  <c r="AH51" i="17"/>
  <c r="AB51" i="17"/>
  <c r="AA51" i="17"/>
  <c r="AE51" i="17"/>
  <c r="AJ51" i="17"/>
  <c r="W51" i="17"/>
  <c r="Z125" i="17"/>
  <c r="M181" i="15"/>
  <c r="G44" i="46"/>
  <c r="AL44" i="46"/>
  <c r="R44" i="46"/>
  <c r="C26" i="46"/>
  <c r="O26" i="46" s="1"/>
  <c r="F111" i="17"/>
  <c r="L47" i="34"/>
  <c r="K101" i="34"/>
  <c r="G30" i="46"/>
  <c r="AB125" i="17"/>
  <c r="L13" i="46"/>
  <c r="AB50" i="17"/>
  <c r="AH34" i="46"/>
  <c r="I65" i="17"/>
  <c r="Y11" i="46"/>
  <c r="U38" i="46"/>
  <c r="T44" i="46"/>
  <c r="AC20" i="46"/>
  <c r="AH191" i="17"/>
  <c r="D111" i="17"/>
  <c r="V160" i="17"/>
  <c r="U171" i="17"/>
  <c r="D65" i="17"/>
  <c r="AB118" i="17"/>
  <c r="M111" i="17"/>
  <c r="V137" i="17"/>
  <c r="Y134" i="17"/>
  <c r="P48" i="34"/>
  <c r="AJ6" i="46"/>
  <c r="I214" i="15"/>
  <c r="AD125" i="17"/>
  <c r="F188" i="15"/>
  <c r="AA13" i="46"/>
  <c r="X21" i="46"/>
  <c r="Z134" i="17"/>
  <c r="N6" i="46"/>
  <c r="O6" i="46" s="1"/>
  <c r="H214" i="15"/>
  <c r="Y125" i="17"/>
  <c r="Z50" i="17"/>
  <c r="AH21" i="46"/>
  <c r="S20" i="46"/>
  <c r="AB134" i="17"/>
  <c r="D48" i="46"/>
  <c r="K214" i="15"/>
  <c r="D214" i="15"/>
  <c r="AK125" i="17"/>
  <c r="AJ50" i="17"/>
  <c r="J181" i="15"/>
  <c r="O65" i="17"/>
  <c r="R41" i="46"/>
  <c r="Z74" i="17"/>
  <c r="AH74" i="17"/>
  <c r="Y74" i="17"/>
  <c r="AB74" i="17"/>
  <c r="AC74" i="17"/>
  <c r="AA74" i="17"/>
  <c r="AE74" i="17"/>
  <c r="AJ74" i="17"/>
  <c r="W74" i="17"/>
  <c r="AE190" i="17"/>
  <c r="O34" i="17"/>
  <c r="AE57" i="17"/>
  <c r="AH57" i="17"/>
  <c r="AC57" i="17"/>
  <c r="AJ57" i="17"/>
  <c r="AJ190" i="17"/>
  <c r="N48" i="34"/>
  <c r="G47" i="34"/>
  <c r="AC72" i="17"/>
  <c r="AJ55" i="17"/>
  <c r="AC55" i="17"/>
  <c r="AE55" i="17"/>
  <c r="AH55" i="17"/>
  <c r="AB55" i="17"/>
  <c r="AA55" i="17"/>
  <c r="Y55" i="17"/>
  <c r="Z55" i="17"/>
  <c r="W55" i="17"/>
  <c r="AH190" i="17"/>
  <c r="AH72" i="17"/>
  <c r="AJ63" i="34"/>
  <c r="AC24" i="46"/>
  <c r="AB13" i="46"/>
  <c r="Y13" i="46"/>
  <c r="AI13" i="46"/>
  <c r="F178" i="15"/>
  <c r="M178" i="15"/>
  <c r="H178" i="15"/>
  <c r="AA190" i="17"/>
  <c r="K48" i="34"/>
  <c r="U100" i="34"/>
  <c r="AJ77" i="34"/>
  <c r="G11" i="46"/>
  <c r="T11" i="46"/>
  <c r="AC11" i="46"/>
  <c r="H60" i="17"/>
  <c r="J60" i="17"/>
  <c r="L60" i="17"/>
  <c r="D60" i="17"/>
  <c r="F60" i="17"/>
  <c r="O60" i="17"/>
  <c r="I60" i="17"/>
  <c r="Q60" i="17"/>
  <c r="G60" i="17"/>
  <c r="Q64" i="17"/>
  <c r="F64" i="17"/>
  <c r="J64" i="17"/>
  <c r="L64" i="17"/>
  <c r="G64" i="17"/>
  <c r="D64" i="17"/>
  <c r="H64" i="17"/>
  <c r="O64" i="17"/>
  <c r="I64" i="17"/>
  <c r="Y190" i="17"/>
  <c r="N24" i="46"/>
  <c r="O24" i="46" s="1"/>
  <c r="S24" i="46"/>
  <c r="AG24" i="46"/>
  <c r="D91" i="17"/>
  <c r="AJ75" i="34"/>
  <c r="G83" i="17"/>
  <c r="J83" i="17"/>
  <c r="L83" i="17"/>
  <c r="Q83" i="17"/>
  <c r="N39" i="46"/>
  <c r="O39" i="46" s="1"/>
  <c r="K39" i="46"/>
  <c r="Q39" i="46" s="1"/>
  <c r="H39" i="46"/>
  <c r="M39" i="46"/>
  <c r="L39" i="46"/>
  <c r="J39" i="46"/>
  <c r="P39" i="46"/>
  <c r="AB72" i="17"/>
  <c r="AJ91" i="34"/>
  <c r="T24" i="46"/>
  <c r="AB34" i="46"/>
  <c r="B159" i="17"/>
  <c r="H113" i="17"/>
  <c r="P113" i="17"/>
  <c r="I113" i="17"/>
  <c r="B136" i="17"/>
  <c r="J113" i="17"/>
  <c r="G113" i="17"/>
  <c r="F113" i="17"/>
  <c r="N113" i="17"/>
  <c r="E113" i="17"/>
  <c r="L113" i="17"/>
  <c r="R113" i="17"/>
  <c r="D113" i="17"/>
  <c r="O113" i="17"/>
  <c r="K113" i="17"/>
  <c r="M113" i="17"/>
  <c r="D61" i="17"/>
  <c r="O61" i="17"/>
  <c r="F61" i="17"/>
  <c r="L38" i="46"/>
  <c r="H38" i="46"/>
  <c r="M38" i="46"/>
  <c r="J38" i="46"/>
  <c r="K38" i="46"/>
  <c r="Q38" i="46" s="1"/>
  <c r="V38" i="46"/>
  <c r="U39" i="46"/>
  <c r="O41" i="17"/>
  <c r="D41" i="17"/>
  <c r="I41" i="17"/>
  <c r="H41" i="17"/>
  <c r="F41" i="17"/>
  <c r="J41" i="17"/>
  <c r="L41" i="17"/>
  <c r="Q41" i="17"/>
  <c r="G41" i="17"/>
  <c r="AJ14" i="34"/>
  <c r="J94" i="17"/>
  <c r="L94" i="17"/>
  <c r="Q94" i="17"/>
  <c r="D37" i="17"/>
  <c r="F37" i="17"/>
  <c r="H37" i="17"/>
  <c r="J37" i="17"/>
  <c r="L37" i="17"/>
  <c r="O37" i="17"/>
  <c r="Q37" i="17"/>
  <c r="G37" i="17"/>
  <c r="I37" i="17"/>
  <c r="Y72" i="17"/>
  <c r="AA72" i="17"/>
  <c r="AA175" i="15"/>
  <c r="Y175" i="15"/>
  <c r="V175" i="15"/>
  <c r="X175" i="15"/>
  <c r="Z175" i="15"/>
  <c r="AC175" i="15"/>
  <c r="H13" i="46"/>
  <c r="N13" i="46"/>
  <c r="O13" i="46" s="1"/>
  <c r="V13" i="46"/>
  <c r="AJ34" i="34"/>
  <c r="AJ89" i="34"/>
  <c r="W46" i="46"/>
  <c r="AE72" i="17"/>
  <c r="AC96" i="17"/>
  <c r="AE96" i="17"/>
  <c r="AJ96" i="17"/>
  <c r="O40" i="17"/>
  <c r="D40" i="17"/>
  <c r="H40" i="17"/>
  <c r="G40" i="17"/>
  <c r="I40" i="17"/>
  <c r="F40" i="17"/>
  <c r="Q40" i="17"/>
  <c r="J40" i="17"/>
  <c r="L40" i="17"/>
  <c r="C167" i="17"/>
  <c r="AF100" i="34"/>
  <c r="I27" i="33"/>
  <c r="O114" i="17"/>
  <c r="F114" i="17"/>
  <c r="G114" i="17"/>
  <c r="D114" i="17"/>
  <c r="H114" i="17"/>
  <c r="I114" i="17"/>
  <c r="B160" i="17"/>
  <c r="R114" i="17"/>
  <c r="L114" i="17"/>
  <c r="P114" i="17"/>
  <c r="E114" i="17"/>
  <c r="M114" i="17"/>
  <c r="B137" i="17"/>
  <c r="J114" i="17"/>
  <c r="N114" i="17"/>
  <c r="K114" i="17"/>
  <c r="J190" i="15"/>
  <c r="L190" i="15"/>
  <c r="D190" i="15"/>
  <c r="I190" i="15"/>
  <c r="G91" i="17"/>
  <c r="L34" i="17"/>
  <c r="T175" i="15"/>
  <c r="AB175" i="15"/>
  <c r="C182" i="17"/>
  <c r="C159" i="17"/>
  <c r="O91" i="17"/>
  <c r="J34" i="17"/>
  <c r="AA40" i="46"/>
  <c r="AJ20" i="34"/>
  <c r="T56" i="33"/>
  <c r="R57" i="33" s="1"/>
  <c r="AJ6" i="34"/>
  <c r="AC13" i="46"/>
  <c r="AB11" i="46"/>
  <c r="G63" i="17"/>
  <c r="H63" i="17"/>
  <c r="F63" i="17"/>
  <c r="D63" i="17"/>
  <c r="O63" i="17"/>
  <c r="Q63" i="17"/>
  <c r="I63" i="17"/>
  <c r="L63" i="17"/>
  <c r="J63" i="17"/>
  <c r="I117" i="17"/>
  <c r="N117" i="17"/>
  <c r="G117" i="17"/>
  <c r="O117" i="17"/>
  <c r="P117" i="17"/>
  <c r="K117" i="17"/>
  <c r="R117" i="17"/>
  <c r="F117" i="17"/>
  <c r="B140" i="17"/>
  <c r="E117" i="17"/>
  <c r="H117" i="17"/>
  <c r="J117" i="17"/>
  <c r="L117" i="17"/>
  <c r="B163" i="17"/>
  <c r="D117" i="17"/>
  <c r="M117" i="17"/>
  <c r="U56" i="33"/>
  <c r="U28" i="33" s="1"/>
  <c r="H34" i="17"/>
  <c r="V154" i="17"/>
  <c r="L56" i="33"/>
  <c r="V101" i="34"/>
  <c r="V102" i="34" s="1"/>
  <c r="AH125" i="17"/>
  <c r="T13" i="46"/>
  <c r="W72" i="17"/>
  <c r="AL11" i="46"/>
  <c r="F62" i="17"/>
  <c r="O62" i="17"/>
  <c r="D62" i="17"/>
  <c r="H62" i="17"/>
  <c r="J62" i="17"/>
  <c r="I62" i="17"/>
  <c r="L62" i="17"/>
  <c r="Q62" i="17"/>
  <c r="G62" i="17"/>
  <c r="AH11" i="46"/>
  <c r="O56" i="33"/>
  <c r="F48" i="46"/>
  <c r="G34" i="17"/>
  <c r="AH41" i="46"/>
  <c r="Z11" i="46"/>
  <c r="I38" i="17"/>
  <c r="J38" i="17"/>
  <c r="L38" i="17"/>
  <c r="D38" i="17"/>
  <c r="Q38" i="17"/>
  <c r="O38" i="17"/>
  <c r="G38" i="17"/>
  <c r="F38" i="17"/>
  <c r="H38" i="17"/>
  <c r="AB73" i="17"/>
  <c r="AA73" i="17"/>
  <c r="Z73" i="17"/>
  <c r="AC73" i="17"/>
  <c r="AJ73" i="17"/>
  <c r="W73" i="17"/>
  <c r="AH73" i="17"/>
  <c r="AE73" i="17"/>
  <c r="Y73" i="17"/>
  <c r="AC32" i="17"/>
  <c r="Y32" i="17"/>
  <c r="W32" i="17"/>
  <c r="AH32" i="17"/>
  <c r="AB32" i="17"/>
  <c r="AA32" i="17"/>
  <c r="AJ32" i="17"/>
  <c r="AE32" i="17"/>
  <c r="Z32" i="17"/>
  <c r="AJ41" i="46"/>
  <c r="J31" i="46"/>
  <c r="K31" i="46"/>
  <c r="Q31" i="46" s="1"/>
  <c r="M27" i="33"/>
  <c r="AB47" i="34"/>
  <c r="I121" i="17"/>
  <c r="Q48" i="34"/>
  <c r="H31" i="46"/>
  <c r="V131" i="17"/>
  <c r="W196" i="17"/>
  <c r="Y196" i="17"/>
  <c r="AA196" i="17"/>
  <c r="AE196" i="17"/>
  <c r="AJ196" i="17"/>
  <c r="I70" i="17"/>
  <c r="O70" i="17"/>
  <c r="D70" i="17"/>
  <c r="J70" i="17"/>
  <c r="H70" i="17"/>
  <c r="G70" i="17"/>
  <c r="L70" i="17"/>
  <c r="Q70" i="17"/>
  <c r="F70" i="17"/>
  <c r="F93" i="17"/>
  <c r="Q93" i="17"/>
  <c r="J93" i="17"/>
  <c r="L93" i="17"/>
  <c r="L121" i="17"/>
  <c r="AJ59" i="34"/>
  <c r="AF101" i="34"/>
  <c r="Y40" i="46"/>
  <c r="V30" i="46"/>
  <c r="U31" i="46"/>
  <c r="B189" i="17"/>
  <c r="J120" i="17"/>
  <c r="I120" i="17"/>
  <c r="H120" i="17"/>
  <c r="D120" i="17"/>
  <c r="F120" i="17"/>
  <c r="E120" i="17"/>
  <c r="G120" i="17"/>
  <c r="B143" i="17"/>
  <c r="R120" i="17"/>
  <c r="K120" i="17"/>
  <c r="O120" i="17"/>
  <c r="M120" i="17"/>
  <c r="L120" i="17"/>
  <c r="B166" i="17"/>
  <c r="P120" i="17"/>
  <c r="Q120" i="17"/>
  <c r="N120" i="17"/>
  <c r="H24" i="46"/>
  <c r="P24" i="46"/>
  <c r="L31" i="46"/>
  <c r="AJ93" i="34"/>
  <c r="H56" i="33"/>
  <c r="AJ79" i="34"/>
  <c r="G84" i="17"/>
  <c r="J84" i="17"/>
  <c r="L84" i="17"/>
  <c r="Q84" i="17"/>
  <c r="I84" i="17"/>
  <c r="Y173" i="17"/>
  <c r="Z173" i="17"/>
  <c r="AB173" i="17"/>
  <c r="AH173" i="17"/>
  <c r="W173" i="17"/>
  <c r="AC173" i="17"/>
  <c r="AE173" i="17"/>
  <c r="AJ173" i="17"/>
  <c r="AA173" i="17"/>
  <c r="V193" i="15"/>
  <c r="X193" i="15"/>
  <c r="AJ34" i="46"/>
  <c r="AI34" i="46"/>
  <c r="Y34" i="46"/>
  <c r="Z34" i="46"/>
  <c r="O93" i="17"/>
  <c r="AH48" i="34"/>
  <c r="AC193" i="15"/>
  <c r="D121" i="17"/>
  <c r="F47" i="34"/>
  <c r="J56" i="33"/>
  <c r="V31" i="46"/>
  <c r="Z39" i="17"/>
  <c r="Y39" i="17"/>
  <c r="AA39" i="17"/>
  <c r="AC39" i="17"/>
  <c r="W39" i="17"/>
  <c r="AJ39" i="17"/>
  <c r="AB39" i="17"/>
  <c r="AE39" i="17"/>
  <c r="AH39" i="17"/>
  <c r="F47" i="17"/>
  <c r="O47" i="17"/>
  <c r="H47" i="17"/>
  <c r="D47" i="17"/>
  <c r="J47" i="17"/>
  <c r="I47" i="17"/>
  <c r="L47" i="17"/>
  <c r="G47" i="17"/>
  <c r="Q47" i="17"/>
  <c r="AI35" i="46"/>
  <c r="Z35" i="46"/>
  <c r="Y35" i="46"/>
  <c r="V164" i="17"/>
  <c r="V187" i="17"/>
  <c r="V141" i="17"/>
  <c r="AJ43" i="46"/>
  <c r="Q121" i="17"/>
  <c r="Q100" i="34"/>
  <c r="Q101" i="34"/>
  <c r="Q102" i="34" s="1"/>
  <c r="U25" i="46"/>
  <c r="M31" i="46"/>
  <c r="AH46" i="46"/>
  <c r="AJ47" i="46"/>
  <c r="Z47" i="46"/>
  <c r="AI47" i="46"/>
  <c r="X34" i="46"/>
  <c r="H93" i="17"/>
  <c r="AA43" i="46"/>
  <c r="H121" i="17"/>
  <c r="B190" i="17"/>
  <c r="Z100" i="34"/>
  <c r="AE100" i="34"/>
  <c r="D26" i="46"/>
  <c r="P31" i="46"/>
  <c r="J85" i="17"/>
  <c r="L85" i="17"/>
  <c r="Q85" i="17"/>
  <c r="B144" i="17"/>
  <c r="AG31" i="46"/>
  <c r="W58" i="17"/>
  <c r="AH58" i="17"/>
  <c r="AJ58" i="17"/>
  <c r="AB58" i="17"/>
  <c r="Z58" i="17"/>
  <c r="Y58" i="17"/>
  <c r="AC58" i="17"/>
  <c r="AE58" i="17"/>
  <c r="AA58" i="17"/>
  <c r="H206" i="15"/>
  <c r="J206" i="15"/>
  <c r="I206" i="15"/>
  <c r="Y37" i="46"/>
  <c r="Z37" i="46"/>
  <c r="AI37" i="46"/>
  <c r="AA82" i="17"/>
  <c r="E121" i="17"/>
  <c r="R101" i="34"/>
  <c r="J47" i="34"/>
  <c r="N31" i="46"/>
  <c r="O31" i="46" s="1"/>
  <c r="G56" i="33"/>
  <c r="K205" i="15"/>
  <c r="L205" i="15"/>
  <c r="G205" i="15"/>
  <c r="H84" i="17"/>
  <c r="R100" i="34"/>
  <c r="AB82" i="17"/>
  <c r="W193" i="15"/>
  <c r="K121" i="17"/>
  <c r="X101" i="34"/>
  <c r="X102" i="34" s="1"/>
  <c r="AJ71" i="34"/>
  <c r="AB101" i="34"/>
  <c r="O42" i="17"/>
  <c r="H42" i="17"/>
  <c r="F42" i="17"/>
  <c r="D42" i="17"/>
  <c r="G42" i="17"/>
  <c r="J42" i="17"/>
  <c r="L42" i="17"/>
  <c r="I42" i="17"/>
  <c r="Q42" i="17"/>
  <c r="X172" i="15"/>
  <c r="Z172" i="15"/>
  <c r="AA172" i="15"/>
  <c r="AC172" i="15"/>
  <c r="W172" i="15"/>
  <c r="V172" i="15"/>
  <c r="AB172" i="15"/>
  <c r="AC62" i="17"/>
  <c r="AB62" i="17"/>
  <c r="AE62" i="17"/>
  <c r="AA62" i="17"/>
  <c r="Y62" i="17"/>
  <c r="AH62" i="17"/>
  <c r="AJ62" i="17"/>
  <c r="W62" i="17"/>
  <c r="Z62" i="17"/>
  <c r="Y47" i="46"/>
  <c r="K123" i="17"/>
  <c r="L123" i="17"/>
  <c r="O123" i="17"/>
  <c r="G123" i="17"/>
  <c r="R123" i="17"/>
  <c r="B146" i="17"/>
  <c r="J123" i="17"/>
  <c r="N123" i="17"/>
  <c r="M123" i="17"/>
  <c r="D123" i="17"/>
  <c r="P123" i="17"/>
  <c r="F123" i="17"/>
  <c r="E123" i="17"/>
  <c r="I93" i="17"/>
  <c r="Z191" i="17"/>
  <c r="AH82" i="17"/>
  <c r="Z193" i="15"/>
  <c r="J121" i="17"/>
  <c r="AJ81" i="34"/>
  <c r="M101" i="34"/>
  <c r="M102" i="34" s="1"/>
  <c r="K56" i="33"/>
  <c r="N100" i="34"/>
  <c r="H101" i="34"/>
  <c r="L206" i="15"/>
  <c r="D87" i="17"/>
  <c r="J87" i="17"/>
  <c r="L87" i="17"/>
  <c r="Q87" i="17"/>
  <c r="Z173" i="15"/>
  <c r="AA173" i="15"/>
  <c r="AC173" i="15"/>
  <c r="T173" i="15"/>
  <c r="V173" i="15"/>
  <c r="AB173" i="15"/>
  <c r="H46" i="46"/>
  <c r="L46" i="46"/>
  <c r="J46" i="46"/>
  <c r="M46" i="46"/>
  <c r="AG46" i="46"/>
  <c r="K46" i="46"/>
  <c r="Q46" i="46" s="1"/>
  <c r="G69" i="17"/>
  <c r="J69" i="17"/>
  <c r="L69" i="17"/>
  <c r="H69" i="17"/>
  <c r="O69" i="17"/>
  <c r="Q69" i="17"/>
  <c r="I69" i="17"/>
  <c r="D69" i="17"/>
  <c r="F69" i="17"/>
  <c r="N37" i="46"/>
  <c r="O37" i="46" s="1"/>
  <c r="H37" i="46"/>
  <c r="L37" i="46"/>
  <c r="V37" i="46"/>
  <c r="K37" i="46"/>
  <c r="Q37" i="46" s="1"/>
  <c r="P37" i="46"/>
  <c r="M37" i="46"/>
  <c r="U37" i="46"/>
  <c r="J37" i="46"/>
  <c r="F84" i="17"/>
  <c r="W191" i="17"/>
  <c r="Y82" i="17"/>
  <c r="M121" i="17"/>
  <c r="F34" i="17"/>
  <c r="V185" i="17"/>
  <c r="V139" i="17"/>
  <c r="V162" i="17"/>
  <c r="AC48" i="34"/>
  <c r="AC49" i="34" s="1"/>
  <c r="P121" i="17"/>
  <c r="X48" i="34"/>
  <c r="I47" i="34"/>
  <c r="V100" i="34"/>
  <c r="O101" i="34"/>
  <c r="O100" i="34"/>
  <c r="S43" i="46"/>
  <c r="AC43" i="46"/>
  <c r="T43" i="46"/>
  <c r="R43" i="46"/>
  <c r="AH16" i="46"/>
  <c r="X16" i="46"/>
  <c r="C48" i="46"/>
  <c r="O48" i="46" s="1"/>
  <c r="AA191" i="17"/>
  <c r="W82" i="17"/>
  <c r="R47" i="34"/>
  <c r="R49" i="34" s="1"/>
  <c r="Y191" i="17"/>
  <c r="O27" i="33"/>
  <c r="E27" i="33"/>
  <c r="I169" i="17"/>
  <c r="Z190" i="17"/>
  <c r="Y193" i="15"/>
  <c r="B167" i="17"/>
  <c r="G167" i="17" s="1"/>
  <c r="W194" i="15"/>
  <c r="AC194" i="15"/>
  <c r="AI36" i="46"/>
  <c r="Y36" i="46"/>
  <c r="Z36" i="46"/>
  <c r="AJ24" i="46"/>
  <c r="K27" i="33"/>
  <c r="AA193" i="15"/>
  <c r="O121" i="17"/>
  <c r="U101" i="34"/>
  <c r="AL14" i="46"/>
  <c r="J24" i="46"/>
  <c r="K43" i="46"/>
  <c r="Q43" i="46" s="1"/>
  <c r="U43" i="46"/>
  <c r="P43" i="46"/>
  <c r="J43" i="46"/>
  <c r="H43" i="46"/>
  <c r="L43" i="46"/>
  <c r="AG43" i="46"/>
  <c r="M43" i="46"/>
  <c r="V155" i="17"/>
  <c r="V132" i="17"/>
  <c r="V178" i="17"/>
  <c r="K24" i="46"/>
  <c r="Q24" i="46" s="1"/>
  <c r="N16" i="46"/>
  <c r="O16" i="46" s="1"/>
  <c r="M16" i="46"/>
  <c r="U16" i="46"/>
  <c r="K16" i="46"/>
  <c r="Q16" i="46" s="1"/>
  <c r="H16" i="46"/>
  <c r="AG16" i="46"/>
  <c r="L16" i="46"/>
  <c r="J16" i="46"/>
  <c r="P16" i="46"/>
  <c r="AJ31" i="46"/>
  <c r="AB31" i="46"/>
  <c r="Z161" i="17"/>
  <c r="Y161" i="17"/>
  <c r="AC161" i="17"/>
  <c r="W161" i="17"/>
  <c r="AE161" i="17"/>
  <c r="AJ161" i="17"/>
  <c r="AB161" i="17"/>
  <c r="AA161" i="17"/>
  <c r="AH161" i="17"/>
  <c r="N36" i="46"/>
  <c r="O36" i="46" s="1"/>
  <c r="J36" i="46"/>
  <c r="K36" i="46"/>
  <c r="Q36" i="46" s="1"/>
  <c r="U36" i="46"/>
  <c r="H36" i="46"/>
  <c r="M36" i="46"/>
  <c r="AG36" i="46"/>
  <c r="P36" i="46"/>
  <c r="L36" i="46"/>
  <c r="D93" i="17"/>
  <c r="AH89" i="17"/>
  <c r="Y48" i="34"/>
  <c r="Y49" i="34" s="1"/>
  <c r="AH47" i="34"/>
  <c r="AH49" i="34" s="1"/>
  <c r="T193" i="15"/>
  <c r="F121" i="17"/>
  <c r="AC47" i="34"/>
  <c r="W35" i="46"/>
  <c r="G206" i="15"/>
  <c r="W85" i="17"/>
  <c r="AH85" i="17"/>
  <c r="AE85" i="17"/>
  <c r="AJ85" i="17"/>
  <c r="AC85" i="17"/>
  <c r="Z31" i="46"/>
  <c r="AI31" i="46"/>
  <c r="Y31" i="46"/>
  <c r="AA81" i="17"/>
  <c r="AJ81" i="17"/>
  <c r="AE81" i="17"/>
  <c r="AC81" i="17"/>
  <c r="U183" i="17"/>
  <c r="AJ114" i="17"/>
  <c r="AI114" i="17"/>
  <c r="Z114" i="17"/>
  <c r="X114" i="17"/>
  <c r="Y114" i="17"/>
  <c r="AE114" i="17"/>
  <c r="AA114" i="17"/>
  <c r="AH114" i="17"/>
  <c r="AK114" i="17"/>
  <c r="AF114" i="17"/>
  <c r="AB114" i="17"/>
  <c r="AC114" i="17"/>
  <c r="U137" i="17"/>
  <c r="W114" i="17"/>
  <c r="AG114" i="17"/>
  <c r="U160" i="17"/>
  <c r="AD114" i="17"/>
  <c r="AC61" i="17"/>
  <c r="AE61" i="17"/>
  <c r="AB61" i="17"/>
  <c r="AJ61" i="17"/>
  <c r="Z61" i="17"/>
  <c r="AH61" i="17"/>
  <c r="AA61" i="17"/>
  <c r="W61" i="17"/>
  <c r="Y61" i="17"/>
  <c r="AH81" i="17"/>
  <c r="Y100" i="34"/>
  <c r="R48" i="34"/>
  <c r="P101" i="34"/>
  <c r="P102" i="34" s="1"/>
  <c r="AA15" i="46"/>
  <c r="AG25" i="46"/>
  <c r="H6" i="46"/>
  <c r="P6" i="46"/>
  <c r="J6" i="46"/>
  <c r="X15" i="46"/>
  <c r="W113" i="17"/>
  <c r="AF113" i="17"/>
  <c r="AD113" i="17"/>
  <c r="U159" i="17"/>
  <c r="X113" i="17"/>
  <c r="AH113" i="17"/>
  <c r="Z113" i="17"/>
  <c r="AK113" i="17"/>
  <c r="AA113" i="17"/>
  <c r="AB113" i="17"/>
  <c r="Y113" i="17"/>
  <c r="AG113" i="17"/>
  <c r="AI113" i="17"/>
  <c r="U136" i="17"/>
  <c r="AE113" i="17"/>
  <c r="AC113" i="17"/>
  <c r="G39" i="46"/>
  <c r="S39" i="46"/>
  <c r="AC39" i="46"/>
  <c r="R39" i="46"/>
  <c r="T39" i="46"/>
  <c r="Z81" i="17"/>
  <c r="L48" i="34"/>
  <c r="L49" i="34" s="1"/>
  <c r="I101" i="34"/>
  <c r="AJ15" i="46"/>
  <c r="V168" i="17"/>
  <c r="V145" i="17"/>
  <c r="V191" i="17"/>
  <c r="AB78" i="17"/>
  <c r="AH78" i="17"/>
  <c r="AC78" i="17"/>
  <c r="AE78" i="17"/>
  <c r="AJ78" i="17"/>
  <c r="J25" i="46"/>
  <c r="D35" i="17"/>
  <c r="J35" i="17"/>
  <c r="L35" i="17"/>
  <c r="H35" i="17"/>
  <c r="F35" i="17"/>
  <c r="Q35" i="17"/>
  <c r="O35" i="17"/>
  <c r="G35" i="17"/>
  <c r="I35" i="17"/>
  <c r="W15" i="46"/>
  <c r="AB15" i="46"/>
  <c r="W45" i="33"/>
  <c r="X45" i="33" s="1"/>
  <c r="T40" i="46"/>
  <c r="AC40" i="46"/>
  <c r="R40" i="46"/>
  <c r="AL40" i="46"/>
  <c r="G40" i="46"/>
  <c r="S40" i="46"/>
  <c r="AB30" i="46"/>
  <c r="AH30" i="46"/>
  <c r="W30" i="46"/>
  <c r="X30" i="46"/>
  <c r="AA49" i="17"/>
  <c r="W49" i="17"/>
  <c r="AB49" i="17"/>
  <c r="AE49" i="17"/>
  <c r="AH49" i="17"/>
  <c r="Y49" i="17"/>
  <c r="Z49" i="17"/>
  <c r="AC49" i="17"/>
  <c r="AJ49" i="17"/>
  <c r="D183" i="17"/>
  <c r="AG47" i="34"/>
  <c r="E26" i="46"/>
  <c r="M25" i="46"/>
  <c r="AH15" i="46"/>
  <c r="AL30" i="46"/>
  <c r="S30" i="46"/>
  <c r="T30" i="46"/>
  <c r="AC30" i="46"/>
  <c r="R30" i="46"/>
  <c r="G183" i="17"/>
  <c r="W101" i="34"/>
  <c r="I100" i="34"/>
  <c r="I56" i="33"/>
  <c r="Y80" i="17"/>
  <c r="AC80" i="17"/>
  <c r="AE80" i="17"/>
  <c r="AJ80" i="17"/>
  <c r="K15" i="46"/>
  <c r="Q15" i="46" s="1"/>
  <c r="Y94" i="17"/>
  <c r="AH94" i="17"/>
  <c r="W94" i="17"/>
  <c r="Z94" i="17"/>
  <c r="AC94" i="17"/>
  <c r="AE94" i="17"/>
  <c r="AJ94" i="17"/>
  <c r="AC95" i="17"/>
  <c r="AE95" i="17"/>
  <c r="AJ95" i="17"/>
  <c r="AD47" i="34"/>
  <c r="O183" i="17"/>
  <c r="U47" i="34"/>
  <c r="AH101" i="34"/>
  <c r="D96" i="17"/>
  <c r="I96" i="17"/>
  <c r="H96" i="17"/>
  <c r="G96" i="17"/>
  <c r="F96" i="17"/>
  <c r="O96" i="17"/>
  <c r="J96" i="17"/>
  <c r="L96" i="17"/>
  <c r="Q96" i="17"/>
  <c r="B184" i="17"/>
  <c r="M115" i="17"/>
  <c r="J115" i="17"/>
  <c r="L115" i="17"/>
  <c r="H115" i="17"/>
  <c r="I115" i="17"/>
  <c r="R115" i="17"/>
  <c r="B138" i="17"/>
  <c r="P115" i="17"/>
  <c r="F115" i="17"/>
  <c r="E115" i="17"/>
  <c r="D115" i="17"/>
  <c r="O115" i="17"/>
  <c r="K115" i="17"/>
  <c r="G115" i="17"/>
  <c r="B161" i="17"/>
  <c r="N115" i="17"/>
  <c r="F135" i="17"/>
  <c r="D135" i="17"/>
  <c r="G135" i="17"/>
  <c r="Q135" i="17"/>
  <c r="O135" i="17"/>
  <c r="I135" i="17"/>
  <c r="H135" i="17"/>
  <c r="J135" i="17"/>
  <c r="L135" i="17"/>
  <c r="W40" i="46"/>
  <c r="AH40" i="46"/>
  <c r="J30" i="46"/>
  <c r="L30" i="46"/>
  <c r="M30" i="46"/>
  <c r="H30" i="46"/>
  <c r="K30" i="46"/>
  <c r="Q30" i="46" s="1"/>
  <c r="AJ112" i="17"/>
  <c r="H183" i="17"/>
  <c r="E47" i="34"/>
  <c r="AF47" i="34"/>
  <c r="Z15" i="46"/>
  <c r="AB100" i="34"/>
  <c r="AB102" i="34" s="1"/>
  <c r="AJ42" i="34"/>
  <c r="AG101" i="34"/>
  <c r="AG102" i="34" s="1"/>
  <c r="AJ73" i="34"/>
  <c r="AE66" i="17"/>
  <c r="Y66" i="17"/>
  <c r="AB66" i="17"/>
  <c r="AC66" i="17"/>
  <c r="W66" i="17"/>
  <c r="AJ66" i="17"/>
  <c r="AH66" i="17"/>
  <c r="Z66" i="17"/>
  <c r="AA66" i="17"/>
  <c r="P25" i="46"/>
  <c r="L25" i="46"/>
  <c r="K25" i="46"/>
  <c r="Q25" i="46" s="1"/>
  <c r="H25" i="46"/>
  <c r="W12" i="33"/>
  <c r="X12" i="33" s="1"/>
  <c r="T14" i="46"/>
  <c r="AC14" i="46"/>
  <c r="R14" i="46"/>
  <c r="R26" i="46" s="1"/>
  <c r="S14" i="46"/>
  <c r="N15" i="46"/>
  <c r="O15" i="46" s="1"/>
  <c r="H15" i="46"/>
  <c r="P15" i="46"/>
  <c r="L15" i="46"/>
  <c r="J15" i="46"/>
  <c r="M15" i="46"/>
  <c r="N40" i="46"/>
  <c r="O40" i="46" s="1"/>
  <c r="P40" i="46"/>
  <c r="M40" i="46"/>
  <c r="H40" i="46"/>
  <c r="L40" i="46"/>
  <c r="J40" i="46"/>
  <c r="K40" i="46"/>
  <c r="Q40" i="46" s="1"/>
  <c r="V40" i="46"/>
  <c r="U40" i="46"/>
  <c r="AG40" i="46"/>
  <c r="AB38" i="17"/>
  <c r="Y38" i="17"/>
  <c r="AJ38" i="17"/>
  <c r="AC38" i="17"/>
  <c r="Z38" i="17"/>
  <c r="AE38" i="17"/>
  <c r="AH38" i="17"/>
  <c r="W38" i="17"/>
  <c r="AA38" i="17"/>
  <c r="I183" i="17"/>
  <c r="AI15" i="46"/>
  <c r="M47" i="34"/>
  <c r="W100" i="34"/>
  <c r="AI47" i="34"/>
  <c r="AI49" i="34" s="1"/>
  <c r="D46" i="17"/>
  <c r="H46" i="17"/>
  <c r="Q46" i="17"/>
  <c r="O46" i="17"/>
  <c r="J46" i="17"/>
  <c r="G46" i="17"/>
  <c r="L46" i="17"/>
  <c r="I46" i="17"/>
  <c r="F46" i="17"/>
  <c r="H158" i="17"/>
  <c r="J158" i="17"/>
  <c r="O158" i="17"/>
  <c r="G158" i="17"/>
  <c r="D158" i="17"/>
  <c r="I158" i="17"/>
  <c r="Q158" i="17"/>
  <c r="F158" i="17"/>
  <c r="L158" i="17"/>
  <c r="AE71" i="17"/>
  <c r="AJ71" i="17"/>
  <c r="Y71" i="17"/>
  <c r="AA71" i="17"/>
  <c r="W71" i="17"/>
  <c r="AC71" i="17"/>
  <c r="Z71" i="17"/>
  <c r="AB71" i="17"/>
  <c r="AH71" i="17"/>
  <c r="J101" i="34"/>
  <c r="AJ108" i="17"/>
  <c r="AF108" i="17"/>
  <c r="W108" i="17"/>
  <c r="AI108" i="17"/>
  <c r="U131" i="17"/>
  <c r="AA108" i="17"/>
  <c r="Z108" i="17"/>
  <c r="AD108" i="17"/>
  <c r="AH108" i="17"/>
  <c r="X108" i="17"/>
  <c r="Y108" i="17"/>
  <c r="AG108" i="17"/>
  <c r="U154" i="17"/>
  <c r="AK108" i="17"/>
  <c r="AB108" i="17"/>
  <c r="AE108" i="17"/>
  <c r="AC108" i="17"/>
  <c r="K6" i="46"/>
  <c r="Q6" i="46" s="1"/>
  <c r="Y48" i="17"/>
  <c r="AC48" i="17"/>
  <c r="AA48" i="17"/>
  <c r="AB48" i="17"/>
  <c r="Z48" i="17"/>
  <c r="AE48" i="17"/>
  <c r="AH48" i="17"/>
  <c r="W48" i="17"/>
  <c r="AJ48" i="17"/>
  <c r="AB37" i="17"/>
  <c r="AH37" i="17"/>
  <c r="Z37" i="17"/>
  <c r="Y37" i="17"/>
  <c r="W37" i="17"/>
  <c r="AJ37" i="17"/>
  <c r="AA37" i="17"/>
  <c r="AE37" i="17"/>
  <c r="AC37" i="17"/>
  <c r="Q47" i="34"/>
  <c r="AA48" i="34"/>
  <c r="AI100" i="34"/>
  <c r="Z101" i="34"/>
  <c r="Z102" i="34" s="1"/>
  <c r="I34" i="17"/>
  <c r="Q34" i="17"/>
  <c r="M6" i="46"/>
  <c r="O111" i="17"/>
  <c r="I111" i="17"/>
  <c r="J111" i="17"/>
  <c r="L111" i="17"/>
  <c r="N111" i="17"/>
  <c r="C165" i="17"/>
  <c r="C188" i="17"/>
  <c r="C142" i="17"/>
  <c r="AC83" i="17"/>
  <c r="AE83" i="17"/>
  <c r="AJ83" i="17"/>
  <c r="F56" i="33"/>
  <c r="L6" i="46"/>
  <c r="AL39" i="46"/>
  <c r="E101" i="34"/>
  <c r="AJ30" i="46"/>
  <c r="AE101" i="34"/>
  <c r="X100" i="34"/>
  <c r="Y15" i="46"/>
  <c r="C178" i="17"/>
  <c r="C155" i="17"/>
  <c r="V6" i="46"/>
  <c r="AB60" i="17"/>
  <c r="AH60" i="17"/>
  <c r="Y60" i="17"/>
  <c r="Z60" i="17"/>
  <c r="W60" i="17"/>
  <c r="AJ60" i="17"/>
  <c r="AA60" i="17"/>
  <c r="AC60" i="17"/>
  <c r="AE60" i="17"/>
  <c r="C190" i="17"/>
  <c r="F48" i="34"/>
  <c r="F26" i="46"/>
  <c r="Q56" i="33"/>
  <c r="M56" i="33"/>
  <c r="H100" i="34"/>
  <c r="H102" i="34" s="1"/>
  <c r="AC101" i="34"/>
  <c r="AJ85" i="34"/>
  <c r="V173" i="17"/>
  <c r="V150" i="17"/>
  <c r="U6" i="46"/>
  <c r="C141" i="17"/>
  <c r="C164" i="17"/>
  <c r="C187" i="17"/>
  <c r="AH171" i="17"/>
  <c r="AC171" i="17"/>
  <c r="AE171" i="17"/>
  <c r="AJ171" i="17"/>
  <c r="AA171" i="17"/>
  <c r="Z171" i="17"/>
  <c r="AB171" i="17"/>
  <c r="W171" i="17"/>
  <c r="Y171" i="17"/>
  <c r="D79" i="17"/>
  <c r="K47" i="34"/>
  <c r="K49" i="34" s="1"/>
  <c r="N47" i="34"/>
  <c r="E56" i="33"/>
  <c r="AJ28" i="34"/>
  <c r="AF121" i="17"/>
  <c r="W121" i="17"/>
  <c r="AC121" i="17"/>
  <c r="AD121" i="17"/>
  <c r="AE121" i="17"/>
  <c r="AH121" i="17"/>
  <c r="AG121" i="17"/>
  <c r="F80" i="17"/>
  <c r="J80" i="17"/>
  <c r="L80" i="17"/>
  <c r="Q80" i="17"/>
  <c r="I80" i="17"/>
  <c r="Z6" i="46"/>
  <c r="Y6" i="46"/>
  <c r="AI6" i="46"/>
  <c r="X39" i="46"/>
  <c r="W39" i="46"/>
  <c r="V15" i="46"/>
  <c r="AA124" i="17"/>
  <c r="AK124" i="17"/>
  <c r="Z124" i="17"/>
  <c r="Y124" i="17"/>
  <c r="X124" i="17"/>
  <c r="AF124" i="17"/>
  <c r="U147" i="17"/>
  <c r="AI124" i="17"/>
  <c r="AC124" i="17"/>
  <c r="U170" i="17"/>
  <c r="AE124" i="17"/>
  <c r="W124" i="17"/>
  <c r="AD124" i="17"/>
  <c r="AB124" i="17"/>
  <c r="AG124" i="17"/>
  <c r="AC84" i="17"/>
  <c r="AE84" i="17"/>
  <c r="AJ84" i="17"/>
  <c r="W81" i="17"/>
  <c r="F79" i="17"/>
  <c r="AE48" i="34"/>
  <c r="O48" i="34"/>
  <c r="Y47" i="34"/>
  <c r="AA30" i="46"/>
  <c r="AI101" i="34"/>
  <c r="N101" i="34"/>
  <c r="K100" i="34"/>
  <c r="K102" i="34" s="1"/>
  <c r="B179" i="17"/>
  <c r="F110" i="17"/>
  <c r="B133" i="17"/>
  <c r="P110" i="17"/>
  <c r="I110" i="17"/>
  <c r="M110" i="17"/>
  <c r="G110" i="17"/>
  <c r="D110" i="17"/>
  <c r="B156" i="17"/>
  <c r="E110" i="17"/>
  <c r="K110" i="17"/>
  <c r="Q110" i="17"/>
  <c r="N110" i="17"/>
  <c r="H110" i="17"/>
  <c r="O110" i="17"/>
  <c r="J110" i="17"/>
  <c r="R110" i="17"/>
  <c r="L110" i="17"/>
  <c r="AA6" i="46"/>
  <c r="W6" i="46"/>
  <c r="X6" i="46"/>
  <c r="X26" i="46" s="1"/>
  <c r="AH6" i="46"/>
  <c r="AA39" i="46"/>
  <c r="AI39" i="46"/>
  <c r="U15" i="46"/>
  <c r="Z30" i="46"/>
  <c r="AI30" i="46"/>
  <c r="Y30" i="46"/>
  <c r="V171" i="17"/>
  <c r="V194" i="17"/>
  <c r="V148" i="17"/>
  <c r="AG48" i="34"/>
  <c r="AF48" i="34"/>
  <c r="W180" i="17"/>
  <c r="AB180" i="17"/>
  <c r="AA180" i="17"/>
  <c r="Y180" i="17"/>
  <c r="AE180" i="17"/>
  <c r="AJ180" i="17"/>
  <c r="Z180" i="17"/>
  <c r="AH180" i="17"/>
  <c r="P8" i="46"/>
  <c r="M8" i="46"/>
  <c r="V8" i="46"/>
  <c r="H8" i="46"/>
  <c r="J8" i="46"/>
  <c r="K8" i="46"/>
  <c r="AG8" i="46"/>
  <c r="L8" i="46"/>
  <c r="U8" i="46"/>
  <c r="AJ109" i="17"/>
  <c r="U178" i="17"/>
  <c r="W109" i="17"/>
  <c r="X109" i="17"/>
  <c r="AC109" i="17"/>
  <c r="AF109" i="17"/>
  <c r="AE109" i="17"/>
  <c r="AD109" i="17"/>
  <c r="AI109" i="17"/>
  <c r="AH109" i="17"/>
  <c r="AA109" i="17"/>
  <c r="AB109" i="17"/>
  <c r="AK109" i="17"/>
  <c r="Y109" i="17"/>
  <c r="U155" i="17"/>
  <c r="Z109" i="17"/>
  <c r="U132" i="17"/>
  <c r="AG109" i="17"/>
  <c r="I89" i="17"/>
  <c r="J89" i="17"/>
  <c r="L89" i="17"/>
  <c r="Q89" i="17"/>
  <c r="W59" i="17"/>
  <c r="AH59" i="17"/>
  <c r="AB59" i="17"/>
  <c r="Y59" i="17"/>
  <c r="AA59" i="17"/>
  <c r="Z59" i="17"/>
  <c r="AC59" i="17"/>
  <c r="AE59" i="17"/>
  <c r="AJ59" i="17"/>
  <c r="I192" i="17"/>
  <c r="J192" i="17"/>
  <c r="L192" i="17"/>
  <c r="Q192" i="17"/>
  <c r="C156" i="17"/>
  <c r="C133" i="17"/>
  <c r="C179" i="17"/>
  <c r="E48" i="34"/>
  <c r="AC82" i="17"/>
  <c r="AE82" i="17"/>
  <c r="AJ82" i="17"/>
  <c r="AC100" i="34"/>
  <c r="AH35" i="46"/>
  <c r="AC89" i="17"/>
  <c r="AE89" i="17"/>
  <c r="AJ89" i="17"/>
  <c r="O45" i="17"/>
  <c r="Q45" i="17"/>
  <c r="J45" i="17"/>
  <c r="H45" i="17"/>
  <c r="I45" i="17"/>
  <c r="D45" i="17"/>
  <c r="G45" i="17"/>
  <c r="F45" i="17"/>
  <c r="L45" i="17"/>
  <c r="O89" i="17"/>
  <c r="Y167" i="17"/>
  <c r="AC167" i="17"/>
  <c r="AE167" i="17"/>
  <c r="Z167" i="17"/>
  <c r="AJ167" i="17"/>
  <c r="AB167" i="17"/>
  <c r="AH167" i="17"/>
  <c r="W167" i="17"/>
  <c r="AA167" i="17"/>
  <c r="Y46" i="17"/>
  <c r="AC46" i="17"/>
  <c r="AE46" i="17"/>
  <c r="AA46" i="17"/>
  <c r="AJ46" i="17"/>
  <c r="AH46" i="17"/>
  <c r="AB46" i="17"/>
  <c r="W46" i="17"/>
  <c r="Z46" i="17"/>
  <c r="J33" i="17"/>
  <c r="L33" i="17"/>
  <c r="F33" i="17"/>
  <c r="G33" i="17"/>
  <c r="I33" i="17"/>
  <c r="Q33" i="17"/>
  <c r="D33" i="17"/>
  <c r="H33" i="17"/>
  <c r="O33" i="17"/>
  <c r="AE191" i="17"/>
  <c r="AJ191" i="17"/>
  <c r="V147" i="17"/>
  <c r="V193" i="17"/>
  <c r="V170" i="17"/>
  <c r="F92" i="17"/>
  <c r="H92" i="17"/>
  <c r="G92" i="17"/>
  <c r="O92" i="17"/>
  <c r="L92" i="17"/>
  <c r="Q92" i="17"/>
  <c r="J92" i="17"/>
  <c r="U42" i="46"/>
  <c r="V42" i="46"/>
  <c r="H42" i="46"/>
  <c r="K42" i="46"/>
  <c r="Q42" i="46" s="1"/>
  <c r="L42" i="46"/>
  <c r="J42" i="46"/>
  <c r="M42" i="46"/>
  <c r="AG42" i="46"/>
  <c r="C139" i="17"/>
  <c r="C162" i="17"/>
  <c r="C185" i="17"/>
  <c r="F27" i="33"/>
  <c r="G89" i="17"/>
  <c r="E100" i="34"/>
  <c r="I48" i="34"/>
  <c r="AC134" i="17"/>
  <c r="AE134" i="17"/>
  <c r="AJ134" i="17"/>
  <c r="Q56" i="17"/>
  <c r="G56" i="17"/>
  <c r="I56" i="17"/>
  <c r="J56" i="17"/>
  <c r="O56" i="17"/>
  <c r="D56" i="17"/>
  <c r="F56" i="17"/>
  <c r="H56" i="17"/>
  <c r="L56" i="17"/>
  <c r="L101" i="34"/>
  <c r="G101" i="34"/>
  <c r="G102" i="34" s="1"/>
  <c r="F192" i="17"/>
  <c r="J100" i="34"/>
  <c r="H89" i="17"/>
  <c r="R102" i="34"/>
  <c r="AB92" i="17"/>
  <c r="AH92" i="17"/>
  <c r="W92" i="17"/>
  <c r="AA92" i="17"/>
  <c r="AC92" i="17"/>
  <c r="AE92" i="17"/>
  <c r="AJ92" i="17"/>
  <c r="AB193" i="17"/>
  <c r="Z193" i="17"/>
  <c r="AA193" i="17"/>
  <c r="AH193" i="17"/>
  <c r="AJ193" i="17"/>
  <c r="AE193" i="17"/>
  <c r="Q122" i="17"/>
  <c r="B191" i="17"/>
  <c r="F122" i="17"/>
  <c r="G122" i="17"/>
  <c r="D122" i="17"/>
  <c r="H122" i="17"/>
  <c r="B168" i="17"/>
  <c r="E122" i="17"/>
  <c r="M122" i="17"/>
  <c r="J122" i="17"/>
  <c r="B145" i="17"/>
  <c r="L122" i="17"/>
  <c r="R122" i="17"/>
  <c r="P122" i="17"/>
  <c r="K122" i="17"/>
  <c r="I122" i="17"/>
  <c r="O122" i="17"/>
  <c r="N122" i="17"/>
  <c r="AC79" i="17"/>
  <c r="AE79" i="17"/>
  <c r="AJ79" i="17"/>
  <c r="G35" i="46"/>
  <c r="W40" i="33"/>
  <c r="X40" i="33" s="1"/>
  <c r="X53" i="33" s="1"/>
  <c r="S35" i="46"/>
  <c r="T35" i="46"/>
  <c r="AC35" i="46"/>
  <c r="AL35" i="46"/>
  <c r="R35" i="46"/>
  <c r="O32" i="17"/>
  <c r="G32" i="17"/>
  <c r="H32" i="17"/>
  <c r="F32" i="17"/>
  <c r="J32" i="17"/>
  <c r="D32" i="17"/>
  <c r="I32" i="17"/>
  <c r="Q32" i="17"/>
  <c r="L32" i="17"/>
  <c r="G192" i="17"/>
  <c r="D89" i="17"/>
  <c r="F89" i="17"/>
  <c r="W5" i="17"/>
  <c r="O192" i="17"/>
  <c r="H82" i="17"/>
  <c r="F82" i="17"/>
  <c r="G82" i="17"/>
  <c r="I82" i="17"/>
  <c r="O82" i="17"/>
  <c r="D82" i="17"/>
  <c r="J82" i="17"/>
  <c r="L82" i="17"/>
  <c r="Q82" i="17"/>
  <c r="V157" i="17"/>
  <c r="V180" i="17"/>
  <c r="V134" i="17"/>
  <c r="AA101" i="34"/>
  <c r="AA47" i="34"/>
  <c r="AA49" i="34" s="1"/>
  <c r="H48" i="34"/>
  <c r="V167" i="17"/>
  <c r="V190" i="17"/>
  <c r="V144" i="17"/>
  <c r="J79" i="17"/>
  <c r="L79" i="17"/>
  <c r="Q79" i="17"/>
  <c r="L100" i="34"/>
  <c r="AA42" i="17"/>
  <c r="Y42" i="17"/>
  <c r="AH42" i="17"/>
  <c r="Z42" i="17"/>
  <c r="AC42" i="17"/>
  <c r="W42" i="17"/>
  <c r="AB42" i="17"/>
  <c r="AE42" i="17"/>
  <c r="AJ42" i="17"/>
  <c r="D192" i="17"/>
  <c r="O47" i="34"/>
  <c r="AH88" i="17"/>
  <c r="Z88" i="17"/>
  <c r="AE88" i="17"/>
  <c r="AA88" i="17"/>
  <c r="AC88" i="17"/>
  <c r="AJ88" i="17"/>
  <c r="AH100" i="34"/>
  <c r="X35" i="46"/>
  <c r="Y157" i="17"/>
  <c r="AB157" i="17"/>
  <c r="W157" i="17"/>
  <c r="AA157" i="17"/>
  <c r="AH157" i="17"/>
  <c r="AJ157" i="17"/>
  <c r="Z157" i="17"/>
  <c r="AC157" i="17"/>
  <c r="AE157" i="17"/>
  <c r="Y36" i="17"/>
  <c r="AC36" i="17"/>
  <c r="AH36" i="17"/>
  <c r="AB36" i="17"/>
  <c r="W36" i="17"/>
  <c r="Z36" i="17"/>
  <c r="AA36" i="17"/>
  <c r="AJ36" i="17"/>
  <c r="AE36" i="17"/>
  <c r="D36" i="17"/>
  <c r="O36" i="17"/>
  <c r="G36" i="17"/>
  <c r="J36" i="17"/>
  <c r="F36" i="17"/>
  <c r="L36" i="17"/>
  <c r="H36" i="17"/>
  <c r="I36" i="17"/>
  <c r="Q36" i="17"/>
  <c r="H192" i="17"/>
  <c r="W89" i="17"/>
  <c r="W47" i="34"/>
  <c r="W49" i="34" s="1"/>
  <c r="Z48" i="34"/>
  <c r="Z49" i="34" s="1"/>
  <c r="AA100" i="34"/>
  <c r="AK112" i="17"/>
  <c r="AC112" i="17"/>
  <c r="Z112" i="17"/>
  <c r="U158" i="17"/>
  <c r="AF112" i="17"/>
  <c r="AB112" i="17"/>
  <c r="AI112" i="17"/>
  <c r="U135" i="17"/>
  <c r="AH112" i="17"/>
  <c r="AE112" i="17"/>
  <c r="W112" i="17"/>
  <c r="Y112" i="17"/>
  <c r="AA112" i="17"/>
  <c r="X112" i="17"/>
  <c r="AD112" i="17"/>
  <c r="AG112" i="17"/>
  <c r="H68" i="17"/>
  <c r="O68" i="17"/>
  <c r="D68" i="17"/>
  <c r="F68" i="17"/>
  <c r="J68" i="17"/>
  <c r="L68" i="17"/>
  <c r="Q68" i="17"/>
  <c r="G68" i="17"/>
  <c r="I68" i="17"/>
  <c r="AJ16" i="34"/>
  <c r="X43" i="46"/>
  <c r="W43" i="46"/>
  <c r="AH43" i="46"/>
  <c r="AB43" i="46"/>
  <c r="J34" i="46"/>
  <c r="H34" i="46"/>
  <c r="V34" i="46"/>
  <c r="U34" i="46"/>
  <c r="P34" i="46"/>
  <c r="K34" i="46"/>
  <c r="M34" i="46"/>
  <c r="L34" i="46"/>
  <c r="AA65" i="17"/>
  <c r="Z65" i="17"/>
  <c r="Y65" i="17"/>
  <c r="W65" i="17"/>
  <c r="AC65" i="17"/>
  <c r="AB65" i="17"/>
  <c r="AE65" i="17"/>
  <c r="AJ65" i="17"/>
  <c r="AH65" i="17"/>
  <c r="AA35" i="46"/>
  <c r="Z89" i="17"/>
  <c r="O79" i="17"/>
  <c r="H47" i="34"/>
  <c r="M48" i="34"/>
  <c r="P47" i="34"/>
  <c r="P49" i="34" s="1"/>
  <c r="I66" i="17"/>
  <c r="G66" i="17"/>
  <c r="F66" i="17"/>
  <c r="J66" i="17"/>
  <c r="L66" i="17"/>
  <c r="Q66" i="17"/>
  <c r="O66" i="17"/>
  <c r="H66" i="17"/>
  <c r="D66" i="17"/>
  <c r="AD100" i="34"/>
  <c r="I91" i="17"/>
  <c r="H91" i="17"/>
  <c r="J91" i="17"/>
  <c r="L91" i="17"/>
  <c r="Q91" i="17"/>
  <c r="F59" i="17"/>
  <c r="I59" i="17"/>
  <c r="H59" i="17"/>
  <c r="J59" i="17"/>
  <c r="L59" i="17"/>
  <c r="D59" i="17"/>
  <c r="Q59" i="17"/>
  <c r="O59" i="17"/>
  <c r="G59" i="17"/>
  <c r="O181" i="17"/>
  <c r="I181" i="17"/>
  <c r="H181" i="17"/>
  <c r="G181" i="17"/>
  <c r="F181" i="17"/>
  <c r="D181" i="17"/>
  <c r="J181" i="17"/>
  <c r="L181" i="17"/>
  <c r="Q181" i="17"/>
  <c r="AJ24" i="34"/>
  <c r="Q183" i="17"/>
  <c r="J183" i="17"/>
  <c r="L183" i="17"/>
  <c r="AJ26" i="34"/>
  <c r="AD101" i="34"/>
  <c r="Y118" i="17"/>
  <c r="U141" i="17"/>
  <c r="Z118" i="17"/>
  <c r="AG118" i="17"/>
  <c r="AA118" i="17"/>
  <c r="W118" i="17"/>
  <c r="AC118" i="17"/>
  <c r="AE118" i="17"/>
  <c r="Q118" i="17"/>
  <c r="B164" i="17"/>
  <c r="K118" i="17"/>
  <c r="J118" i="17"/>
  <c r="G118" i="17"/>
  <c r="I118" i="17"/>
  <c r="P118" i="17"/>
  <c r="F118" i="17"/>
  <c r="E118" i="17"/>
  <c r="M118" i="17"/>
  <c r="O118" i="17"/>
  <c r="R118" i="17"/>
  <c r="D118" i="17"/>
  <c r="N118" i="17"/>
  <c r="L118" i="17"/>
  <c r="H118" i="17"/>
  <c r="B141" i="17"/>
  <c r="AA56" i="17"/>
  <c r="AB56" i="17"/>
  <c r="W56" i="17"/>
  <c r="Z56" i="17"/>
  <c r="AJ56" i="17"/>
  <c r="AC56" i="17"/>
  <c r="Y56" i="17"/>
  <c r="AH56" i="17"/>
  <c r="AE56" i="17"/>
  <c r="Y89" i="17"/>
  <c r="G79" i="17"/>
  <c r="AD48" i="34"/>
  <c r="G48" i="34"/>
  <c r="AJ61" i="34"/>
  <c r="AH168" i="17"/>
  <c r="AA168" i="17"/>
  <c r="AB168" i="17"/>
  <c r="Z168" i="17"/>
  <c r="AC168" i="17"/>
  <c r="AE168" i="17"/>
  <c r="AJ168" i="17"/>
  <c r="Y168" i="17"/>
  <c r="W168" i="17"/>
  <c r="J169" i="17"/>
  <c r="L169" i="17"/>
  <c r="V136" i="17"/>
  <c r="V182" i="17"/>
  <c r="V159" i="17"/>
  <c r="P56" i="33"/>
  <c r="AA89" i="17"/>
  <c r="H79" i="17"/>
  <c r="AL26" i="46"/>
  <c r="AE47" i="34"/>
  <c r="AB48" i="34"/>
  <c r="AB49" i="34" s="1"/>
  <c r="V47" i="34"/>
  <c r="V49" i="34" s="1"/>
  <c r="AJ145" i="17"/>
  <c r="AE145" i="17"/>
  <c r="Y145" i="17"/>
  <c r="AH145" i="17"/>
  <c r="W145" i="17"/>
  <c r="Z145" i="17"/>
  <c r="AC145" i="17"/>
  <c r="AA145" i="17"/>
  <c r="AB145" i="17"/>
  <c r="N8" i="46"/>
  <c r="O8" i="46" s="1"/>
  <c r="Z33" i="17"/>
  <c r="AA33" i="17"/>
  <c r="AB33" i="17"/>
  <c r="AC33" i="17"/>
  <c r="AE33" i="17"/>
  <c r="Y33" i="17"/>
  <c r="W33" i="17"/>
  <c r="AH33" i="17"/>
  <c r="AJ33" i="17"/>
  <c r="Y101" i="34"/>
  <c r="AJ18" i="34"/>
  <c r="F95" i="17"/>
  <c r="I95" i="17"/>
  <c r="H95" i="17"/>
  <c r="G95" i="17"/>
  <c r="O95" i="17"/>
  <c r="D95" i="17"/>
  <c r="J95" i="17"/>
  <c r="L95" i="17"/>
  <c r="Q95" i="17"/>
  <c r="G86" i="17"/>
  <c r="O86" i="17"/>
  <c r="F86" i="17"/>
  <c r="I86" i="17"/>
  <c r="D86" i="17"/>
  <c r="H86" i="17"/>
  <c r="Q86" i="17"/>
  <c r="J86" i="17"/>
  <c r="L86" i="17"/>
  <c r="F186" i="17"/>
  <c r="D186" i="17"/>
  <c r="I186" i="17"/>
  <c r="H186" i="17"/>
  <c r="O186" i="17"/>
  <c r="G186" i="17"/>
  <c r="J186" i="17"/>
  <c r="L186" i="17"/>
  <c r="Q186" i="17"/>
  <c r="Y142" i="17"/>
  <c r="Z142" i="17"/>
  <c r="AC142" i="17"/>
  <c r="AH142" i="17"/>
  <c r="AE142" i="17"/>
  <c r="AJ142" i="17"/>
  <c r="AA142" i="17"/>
  <c r="AB142" i="17"/>
  <c r="W142" i="17"/>
  <c r="H55" i="17"/>
  <c r="L55" i="17"/>
  <c r="Q55" i="17"/>
  <c r="O55" i="17"/>
  <c r="I55" i="17"/>
  <c r="F55" i="17"/>
  <c r="J55" i="17"/>
  <c r="G55" i="17"/>
  <c r="D55" i="17"/>
  <c r="J49" i="34"/>
  <c r="U57" i="33"/>
  <c r="B178" i="17"/>
  <c r="Q109" i="17"/>
  <c r="K109" i="17"/>
  <c r="R109" i="17"/>
  <c r="E109" i="17"/>
  <c r="O109" i="17"/>
  <c r="H109" i="17"/>
  <c r="M109" i="17"/>
  <c r="D109" i="17"/>
  <c r="I109" i="17"/>
  <c r="P109" i="17"/>
  <c r="J109" i="17"/>
  <c r="F109" i="17"/>
  <c r="L109" i="17"/>
  <c r="B132" i="17"/>
  <c r="B155" i="17"/>
  <c r="N109" i="17"/>
  <c r="G109" i="17"/>
  <c r="AA70" i="17"/>
  <c r="AC70" i="17"/>
  <c r="AE70" i="17"/>
  <c r="AJ70" i="17"/>
  <c r="Y70" i="17"/>
  <c r="W70" i="17"/>
  <c r="AB70" i="17"/>
  <c r="AH70" i="17"/>
  <c r="Z70" i="17"/>
  <c r="D5" i="17"/>
  <c r="AJ116" i="17"/>
  <c r="U185" i="17"/>
  <c r="AF116" i="17"/>
  <c r="U162" i="17"/>
  <c r="X116" i="17"/>
  <c r="AB116" i="17"/>
  <c r="AD116" i="17"/>
  <c r="AI116" i="17"/>
  <c r="AK116" i="17"/>
  <c r="U139" i="17"/>
  <c r="Z116" i="17"/>
  <c r="Y116" i="17"/>
  <c r="AA116" i="17"/>
  <c r="W116" i="17"/>
  <c r="AH116" i="17"/>
  <c r="AC116" i="17"/>
  <c r="AE116" i="17"/>
  <c r="AG116" i="17"/>
  <c r="I134" i="17"/>
  <c r="G134" i="17"/>
  <c r="Q134" i="17"/>
  <c r="D134" i="17"/>
  <c r="L134" i="17"/>
  <c r="F134" i="17"/>
  <c r="O134" i="17"/>
  <c r="H134" i="17"/>
  <c r="J134" i="17"/>
  <c r="I194" i="17"/>
  <c r="H194" i="17"/>
  <c r="O194" i="17"/>
  <c r="D194" i="17"/>
  <c r="G194" i="17"/>
  <c r="F194" i="17"/>
  <c r="J194" i="17"/>
  <c r="L194" i="17"/>
  <c r="Q194" i="17"/>
  <c r="X4" i="33"/>
  <c r="F78" i="17"/>
  <c r="I78" i="17"/>
  <c r="D78" i="17"/>
  <c r="H78" i="17"/>
  <c r="G78" i="17"/>
  <c r="O78" i="17"/>
  <c r="J78" i="17"/>
  <c r="L78" i="17"/>
  <c r="Q78" i="17"/>
  <c r="D81" i="17"/>
  <c r="F81" i="17"/>
  <c r="I81" i="17"/>
  <c r="H81" i="17"/>
  <c r="G81" i="17"/>
  <c r="O81" i="17"/>
  <c r="J81" i="17"/>
  <c r="L81" i="17"/>
  <c r="Q81" i="17"/>
  <c r="F182" i="17"/>
  <c r="I182" i="17"/>
  <c r="H182" i="17"/>
  <c r="O182" i="17"/>
  <c r="G182" i="17"/>
  <c r="D182" i="17"/>
  <c r="J182" i="17"/>
  <c r="L182" i="17"/>
  <c r="Q182" i="17"/>
  <c r="AH93" i="17"/>
  <c r="W93" i="17"/>
  <c r="AB93" i="17"/>
  <c r="AA93" i="17"/>
  <c r="Y93" i="17"/>
  <c r="Z93" i="17"/>
  <c r="AC93" i="17"/>
  <c r="AE93" i="17"/>
  <c r="AJ93" i="17"/>
  <c r="I157" i="17"/>
  <c r="G157" i="17"/>
  <c r="F157" i="17"/>
  <c r="H157" i="17"/>
  <c r="O157" i="17"/>
  <c r="D157" i="17"/>
  <c r="L157" i="17"/>
  <c r="J157" i="17"/>
  <c r="Q157" i="17"/>
  <c r="AB164" i="17"/>
  <c r="AH164" i="17"/>
  <c r="W164" i="17"/>
  <c r="Z164" i="17"/>
  <c r="AC164" i="17"/>
  <c r="Y164" i="17"/>
  <c r="AE164" i="17"/>
  <c r="AJ164" i="17"/>
  <c r="AA164" i="17"/>
  <c r="D88" i="17"/>
  <c r="H88" i="17"/>
  <c r="G88" i="17"/>
  <c r="O88" i="17"/>
  <c r="F88" i="17"/>
  <c r="I88" i="17"/>
  <c r="J88" i="17"/>
  <c r="L88" i="17"/>
  <c r="Q88" i="17"/>
  <c r="D97" i="17"/>
  <c r="F97" i="17"/>
  <c r="I97" i="17"/>
  <c r="H97" i="17"/>
  <c r="O97" i="17"/>
  <c r="G97" i="17"/>
  <c r="J97" i="17"/>
  <c r="Q97" i="17"/>
  <c r="L97" i="17"/>
  <c r="C166" i="17"/>
  <c r="C189" i="17"/>
  <c r="C143" i="17"/>
  <c r="O190" i="17"/>
  <c r="G190" i="17"/>
  <c r="F190" i="17"/>
  <c r="I190" i="17"/>
  <c r="D190" i="17"/>
  <c r="H190" i="17"/>
  <c r="L190" i="17"/>
  <c r="J190" i="17"/>
  <c r="Q190" i="17"/>
  <c r="Z47" i="17"/>
  <c r="AA47" i="17"/>
  <c r="Y47" i="17"/>
  <c r="AC47" i="17"/>
  <c r="AE47" i="17"/>
  <c r="AJ47" i="17"/>
  <c r="W47" i="17"/>
  <c r="AB47" i="17"/>
  <c r="AH47" i="17"/>
  <c r="H150" i="17"/>
  <c r="O150" i="17"/>
  <c r="I150" i="17"/>
  <c r="F150" i="17"/>
  <c r="D150" i="17"/>
  <c r="G150" i="17"/>
  <c r="J150" i="17"/>
  <c r="L150" i="17"/>
  <c r="Q150" i="17"/>
  <c r="I144" i="17"/>
  <c r="O144" i="17"/>
  <c r="G144" i="17"/>
  <c r="D144" i="17"/>
  <c r="F144" i="17"/>
  <c r="J144" i="17"/>
  <c r="L144" i="17"/>
  <c r="Q144" i="17"/>
  <c r="H144" i="17"/>
  <c r="U189" i="17"/>
  <c r="AJ120" i="17"/>
  <c r="AK120" i="17"/>
  <c r="AF120" i="17"/>
  <c r="Z120" i="17"/>
  <c r="W120" i="17"/>
  <c r="U143" i="17"/>
  <c r="AB120" i="17"/>
  <c r="AA120" i="17"/>
  <c r="Y120" i="17"/>
  <c r="AD120" i="17"/>
  <c r="AG120" i="17"/>
  <c r="AI120" i="17"/>
  <c r="U166" i="17"/>
  <c r="X120" i="17"/>
  <c r="AE120" i="17"/>
  <c r="AH120" i="17"/>
  <c r="AC120" i="17"/>
  <c r="AA184" i="17"/>
  <c r="Z184" i="17"/>
  <c r="AH184" i="17"/>
  <c r="W184" i="17"/>
  <c r="AB184" i="17"/>
  <c r="Y184" i="17"/>
  <c r="AE184" i="17"/>
  <c r="AJ184" i="17"/>
  <c r="Z181" i="17"/>
  <c r="AH181" i="17"/>
  <c r="W181" i="17"/>
  <c r="AB181" i="17"/>
  <c r="Y181" i="17"/>
  <c r="AA181" i="17"/>
  <c r="AE181" i="17"/>
  <c r="AJ181" i="17"/>
  <c r="I180" i="17"/>
  <c r="H180" i="17"/>
  <c r="O180" i="17"/>
  <c r="G180" i="17"/>
  <c r="D180" i="17"/>
  <c r="F180" i="17"/>
  <c r="L180" i="17"/>
  <c r="J180" i="17"/>
  <c r="Q180" i="17"/>
  <c r="X47" i="34"/>
  <c r="X49" i="34" s="1"/>
  <c r="AH177" i="17"/>
  <c r="AB177" i="17"/>
  <c r="AA177" i="17"/>
  <c r="Z177" i="17"/>
  <c r="Y177" i="17"/>
  <c r="W177" i="17"/>
  <c r="AE177" i="17"/>
  <c r="AJ177" i="17"/>
  <c r="AB188" i="17"/>
  <c r="W188" i="17"/>
  <c r="Y188" i="17"/>
  <c r="AA188" i="17"/>
  <c r="Z188" i="17"/>
  <c r="AH188" i="17"/>
  <c r="AE188" i="17"/>
  <c r="AJ188" i="17"/>
  <c r="B188" i="17"/>
  <c r="Q119" i="17"/>
  <c r="G119" i="17"/>
  <c r="B142" i="17"/>
  <c r="J119" i="17"/>
  <c r="P119" i="17"/>
  <c r="O119" i="17"/>
  <c r="I119" i="17"/>
  <c r="K119" i="17"/>
  <c r="B165" i="17"/>
  <c r="F119" i="17"/>
  <c r="E119" i="17"/>
  <c r="D119" i="17"/>
  <c r="M119" i="17"/>
  <c r="R119" i="17"/>
  <c r="H119" i="17"/>
  <c r="N119" i="17"/>
  <c r="L119" i="17"/>
  <c r="I196" i="17"/>
  <c r="H196" i="17"/>
  <c r="O196" i="17"/>
  <c r="G196" i="17"/>
  <c r="D196" i="17"/>
  <c r="J196" i="17"/>
  <c r="L196" i="17"/>
  <c r="Q196" i="17"/>
  <c r="F196" i="17"/>
  <c r="F187" i="17"/>
  <c r="D187" i="17"/>
  <c r="I187" i="17"/>
  <c r="H187" i="17"/>
  <c r="O187" i="17"/>
  <c r="G187" i="17"/>
  <c r="Q187" i="17"/>
  <c r="J187" i="17"/>
  <c r="L187" i="17"/>
  <c r="AB26" i="46"/>
  <c r="U179" i="17"/>
  <c r="AK110" i="17"/>
  <c r="U133" i="17"/>
  <c r="Z110" i="17"/>
  <c r="AA110" i="17"/>
  <c r="Y110" i="17"/>
  <c r="AB110" i="17"/>
  <c r="U156" i="17"/>
  <c r="AJ110" i="17"/>
  <c r="AI110" i="17"/>
  <c r="AD110" i="17"/>
  <c r="AF110" i="17"/>
  <c r="X110" i="17"/>
  <c r="AH110" i="17"/>
  <c r="AC110" i="17"/>
  <c r="W110" i="17"/>
  <c r="AE110" i="17"/>
  <c r="AG110" i="17"/>
  <c r="V140" i="17"/>
  <c r="V163" i="17"/>
  <c r="V186" i="17"/>
  <c r="J27" i="33"/>
  <c r="C186" i="17"/>
  <c r="C163" i="17"/>
  <c r="C140" i="17"/>
  <c r="U195" i="17"/>
  <c r="AH126" i="17"/>
  <c r="AK126" i="17"/>
  <c r="AI126" i="17"/>
  <c r="AD126" i="17"/>
  <c r="AJ126" i="17"/>
  <c r="X126" i="17"/>
  <c r="AF126" i="17"/>
  <c r="U172" i="17"/>
  <c r="U149" i="17"/>
  <c r="AC126" i="17"/>
  <c r="AB126" i="17"/>
  <c r="AA126" i="17"/>
  <c r="Z126" i="17"/>
  <c r="AE126" i="17"/>
  <c r="W126" i="17"/>
  <c r="Y126" i="17"/>
  <c r="H27" i="33"/>
  <c r="J167" i="17"/>
  <c r="D167" i="17"/>
  <c r="F167" i="17"/>
  <c r="H167" i="17"/>
  <c r="O167" i="17"/>
  <c r="L167" i="17"/>
  <c r="Q167" i="17"/>
  <c r="Z182" i="17"/>
  <c r="AH182" i="17"/>
  <c r="W182" i="17"/>
  <c r="AB182" i="17"/>
  <c r="Y182" i="17"/>
  <c r="AE182" i="17"/>
  <c r="AA182" i="17"/>
  <c r="AJ182" i="17"/>
  <c r="D27" i="33"/>
  <c r="AB187" i="17"/>
  <c r="W187" i="17"/>
  <c r="Y187" i="17"/>
  <c r="AA187" i="17"/>
  <c r="Z187" i="17"/>
  <c r="AH187" i="17"/>
  <c r="AE187" i="17"/>
  <c r="AJ187" i="17"/>
  <c r="AD117" i="17"/>
  <c r="AH117" i="17"/>
  <c r="U140" i="17"/>
  <c r="Y117" i="17"/>
  <c r="AI117" i="17"/>
  <c r="AF117" i="17"/>
  <c r="AA117" i="17"/>
  <c r="X117" i="17"/>
  <c r="U186" i="17"/>
  <c r="AB117" i="17"/>
  <c r="AJ117" i="17"/>
  <c r="AK117" i="17"/>
  <c r="Z117" i="17"/>
  <c r="U163" i="17"/>
  <c r="AG117" i="17"/>
  <c r="AC117" i="17"/>
  <c r="AE117" i="17"/>
  <c r="W117" i="17"/>
  <c r="P27" i="33"/>
  <c r="AH148" i="17"/>
  <c r="AA148" i="17"/>
  <c r="AC148" i="17"/>
  <c r="W148" i="17"/>
  <c r="AJ148" i="17"/>
  <c r="Z148" i="17"/>
  <c r="Y148" i="17"/>
  <c r="AB148" i="17"/>
  <c r="AE148" i="17"/>
  <c r="AB86" i="17"/>
  <c r="AA86" i="17"/>
  <c r="Y86" i="17"/>
  <c r="Z86" i="17"/>
  <c r="W86" i="17"/>
  <c r="AH86" i="17"/>
  <c r="AC86" i="17"/>
  <c r="AE86" i="17"/>
  <c r="AJ86" i="17"/>
  <c r="AA144" i="17"/>
  <c r="AB144" i="17"/>
  <c r="AH144" i="17"/>
  <c r="W144" i="17"/>
  <c r="Y144" i="17"/>
  <c r="Z144" i="17"/>
  <c r="AJ144" i="17"/>
  <c r="AC144" i="17"/>
  <c r="AE144" i="17"/>
  <c r="AJ123" i="17"/>
  <c r="Z123" i="17"/>
  <c r="AH123" i="17"/>
  <c r="AB123" i="17"/>
  <c r="AA123" i="17"/>
  <c r="U169" i="17"/>
  <c r="X123" i="17"/>
  <c r="U146" i="17"/>
  <c r="AF123" i="17"/>
  <c r="AI123" i="17"/>
  <c r="U192" i="17"/>
  <c r="AK123" i="17"/>
  <c r="AD123" i="17"/>
  <c r="W123" i="17"/>
  <c r="Y123" i="17"/>
  <c r="AC123" i="17"/>
  <c r="AE123" i="17"/>
  <c r="AG123" i="17"/>
  <c r="Q116" i="17"/>
  <c r="B185" i="17"/>
  <c r="I116" i="17"/>
  <c r="O116" i="17"/>
  <c r="F116" i="17"/>
  <c r="G116" i="17"/>
  <c r="D116" i="17"/>
  <c r="H116" i="17"/>
  <c r="B162" i="17"/>
  <c r="E116" i="17"/>
  <c r="P116" i="17"/>
  <c r="K116" i="17"/>
  <c r="R116" i="17"/>
  <c r="J116" i="17"/>
  <c r="L116" i="17"/>
  <c r="B139" i="17"/>
  <c r="M116" i="17"/>
  <c r="N116" i="17"/>
  <c r="AJ36" i="34"/>
  <c r="B177" i="17"/>
  <c r="Q108" i="17"/>
  <c r="G108" i="17"/>
  <c r="L108" i="17"/>
  <c r="J108" i="17"/>
  <c r="I108" i="17"/>
  <c r="D108" i="17"/>
  <c r="H108" i="17"/>
  <c r="B131" i="17"/>
  <c r="K108" i="17"/>
  <c r="E108" i="17"/>
  <c r="M108" i="17"/>
  <c r="O108" i="17"/>
  <c r="B154" i="17"/>
  <c r="F108" i="17"/>
  <c r="R108" i="17"/>
  <c r="P108" i="17"/>
  <c r="N108" i="17"/>
  <c r="AJ65" i="34"/>
  <c r="AE164" i="15"/>
  <c r="J79" i="15"/>
  <c r="K164" i="15"/>
  <c r="AB165" i="15"/>
  <c r="J164" i="15"/>
  <c r="L165" i="15"/>
  <c r="O164" i="15"/>
  <c r="AA164" i="15"/>
  <c r="O79" i="15"/>
  <c r="Z164" i="15"/>
  <c r="K79" i="15"/>
  <c r="AA79" i="15"/>
  <c r="AB80" i="15"/>
  <c r="AE79" i="15"/>
  <c r="L80" i="15"/>
  <c r="Z79" i="15"/>
  <c r="I49" i="34" l="1"/>
  <c r="AC191" i="17"/>
  <c r="W193" i="17"/>
  <c r="Y193" i="17"/>
  <c r="Z26" i="46"/>
  <c r="T26" i="46"/>
  <c r="N102" i="34"/>
  <c r="AI102" i="34"/>
  <c r="U49" i="34"/>
  <c r="AE49" i="34"/>
  <c r="O102" i="34"/>
  <c r="S48" i="46"/>
  <c r="AE32" i="46" s="1"/>
  <c r="G49" i="34"/>
  <c r="AB190" i="17"/>
  <c r="AC190" i="17" s="1"/>
  <c r="Y194" i="17"/>
  <c r="AA194" i="17"/>
  <c r="Z194" i="17"/>
  <c r="W194" i="17"/>
  <c r="AB194" i="17"/>
  <c r="AH194" i="17"/>
  <c r="R28" i="33"/>
  <c r="W24" i="33"/>
  <c r="T28" i="33"/>
  <c r="X24" i="33"/>
  <c r="T57" i="33"/>
  <c r="AJ194" i="17"/>
  <c r="F49" i="34"/>
  <c r="AE194" i="17"/>
  <c r="D169" i="17"/>
  <c r="H169" i="17"/>
  <c r="F169" i="17"/>
  <c r="G169" i="17"/>
  <c r="Q169" i="17"/>
  <c r="O169" i="17"/>
  <c r="E102" i="34"/>
  <c r="AF49" i="34"/>
  <c r="S26" i="46"/>
  <c r="AE21" i="46" s="1"/>
  <c r="AG49" i="34"/>
  <c r="Q49" i="34"/>
  <c r="O49" i="34"/>
  <c r="R48" i="46"/>
  <c r="AD28" i="46" s="1"/>
  <c r="AF28" i="46" s="1"/>
  <c r="Y26" i="46"/>
  <c r="U102" i="34"/>
  <c r="L48" i="46"/>
  <c r="D140" i="17"/>
  <c r="L140" i="17"/>
  <c r="Q140" i="17"/>
  <c r="I140" i="17"/>
  <c r="J140" i="17"/>
  <c r="G140" i="17"/>
  <c r="F140" i="17"/>
  <c r="H140" i="17"/>
  <c r="O140" i="17"/>
  <c r="M49" i="34"/>
  <c r="AE6" i="46"/>
  <c r="O159" i="17"/>
  <c r="G159" i="17"/>
  <c r="L159" i="17"/>
  <c r="I159" i="17"/>
  <c r="Q159" i="17"/>
  <c r="F159" i="17"/>
  <c r="H159" i="17"/>
  <c r="D159" i="17"/>
  <c r="J159" i="17"/>
  <c r="AC102" i="34"/>
  <c r="N49" i="34"/>
  <c r="Y48" i="46"/>
  <c r="J137" i="17"/>
  <c r="O137" i="17"/>
  <c r="Q137" i="17"/>
  <c r="H137" i="17"/>
  <c r="I137" i="17"/>
  <c r="F137" i="17"/>
  <c r="G137" i="17"/>
  <c r="D137" i="17"/>
  <c r="L137" i="17"/>
  <c r="AF102" i="34"/>
  <c r="Y102" i="34"/>
  <c r="AH102" i="34"/>
  <c r="AE102" i="34"/>
  <c r="X48" i="46"/>
  <c r="AC196" i="17"/>
  <c r="G163" i="17"/>
  <c r="H163" i="17"/>
  <c r="F163" i="17"/>
  <c r="Q163" i="17"/>
  <c r="D163" i="17"/>
  <c r="J163" i="17"/>
  <c r="I163" i="17"/>
  <c r="L163" i="17"/>
  <c r="O163" i="17"/>
  <c r="J102" i="34"/>
  <c r="I102" i="34"/>
  <c r="W102" i="34"/>
  <c r="L160" i="17"/>
  <c r="D160" i="17"/>
  <c r="H160" i="17"/>
  <c r="O160" i="17"/>
  <c r="G160" i="17"/>
  <c r="I160" i="17"/>
  <c r="J160" i="17"/>
  <c r="F160" i="17"/>
  <c r="Q160" i="17"/>
  <c r="G136" i="17"/>
  <c r="D136" i="17"/>
  <c r="O136" i="17"/>
  <c r="J136" i="17"/>
  <c r="L136" i="17"/>
  <c r="Q136" i="17"/>
  <c r="I136" i="17"/>
  <c r="F136" i="17"/>
  <c r="H136" i="17"/>
  <c r="D166" i="17"/>
  <c r="L166" i="17"/>
  <c r="H166" i="17"/>
  <c r="I166" i="17"/>
  <c r="J166" i="17"/>
  <c r="Q166" i="17"/>
  <c r="G166" i="17"/>
  <c r="O166" i="17"/>
  <c r="F166" i="17"/>
  <c r="AA48" i="46"/>
  <c r="AC48" i="46"/>
  <c r="AK31" i="46" s="1"/>
  <c r="AL48" i="46"/>
  <c r="AC193" i="17"/>
  <c r="W26" i="46"/>
  <c r="U48" i="46"/>
  <c r="H26" i="46"/>
  <c r="H143" i="17"/>
  <c r="J143" i="17"/>
  <c r="L143" i="17"/>
  <c r="I143" i="17"/>
  <c r="Q143" i="17"/>
  <c r="F143" i="17"/>
  <c r="O143" i="17"/>
  <c r="D143" i="17"/>
  <c r="G143" i="17"/>
  <c r="V26" i="46"/>
  <c r="N48" i="46"/>
  <c r="AB48" i="46"/>
  <c r="G48" i="46"/>
  <c r="G146" i="17"/>
  <c r="H146" i="17"/>
  <c r="I146" i="17"/>
  <c r="D146" i="17"/>
  <c r="O146" i="17"/>
  <c r="Q146" i="17"/>
  <c r="L146" i="17"/>
  <c r="F146" i="17"/>
  <c r="J146" i="17"/>
  <c r="I167" i="17"/>
  <c r="W53" i="33"/>
  <c r="Z48" i="46"/>
  <c r="H189" i="17"/>
  <c r="J189" i="17"/>
  <c r="L189" i="17"/>
  <c r="Q189" i="17"/>
  <c r="D189" i="17"/>
  <c r="G189" i="17"/>
  <c r="F189" i="17"/>
  <c r="I189" i="17"/>
  <c r="O189" i="17"/>
  <c r="E49" i="34"/>
  <c r="T48" i="46"/>
  <c r="AE47" i="46"/>
  <c r="AE39" i="46"/>
  <c r="AE40" i="46"/>
  <c r="AB159" i="17"/>
  <c r="AE159" i="17"/>
  <c r="AJ159" i="17"/>
  <c r="AC159" i="17"/>
  <c r="AA159" i="17"/>
  <c r="AH159" i="17"/>
  <c r="Y159" i="17"/>
  <c r="Z159" i="17"/>
  <c r="W159" i="17"/>
  <c r="W48" i="46"/>
  <c r="J26" i="46"/>
  <c r="L184" i="17"/>
  <c r="Q184" i="17"/>
  <c r="J184" i="17"/>
  <c r="H184" i="17"/>
  <c r="O184" i="17"/>
  <c r="G184" i="17"/>
  <c r="D184" i="17"/>
  <c r="I184" i="17"/>
  <c r="F184" i="17"/>
  <c r="F133" i="17"/>
  <c r="O133" i="17"/>
  <c r="H133" i="17"/>
  <c r="I133" i="17"/>
  <c r="D133" i="17"/>
  <c r="G133" i="17"/>
  <c r="J133" i="17"/>
  <c r="L133" i="17"/>
  <c r="Q133" i="17"/>
  <c r="O161" i="17"/>
  <c r="J161" i="17"/>
  <c r="F161" i="17"/>
  <c r="L161" i="17"/>
  <c r="D161" i="17"/>
  <c r="Q161" i="17"/>
  <c r="I161" i="17"/>
  <c r="G161" i="17"/>
  <c r="H161" i="17"/>
  <c r="M26" i="46"/>
  <c r="P26" i="46"/>
  <c r="Q179" i="17"/>
  <c r="J179" i="17"/>
  <c r="L179" i="17"/>
  <c r="I179" i="17"/>
  <c r="H179" i="17"/>
  <c r="O179" i="17"/>
  <c r="G179" i="17"/>
  <c r="D179" i="17"/>
  <c r="F179" i="17"/>
  <c r="AB131" i="17"/>
  <c r="W131" i="17"/>
  <c r="AH131" i="17"/>
  <c r="Z131" i="17"/>
  <c r="Y131" i="17"/>
  <c r="AA131" i="17"/>
  <c r="AC131" i="17"/>
  <c r="AE131" i="17"/>
  <c r="AJ131" i="17"/>
  <c r="AH136" i="17"/>
  <c r="Y136" i="17"/>
  <c r="AC136" i="17"/>
  <c r="AB136" i="17"/>
  <c r="W136" i="17"/>
  <c r="AE136" i="17"/>
  <c r="AJ136" i="17"/>
  <c r="AA136" i="17"/>
  <c r="Z136" i="17"/>
  <c r="AH170" i="17"/>
  <c r="AC170" i="17"/>
  <c r="AE170" i="17"/>
  <c r="AA170" i="17"/>
  <c r="Z170" i="17"/>
  <c r="AJ170" i="17"/>
  <c r="AB170" i="17"/>
  <c r="W170" i="17"/>
  <c r="Y170" i="17"/>
  <c r="AB160" i="17"/>
  <c r="AC160" i="17"/>
  <c r="AE160" i="17"/>
  <c r="Z160" i="17"/>
  <c r="AJ160" i="17"/>
  <c r="W160" i="17"/>
  <c r="AH160" i="17"/>
  <c r="AA160" i="17"/>
  <c r="Y160" i="17"/>
  <c r="Y183" i="17"/>
  <c r="AE183" i="17"/>
  <c r="AJ183" i="17"/>
  <c r="Z183" i="17"/>
  <c r="AH183" i="17"/>
  <c r="W183" i="17"/>
  <c r="AB183" i="17"/>
  <c r="AA183" i="17"/>
  <c r="P48" i="46"/>
  <c r="W147" i="17"/>
  <c r="AA147" i="17"/>
  <c r="Z147" i="17"/>
  <c r="AE147" i="17"/>
  <c r="AH147" i="17"/>
  <c r="AB147" i="17"/>
  <c r="Y147" i="17"/>
  <c r="AC147" i="17"/>
  <c r="AJ147" i="17"/>
  <c r="H138" i="17"/>
  <c r="L138" i="17"/>
  <c r="G138" i="17"/>
  <c r="Q138" i="17"/>
  <c r="I138" i="17"/>
  <c r="D138" i="17"/>
  <c r="F138" i="17"/>
  <c r="O138" i="17"/>
  <c r="J138" i="17"/>
  <c r="AE137" i="17"/>
  <c r="AJ137" i="17"/>
  <c r="AC137" i="17"/>
  <c r="Y137" i="17"/>
  <c r="AH137" i="17"/>
  <c r="AA137" i="17"/>
  <c r="Z137" i="17"/>
  <c r="AB137" i="17"/>
  <c r="W137" i="17"/>
  <c r="AC177" i="17"/>
  <c r="AD49" i="34"/>
  <c r="V48" i="46"/>
  <c r="AD29" i="46"/>
  <c r="AF29" i="46" s="1"/>
  <c r="U26" i="46"/>
  <c r="I156" i="17"/>
  <c r="J156" i="17"/>
  <c r="L156" i="17"/>
  <c r="O156" i="17"/>
  <c r="H156" i="17"/>
  <c r="Q156" i="17"/>
  <c r="D156" i="17"/>
  <c r="F156" i="17"/>
  <c r="G156" i="17"/>
  <c r="AA154" i="17"/>
  <c r="AE154" i="17"/>
  <c r="Y154" i="17"/>
  <c r="AJ154" i="17"/>
  <c r="AH154" i="17"/>
  <c r="AB154" i="17"/>
  <c r="AC154" i="17"/>
  <c r="W154" i="17"/>
  <c r="Z154" i="17"/>
  <c r="AD47" i="46"/>
  <c r="AF47" i="46" s="1"/>
  <c r="AD46" i="46"/>
  <c r="AF46" i="46" s="1"/>
  <c r="L26" i="46"/>
  <c r="AE29" i="46"/>
  <c r="AD44" i="46"/>
  <c r="AF44" i="46" s="1"/>
  <c r="N26" i="46"/>
  <c r="Z132" i="17"/>
  <c r="AA132" i="17"/>
  <c r="AH132" i="17"/>
  <c r="AE132" i="17"/>
  <c r="Y132" i="17"/>
  <c r="AB132" i="17"/>
  <c r="W132" i="17"/>
  <c r="AJ132" i="17"/>
  <c r="AC132" i="17"/>
  <c r="O145" i="17"/>
  <c r="H145" i="17"/>
  <c r="D145" i="17"/>
  <c r="F145" i="17"/>
  <c r="I145" i="17"/>
  <c r="G145" i="17"/>
  <c r="Q145" i="17"/>
  <c r="L145" i="17"/>
  <c r="J145" i="17"/>
  <c r="AK19" i="46"/>
  <c r="AD39" i="46"/>
  <c r="AF39" i="46" s="1"/>
  <c r="AD42" i="46"/>
  <c r="AF42" i="46" s="1"/>
  <c r="Q8" i="46"/>
  <c r="Q26" i="46" s="1"/>
  <c r="K26" i="46"/>
  <c r="AK15" i="46"/>
  <c r="AE38" i="46"/>
  <c r="AE30" i="46"/>
  <c r="AD34" i="46"/>
  <c r="AF34" i="46" s="1"/>
  <c r="AE44" i="46"/>
  <c r="AE45" i="46"/>
  <c r="O164" i="17"/>
  <c r="F164" i="17"/>
  <c r="G164" i="17"/>
  <c r="I164" i="17"/>
  <c r="Q164" i="17"/>
  <c r="H164" i="17"/>
  <c r="D164" i="17"/>
  <c r="J164" i="17"/>
  <c r="L164" i="17"/>
  <c r="AA135" i="17"/>
  <c r="Z135" i="17"/>
  <c r="AC135" i="17"/>
  <c r="AE135" i="17"/>
  <c r="AB135" i="17"/>
  <c r="AH135" i="17"/>
  <c r="W135" i="17"/>
  <c r="Y135" i="17"/>
  <c r="AJ135" i="17"/>
  <c r="O168" i="17"/>
  <c r="L168" i="17"/>
  <c r="F168" i="17"/>
  <c r="Q168" i="17"/>
  <c r="G168" i="17"/>
  <c r="I168" i="17"/>
  <c r="D168" i="17"/>
  <c r="J168" i="17"/>
  <c r="H168" i="17"/>
  <c r="AE33" i="46"/>
  <c r="AE36" i="46"/>
  <c r="AD41" i="46"/>
  <c r="AF41" i="46" s="1"/>
  <c r="AE43" i="46"/>
  <c r="M48" i="46"/>
  <c r="AB155" i="17"/>
  <c r="AH155" i="17"/>
  <c r="W155" i="17"/>
  <c r="AA155" i="17"/>
  <c r="AE155" i="17"/>
  <c r="Z155" i="17"/>
  <c r="AJ155" i="17"/>
  <c r="AC155" i="17"/>
  <c r="Y155" i="17"/>
  <c r="AE46" i="46"/>
  <c r="AD36" i="46"/>
  <c r="AF36" i="46" s="1"/>
  <c r="AD45" i="46"/>
  <c r="AF45" i="46" s="1"/>
  <c r="Q34" i="46"/>
  <c r="Q48" i="46" s="1"/>
  <c r="K48" i="46"/>
  <c r="AC158" i="17"/>
  <c r="AB158" i="17"/>
  <c r="AA158" i="17"/>
  <c r="AH158" i="17"/>
  <c r="W158" i="17"/>
  <c r="Z158" i="17"/>
  <c r="Y158" i="17"/>
  <c r="AE158" i="17"/>
  <c r="AJ158" i="17"/>
  <c r="L102" i="34"/>
  <c r="AE31" i="46"/>
  <c r="AD43" i="46"/>
  <c r="AF43" i="46" s="1"/>
  <c r="H49" i="34"/>
  <c r="J191" i="17"/>
  <c r="L191" i="17"/>
  <c r="Q191" i="17"/>
  <c r="H191" i="17"/>
  <c r="O191" i="17"/>
  <c r="G191" i="17"/>
  <c r="F191" i="17"/>
  <c r="I191" i="17"/>
  <c r="D191" i="17"/>
  <c r="AD38" i="46"/>
  <c r="AF38" i="46" s="1"/>
  <c r="AD31" i="46"/>
  <c r="AF31" i="46" s="1"/>
  <c r="AD30" i="46"/>
  <c r="AF30" i="46" s="1"/>
  <c r="AE37" i="46"/>
  <c r="F141" i="17"/>
  <c r="J141" i="17"/>
  <c r="L141" i="17"/>
  <c r="O141" i="17"/>
  <c r="H141" i="17"/>
  <c r="G141" i="17"/>
  <c r="Q141" i="17"/>
  <c r="I141" i="17"/>
  <c r="D141" i="17"/>
  <c r="AE42" i="46"/>
  <c r="AD102" i="34"/>
  <c r="AD33" i="46"/>
  <c r="AF33" i="46" s="1"/>
  <c r="W141" i="17"/>
  <c r="AA141" i="17"/>
  <c r="AC141" i="17"/>
  <c r="AB141" i="17"/>
  <c r="AJ141" i="17"/>
  <c r="AE141" i="17"/>
  <c r="Z141" i="17"/>
  <c r="Y141" i="17"/>
  <c r="AH141" i="17"/>
  <c r="H48" i="46"/>
  <c r="AA102" i="34"/>
  <c r="AC180" i="17"/>
  <c r="J48" i="46"/>
  <c r="AE178" i="17"/>
  <c r="AJ178" i="17"/>
  <c r="Z178" i="17"/>
  <c r="AH178" i="17"/>
  <c r="AB178" i="17"/>
  <c r="AA178" i="17"/>
  <c r="W178" i="17"/>
  <c r="Y178" i="17"/>
  <c r="H132" i="17"/>
  <c r="G132" i="17"/>
  <c r="O132" i="17"/>
  <c r="L132" i="17"/>
  <c r="Q132" i="17"/>
  <c r="D132" i="17"/>
  <c r="I132" i="17"/>
  <c r="F132" i="17"/>
  <c r="J132" i="17"/>
  <c r="AK13" i="46"/>
  <c r="AE9" i="46"/>
  <c r="AD12" i="46"/>
  <c r="AF12" i="46" s="1"/>
  <c r="AD9" i="46"/>
  <c r="AF9" i="46" s="1"/>
  <c r="AD17" i="46"/>
  <c r="AF17" i="46" s="1"/>
  <c r="AD6" i="46"/>
  <c r="AF6" i="46" s="1"/>
  <c r="AD18" i="46"/>
  <c r="AF18" i="46" s="1"/>
  <c r="AD11" i="46"/>
  <c r="AF11" i="46" s="1"/>
  <c r="AD20" i="46"/>
  <c r="AF20" i="46" s="1"/>
  <c r="AD15" i="46"/>
  <c r="AF15" i="46" s="1"/>
  <c r="AD10" i="46"/>
  <c r="AF10" i="46" s="1"/>
  <c r="AD8" i="46"/>
  <c r="AF8" i="46" s="1"/>
  <c r="AD14" i="46"/>
  <c r="AF14" i="46" s="1"/>
  <c r="AD7" i="46"/>
  <c r="AF7" i="46" s="1"/>
  <c r="AD24" i="46"/>
  <c r="AF24" i="46" s="1"/>
  <c r="AD16" i="46"/>
  <c r="AF16" i="46" s="1"/>
  <c r="AD19" i="46"/>
  <c r="AF19" i="46" s="1"/>
  <c r="AD21" i="46"/>
  <c r="AF21" i="46" s="1"/>
  <c r="AD25" i="46"/>
  <c r="AF25" i="46" s="1"/>
  <c r="AD23" i="46"/>
  <c r="AF23" i="46" s="1"/>
  <c r="AD13" i="46"/>
  <c r="AF13" i="46" s="1"/>
  <c r="AD22" i="46"/>
  <c r="AF22" i="46" s="1"/>
  <c r="AK14" i="46"/>
  <c r="AK20" i="46"/>
  <c r="AE15" i="46"/>
  <c r="J131" i="17"/>
  <c r="L131" i="17"/>
  <c r="I131" i="17"/>
  <c r="Q131" i="17"/>
  <c r="H131" i="17"/>
  <c r="G131" i="17"/>
  <c r="D131" i="17"/>
  <c r="F131" i="17"/>
  <c r="O131" i="17"/>
  <c r="W195" i="17"/>
  <c r="AH195" i="17"/>
  <c r="AB195" i="17"/>
  <c r="Y195" i="17"/>
  <c r="AA195" i="17"/>
  <c r="AE195" i="17"/>
  <c r="AJ195" i="17"/>
  <c r="Z195" i="17"/>
  <c r="AB189" i="17"/>
  <c r="Y189" i="17"/>
  <c r="W189" i="17"/>
  <c r="AA189" i="17"/>
  <c r="Z189" i="17"/>
  <c r="AH189" i="17"/>
  <c r="AJ189" i="17"/>
  <c r="AE189" i="17"/>
  <c r="AK11" i="46"/>
  <c r="AE24" i="46"/>
  <c r="AE18" i="46"/>
  <c r="AE16" i="46"/>
  <c r="AE20" i="46"/>
  <c r="W104" i="17"/>
  <c r="G188" i="17"/>
  <c r="F188" i="17"/>
  <c r="D188" i="17"/>
  <c r="I188" i="17"/>
  <c r="H188" i="17"/>
  <c r="Q188" i="17"/>
  <c r="O188" i="17"/>
  <c r="J188" i="17"/>
  <c r="L188" i="17"/>
  <c r="AC181" i="17"/>
  <c r="AK7" i="46"/>
  <c r="AE10" i="46"/>
  <c r="AE8" i="46"/>
  <c r="AB156" i="17"/>
  <c r="AA156" i="17"/>
  <c r="AC156" i="17"/>
  <c r="AH156" i="17"/>
  <c r="W156" i="17"/>
  <c r="Z156" i="17"/>
  <c r="AJ156" i="17"/>
  <c r="Y156" i="17"/>
  <c r="AE156" i="17"/>
  <c r="AH166" i="17"/>
  <c r="Z166" i="17"/>
  <c r="AA166" i="17"/>
  <c r="AC166" i="17"/>
  <c r="AE166" i="17"/>
  <c r="AJ166" i="17"/>
  <c r="Y166" i="17"/>
  <c r="AB166" i="17"/>
  <c r="W166" i="17"/>
  <c r="AK16" i="46"/>
  <c r="AE19" i="46"/>
  <c r="AE23" i="46"/>
  <c r="F142" i="17"/>
  <c r="J142" i="17"/>
  <c r="L142" i="17"/>
  <c r="Q142" i="17"/>
  <c r="O142" i="17"/>
  <c r="H142" i="17"/>
  <c r="I142" i="17"/>
  <c r="D142" i="17"/>
  <c r="G142" i="17"/>
  <c r="AC163" i="17"/>
  <c r="AJ163" i="17"/>
  <c r="AB163" i="17"/>
  <c r="Y163" i="17"/>
  <c r="AH163" i="17"/>
  <c r="W163" i="17"/>
  <c r="AA163" i="17"/>
  <c r="AE163" i="17"/>
  <c r="Z163" i="17"/>
  <c r="AK18" i="46"/>
  <c r="O162" i="17"/>
  <c r="G162" i="17"/>
  <c r="H162" i="17"/>
  <c r="D162" i="17"/>
  <c r="J162" i="17"/>
  <c r="L162" i="17"/>
  <c r="Q162" i="17"/>
  <c r="F162" i="17"/>
  <c r="I162" i="17"/>
  <c r="AB192" i="17"/>
  <c r="Y192" i="17"/>
  <c r="AA192" i="17"/>
  <c r="W192" i="17"/>
  <c r="Z192" i="17"/>
  <c r="AE192" i="17"/>
  <c r="AJ192" i="17"/>
  <c r="AH192" i="17"/>
  <c r="AC187" i="17"/>
  <c r="AK24" i="46"/>
  <c r="AE22" i="46"/>
  <c r="AE13" i="46"/>
  <c r="AK21" i="46"/>
  <c r="AE12" i="46"/>
  <c r="AK10" i="46"/>
  <c r="AE11" i="46"/>
  <c r="D104" i="17"/>
  <c r="AK12" i="46"/>
  <c r="Y133" i="17"/>
  <c r="AH133" i="17"/>
  <c r="AB133" i="17"/>
  <c r="AA133" i="17"/>
  <c r="AC133" i="17"/>
  <c r="AE133" i="17"/>
  <c r="AJ133" i="17"/>
  <c r="W133" i="17"/>
  <c r="Z133" i="17"/>
  <c r="L165" i="17"/>
  <c r="I165" i="17"/>
  <c r="G165" i="17"/>
  <c r="O165" i="17"/>
  <c r="H165" i="17"/>
  <c r="F165" i="17"/>
  <c r="D165" i="17"/>
  <c r="J165" i="17"/>
  <c r="Q165" i="17"/>
  <c r="AC188" i="17"/>
  <c r="AC184" i="17"/>
  <c r="AK22" i="46"/>
  <c r="AE25" i="46"/>
  <c r="AC139" i="17"/>
  <c r="AE139" i="17"/>
  <c r="Z139" i="17"/>
  <c r="Y139" i="17"/>
  <c r="W139" i="17"/>
  <c r="AH139" i="17"/>
  <c r="AB139" i="17"/>
  <c r="AA139" i="17"/>
  <c r="AJ139" i="17"/>
  <c r="W146" i="17"/>
  <c r="AB146" i="17"/>
  <c r="AA146" i="17"/>
  <c r="Y146" i="17"/>
  <c r="AH146" i="17"/>
  <c r="Z146" i="17"/>
  <c r="AC146" i="17"/>
  <c r="AE146" i="17"/>
  <c r="AJ146" i="17"/>
  <c r="Y169" i="17"/>
  <c r="W169" i="17"/>
  <c r="AB169" i="17"/>
  <c r="Z169" i="17"/>
  <c r="AC169" i="17"/>
  <c r="AA169" i="17"/>
  <c r="AJ169" i="17"/>
  <c r="AH169" i="17"/>
  <c r="AE169" i="17"/>
  <c r="D185" i="17"/>
  <c r="F185" i="17"/>
  <c r="I185" i="17"/>
  <c r="H185" i="17"/>
  <c r="O185" i="17"/>
  <c r="G185" i="17"/>
  <c r="L185" i="17"/>
  <c r="J185" i="17"/>
  <c r="Q185" i="17"/>
  <c r="W179" i="17"/>
  <c r="AH179" i="17"/>
  <c r="AB179" i="17"/>
  <c r="Y179" i="17"/>
  <c r="AA179" i="17"/>
  <c r="Z179" i="17"/>
  <c r="AJ179" i="17"/>
  <c r="AE179" i="17"/>
  <c r="AB143" i="17"/>
  <c r="AH143" i="17"/>
  <c r="AA143" i="17"/>
  <c r="Y143" i="17"/>
  <c r="Z143" i="17"/>
  <c r="AE143" i="17"/>
  <c r="AJ143" i="17"/>
  <c r="AC143" i="17"/>
  <c r="W143" i="17"/>
  <c r="AK9" i="46"/>
  <c r="AE7" i="46"/>
  <c r="AK6" i="46"/>
  <c r="AH172" i="17"/>
  <c r="Z172" i="17"/>
  <c r="Y172" i="17"/>
  <c r="W172" i="17"/>
  <c r="AC172" i="17"/>
  <c r="AE172" i="17"/>
  <c r="AA172" i="17"/>
  <c r="AB172" i="17"/>
  <c r="AJ172" i="17"/>
  <c r="O154" i="17"/>
  <c r="D154" i="17"/>
  <c r="J154" i="17"/>
  <c r="L154" i="17"/>
  <c r="Q154" i="17"/>
  <c r="H154" i="17"/>
  <c r="I154" i="17"/>
  <c r="F154" i="17"/>
  <c r="G154" i="17"/>
  <c r="Z162" i="17"/>
  <c r="AH162" i="17"/>
  <c r="AC162" i="17"/>
  <c r="Y162" i="17"/>
  <c r="AE162" i="17"/>
  <c r="AA162" i="17"/>
  <c r="AJ162" i="17"/>
  <c r="AB162" i="17"/>
  <c r="W162" i="17"/>
  <c r="AK17" i="46"/>
  <c r="AE17" i="46"/>
  <c r="Y149" i="17"/>
  <c r="AH149" i="17"/>
  <c r="Z149" i="17"/>
  <c r="AA149" i="17"/>
  <c r="AB149" i="17"/>
  <c r="AC149" i="17"/>
  <c r="AE149" i="17"/>
  <c r="W149" i="17"/>
  <c r="AJ149" i="17"/>
  <c r="I177" i="17"/>
  <c r="H177" i="17"/>
  <c r="G177" i="17"/>
  <c r="F177" i="17"/>
  <c r="D177" i="17"/>
  <c r="O177" i="17"/>
  <c r="J177" i="17"/>
  <c r="L177" i="17"/>
  <c r="Q177" i="17"/>
  <c r="I139" i="17"/>
  <c r="G139" i="17"/>
  <c r="J139" i="17"/>
  <c r="Q139" i="17"/>
  <c r="D139" i="17"/>
  <c r="F139" i="17"/>
  <c r="H139" i="17"/>
  <c r="L139" i="17"/>
  <c r="O139" i="17"/>
  <c r="AA140" i="17"/>
  <c r="W140" i="17"/>
  <c r="AC140" i="17"/>
  <c r="AE140" i="17"/>
  <c r="Z140" i="17"/>
  <c r="Y140" i="17"/>
  <c r="AH140" i="17"/>
  <c r="AJ140" i="17"/>
  <c r="AB140" i="17"/>
  <c r="AC182" i="17"/>
  <c r="AK23" i="46"/>
  <c r="AK41" i="46"/>
  <c r="I178" i="17"/>
  <c r="H178" i="17"/>
  <c r="O178" i="17"/>
  <c r="D178" i="17"/>
  <c r="G178" i="17"/>
  <c r="F178" i="17"/>
  <c r="J178" i="17"/>
  <c r="L178" i="17"/>
  <c r="Q178" i="17"/>
  <c r="AK25" i="46"/>
  <c r="AE14" i="46"/>
  <c r="Y186" i="17"/>
  <c r="AA186" i="17"/>
  <c r="Z186" i="17"/>
  <c r="AH186" i="17"/>
  <c r="W186" i="17"/>
  <c r="AB186" i="17"/>
  <c r="AE186" i="17"/>
  <c r="AJ186" i="17"/>
  <c r="Y185" i="17"/>
  <c r="AA185" i="17"/>
  <c r="Z185" i="17"/>
  <c r="AH185" i="17"/>
  <c r="W185" i="17"/>
  <c r="AB185" i="17"/>
  <c r="AJ185" i="17"/>
  <c r="AE185" i="17"/>
  <c r="G155" i="17"/>
  <c r="D155" i="17"/>
  <c r="O155" i="17"/>
  <c r="J155" i="17"/>
  <c r="L155" i="17"/>
  <c r="F155" i="17"/>
  <c r="I155" i="17"/>
  <c r="H155" i="17"/>
  <c r="Q155" i="17"/>
  <c r="AK8" i="46"/>
  <c r="AE28" i="46" l="1"/>
  <c r="AE41" i="46"/>
  <c r="AE35" i="46"/>
  <c r="AE34" i="46"/>
  <c r="V24" i="33"/>
  <c r="AD35" i="46"/>
  <c r="AF35" i="46" s="1"/>
  <c r="AK40" i="46"/>
  <c r="AK37" i="46"/>
  <c r="AK36" i="46"/>
  <c r="AK43" i="46"/>
  <c r="AK45" i="46"/>
  <c r="AK28" i="46"/>
  <c r="AK47" i="46"/>
  <c r="AD32" i="46"/>
  <c r="AF32" i="46" s="1"/>
  <c r="AK44" i="46"/>
  <c r="AD37" i="46"/>
  <c r="AF37" i="46" s="1"/>
  <c r="AK30" i="46"/>
  <c r="AK35" i="46"/>
  <c r="AD40" i="46"/>
  <c r="AF40" i="46" s="1"/>
  <c r="AK38" i="46"/>
  <c r="AC194" i="17"/>
  <c r="AK42" i="46"/>
  <c r="AK46" i="46"/>
  <c r="AK33" i="46"/>
  <c r="AK34" i="46"/>
  <c r="AK32" i="46"/>
  <c r="V53" i="33"/>
  <c r="AK39" i="46"/>
  <c r="AK29" i="46"/>
  <c r="AC183" i="17"/>
  <c r="AC178" i="17"/>
  <c r="AC195" i="17"/>
  <c r="AC185" i="17"/>
  <c r="AC189" i="17"/>
  <c r="AC192" i="17"/>
  <c r="AC186" i="17"/>
  <c r="AC179"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Z4" authorId="1">
      <text>
        <t xml:space="preserve">Points were added without Add Trip
</t>
      </text>
    </comment>
    <comment ref="Z10" authorId="1">
      <text>
        <t xml:space="preserve">Points were added without Add Trip
</t>
      </text>
    </comment>
    <comment ref="G11" authorId="1">
      <text>
        <t xml:space="preserve">Points were added without Add Trip
</t>
      </text>
    </comment>
    <comment ref="Z12" authorId="1">
      <text>
        <t xml:space="preserve">Points were added without Add Trip
</t>
      </text>
    </comment>
    <comment ref="Z16" authorId="1">
      <text>
        <t xml:space="preserve">Points were added without Add Trip
</t>
      </text>
    </comment>
    <comment ref="Z17" authorId="1">
      <text>
        <t xml:space="preserve">Points were added without Add Trip
</t>
      </text>
    </comment>
    <comment ref="G18" authorId="1">
      <text>
        <t xml:space="preserve">Points were added without Add Trip
</t>
      </text>
    </comment>
    <comment ref="G19" authorId="1">
      <text>
        <t xml:space="preserve">Points were added without Add Trip
</t>
      </text>
    </comment>
    <comment ref="Z22" authorId="1">
      <text>
        <t xml:space="preserve">Points were added without Add Trip
</t>
      </text>
    </comment>
    <comment ref="G24" authorId="1">
      <text>
        <t xml:space="preserve">Points were added without Add Trip
</t>
      </text>
    </comment>
    <comment ref="Z23" authorId="1">
      <text>
        <t xml:space="preserve">Points were added without Add Trip
</t>
      </text>
    </comment>
    <comment ref="G46" authorId="1">
      <text>
        <t xml:space="preserve">Points were added without Add Trip
</t>
      </text>
    </comment>
    <comment ref="Z46" authorId="1">
      <text>
        <t xml:space="preserve">Points were added without Add Trip
</t>
      </text>
    </comment>
    <comment ref="G49" authorId="1">
      <text>
        <t xml:space="preserve">Points were added without Add Trip
</t>
      </text>
    </comment>
    <comment ref="Z51" authorId="1">
      <text>
        <t xml:space="preserve">Points were added without Add Trip
</t>
      </text>
    </comment>
    <comment ref="G53" authorId="1">
      <text>
        <t xml:space="preserve">Points were added without Add Trip
</t>
      </text>
    </comment>
    <comment ref="Z54" authorId="1">
      <text>
        <t xml:space="preserve">Points were added without Add Trip
</t>
      </text>
    </comment>
    <comment ref="Z59" authorId="1">
      <text>
        <t xml:space="preserve">Points were added without Add Trip
</t>
      </text>
    </comment>
    <comment ref="Z63" authorId="1">
      <text>
        <t xml:space="preserve">Points were added without Add Trip
</t>
      </text>
    </comment>
    <comment ref="Z66" authorId="1">
      <text>
        <t xml:space="preserve">Points were added without Add Trip
</t>
      </text>
    </comment>
  </commentList>
</comments>
</file>

<file path=xl/comments3.xml><?xml version="1.0" encoding="utf-8"?>
<comments xmlns="http://schemas.openxmlformats.org/spreadsheetml/2006/main">
  <authors>
    <author>Katie</author>
    <author>CRG</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 ref="S5" authorId="1">
      <text>
        <t>Sustituto para #</t>
      </text>
    </comment>
    <comment ref="AG5" authorId="1">
      <text>
        <t>Sustituto para #182</t>
      </text>
    </comment>
    <comment ref="G23" authorId="1">
      <text>
        <t>Missed Skater number</t>
      </text>
    </comment>
    <comment ref="K23" authorId="1">
      <text>
        <t>Sustituto para #17</t>
      </text>
    </comment>
    <comment ref="K24" authorId="1">
      <text>
        <t>Sustituto para #17</t>
      </text>
    </comment>
    <comment ref="AK56" authorId="1">
      <text>
        <t>Missed Skater number</t>
      </text>
    </comment>
    <comment ref="AS56" authorId="1">
      <text>
        <t>Missed Skater number</t>
      </text>
    </comment>
    <comment ref="AK57" authorId="1">
      <text>
        <t>Missed Skater number</t>
      </text>
    </comment>
    <comment ref="AO57" authorId="1">
      <text>
        <t>Missed Skater number</t>
      </text>
    </comment>
    <comment ref="G64" authorId="1">
      <text>
        <t>Sustituto para #3</t>
      </text>
    </comment>
    <comment ref="AK65" authorId="1">
      <text>
        <t>Sustituto para #21</t>
      </text>
    </comment>
    <comment ref="G67" authorId="1">
      <text>
        <t>Sustituto para #87</t>
      </text>
    </comment>
    <comment ref="K67" authorId="1">
      <text>
        <t>Missed Skater number</t>
      </text>
    </comment>
    <comment ref="O67" authorId="1">
      <text>
        <t>Missed Skater number</t>
      </text>
    </comment>
    <comment ref="AS67" authorId="1">
      <text>
        <t>Missed Skater number</t>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<sst xmlns="http://schemas.openxmlformats.org/spreadsheetml/2006/main" count="2880" uniqueCount="697">
  <si>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</si>
  <si>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</si>
  <si>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</si>
  <si>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</si>
  <si>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</si>
  <si>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</si>
  <si>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</si>
  <si>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</si>
  <si>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</si>
  <si>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</si>
  <si>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</si>
  <si>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</si>
  <si>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</si>
  <si>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</si>
  <si>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</si>
  <si>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</si>
  <si>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</si>
  <si>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</si>
  <si>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</si>
  <si>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</si>
  <si>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</si>
  <si>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</si>
  <si>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</si>
  <si>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</si>
  <si>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</si>
  <si>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</si>
  <si>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</si>
  <si>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</si>
  <si>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</si>
  <si>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</si>
  <si>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</si>
  <si>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</si>
  <si>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</si>
  <si>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</si>
  <si>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</si>
  <si>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</si>
  <si>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</si>
  <si>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</si>
  <si>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</si>
  <si>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</si>
  <si>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</si>
  <si>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</si>
  <si>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</si>
  <si>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</si>
  <si>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</si>
  <si>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</si>
  <si>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</si>
  <si>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</si>
  <si>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</si>
  <si>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</si>
  <si>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</si>
  <si>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</si>
  <si>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</si>
  <si>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</si>
  <si>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</si>
  <si>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</si>
  <si>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</si>
  <si>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</si>
  <si>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</si>
  <si>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</si>
  <si>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</si>
  <si>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</si>
  <si>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</si>
  <si>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</si>
  <si>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</si>
  <si>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</si>
  <si>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</si>
  <si>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</si>
  <si>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</si>
  <si>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</si>
  <si>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</si>
  <si>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</si>
  <si>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</si>
  <si>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</si>
  <si>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</si>
  <si>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</si>
  <si>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</si>
  <si>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</si>
  <si>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</si>
  <si>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</si>
  <si>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</si>
  <si>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</si>
  <si>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</si>
  <si>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</si>
  <si>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</si>
  <si>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</si>
  <si>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</si>
  <si>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</si>
  <si>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</si>
  <si>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</si>
  <si>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</si>
  <si>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</si>
  <si>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</si>
  <si>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</si>
  <si>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</si>
  <si>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</si>
  <si>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</si>
  <si>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</si>
  <si>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</si>
  <si>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</si>
  <si>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</si>
  <si>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</si>
  <si>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</si>
  <si>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</si>
  <si>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</si>
  <si>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</si>
  <si>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</si>
  <si>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</si>
  <si>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</si>
  <si>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</si>
  <si>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</si>
  <si>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</si>
  <si>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</si>
  <si>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</si>
  <si>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</si>
  <si>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</si>
  <si>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</si>
  <si>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</si>
  <si>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</si>
  <si>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</si>
  <si>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</si>
  <si>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</si>
  <si>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</si>
  <si>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</si>
  <si>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</si>
  <si>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</si>
  <si>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</si>
  <si>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</si>
  <si>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</si>
  <si>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</si>
  <si>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</si>
  <si>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</si>
  <si>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</si>
  <si>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</si>
  <si>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</si>
  <si>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</si>
  <si>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</si>
  <si>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</si>
  <si>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</si>
  <si>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</si>
  <si>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</si>
  <si>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</si>
  <si>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</si>
  <si>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</si>
  <si>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</si>
  <si>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</si>
  <si>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</si>
  <si>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</si>
  <si>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</si>
  <si>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</si>
  <si>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</si>
  <si>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</si>
  <si>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</si>
  <si>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</si>
  <si>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</si>
  <si>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</si>
  <si>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</si>
  <si>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</si>
  <si>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</si>
  <si>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</si>
  <si>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</si>
  <si>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</si>
  <si>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</si>
  <si>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</si>
  <si>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</si>
  <si>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</si>
  <si>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</si>
  <si>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</si>
  <si>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</si>
  <si>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</si>
  <si>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</si>
  <si>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</si>
  <si>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</si>
  <si>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</si>
  <si>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</si>
  <si>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</si>
  <si>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</si>
  <si>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</si>
  <si>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</si>
  <si>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</si>
  <si>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</si>
  <si>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</si>
  <si>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</si>
  <si>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</si>
  <si>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</si>
  <si>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</si>
  <si>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</si>
  <si>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</si>
  <si>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</si>
  <si>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</si>
  <si>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</si>
  <si>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</si>
  <si>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</si>
  <si>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</si>
  <si>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</si>
  <si>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</si>
  <si>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</si>
  <si>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</si>
  <si>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</si>
  <si>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</si>
  <si>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</si>
  <si>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</si>
  <si>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</si>
  <si>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</si>
  <si>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</si>
  <si>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</si>
  <si>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</si>
  <si>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</si>
  <si>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</si>
  <si>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</si>
  <si>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</si>
  <si>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</si>
  <si>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</si>
  <si>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</si>
  <si>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</si>
  <si>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</si>
  <si>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</si>
  <si>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</si>
  <si>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</si>
  <si>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</si>
  <si>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</si>
  <si>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</si>
  <si>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</si>
  <si>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</si>
  <si>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</si>
  <si>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</si>
  <si>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</si>
  <si>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</si>
  <si>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</si>
  <si>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</si>
  <si>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</si>
  <si>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</si>
  <si>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</si>
  <si>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</si>
  <si>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</si>
  <si>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</si>
  <si>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</si>
  <si>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</si>
  <si>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</si>
  <si>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</si>
  <si>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</si>
  <si>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</si>
  <si>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</si>
  <si>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</si>
  <si>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</si>
  <si>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</si>
  <si>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</si>
  <si>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</si>
  <si>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</si>
  <si>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</si>
  <si>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</si>
  <si>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</si>
  <si>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</si>
  <si>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</si>
  <si>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</si>
  <si>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</si>
  <si>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</si>
  <si>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</si>
  <si>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</si>
  <si>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</si>
  <si>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</si>
  <si>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</si>
  <si>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</si>
  <si>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</si>
  <si>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</si>
  <si>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</si>
  <si>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</si>
  <si>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</si>
  <si>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</si>
  <si>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</si>
  <si>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</si>
  <si>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</si>
  <si>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</si>
  <si>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</si>
  <si>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</si>
  <si>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</si>
  <si>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</si>
  <si>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</si>
  <si>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</si>
  <si>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</si>
  <si>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</si>
  <si>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</si>
  <si>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</si>
  <si>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</si>
  <si>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</si>
  <si>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</si>
  <si>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</si>
  <si>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</si>
  <si>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</si>
  <si>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</si>
  <si>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</si>
  <si>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</si>
  <si>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</si>
  <si>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</si>
  <si>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</si>
  <si>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</si>
  <si>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</si>
  <si>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</si>
  <si>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</si>
  <si>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</si>
  <si>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</si>
  <si>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</si>
  <si>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</si>
  <si>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</si>
  <si>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</si>
  <si>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</si>
  <si>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</si>
  <si>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</si>
  <si>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</si>
  <si>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</si>
  <si>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</si>
  <si>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</si>
  <si>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</si>
  <si>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</si>
  <si>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</si>
  <si>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</si>
  <si>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</si>
  <si>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</si>
  <si>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</si>
  <si>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</si>
  <si>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</si>
  <si>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</si>
  <si>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</si>
  <si>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</si>
  <si>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</si>
  <si>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</si>
  <si>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</si>
  <si>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</si>
  <si>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</si>
  <si>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</si>
  <si>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</si>
  <si>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</si>
  <si>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</si>
  <si>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</si>
  <si>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</si>
  <si>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</si>
  <si>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</si>
  <si>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</si>
  <si>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</si>
  <si>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</si>
  <si>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</si>
  <si>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</si>
  <si>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</si>
  <si>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</si>
  <si>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</si>
  <si>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</si>
  <si>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</si>
  <si>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</si>
  <si>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</si>
  <si>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</si>
  <si>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</si>
  <si>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</si>
  <si>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</si>
  <si>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</si>
  <si>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</si>
  <si>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</si>
  <si>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</si>
  <si>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</si>
  <si>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</si>
  <si>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</si>
  <si>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</si>
  <si>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</si>
  <si>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</si>
  <si>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</si>
  <si>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</si>
  <si>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</si>
  <si>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</si>
  <si>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</si>
  <si>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</si>
  <si>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</si>
  <si>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</si>
  <si>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</si>
  <si>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</si>
  <si>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</si>
  <si>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</si>
  <si>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</si>
  <si>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</si>
  <si>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</si>
  <si>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</si>
  <si>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</si>
  <si>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</si>
  <si>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</si>
  <si>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</si>
  <si>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</si>
  <si>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</si>
  <si>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</si>
  <si>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</si>
  <si>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</si>
  <si>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</si>
  <si>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</si>
  <si>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</si>
  <si>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</si>
  <si>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</si>
  <si>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</si>
  <si>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</si>
  <si>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</si>
  <si>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</si>
  <si>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</si>
  <si>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</si>
  <si>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</si>
  <si>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</si>
  <si>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</si>
  <si>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</si>
  <si>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</si>
  <si>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</si>
  <si>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</si>
  <si>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</si>
  <si>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</si>
  <si>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</si>
  <si>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</si>
  <si>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</si>
  <si>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</si>
  <si>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</si>
  <si>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</si>
  <si>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</si>
  <si>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</si>
  <si>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</si>
  <si>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</si>
  <si>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</si>
  <si>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</si>
  <si>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</si>
  <si>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</si>
  <si>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</si>
  <si>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</si>
  <si>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</si>
  <si>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</si>
  <si>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</si>
  <si>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</si>
  <si>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</si>
  <si>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</si>
  <si>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</si>
  <si>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</si>
  <si>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</si>
  <si>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</si>
  <si>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</si>
  <si>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</si>
  <si>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</si>
  <si>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</si>
  <si>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</si>
  <si>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</si>
  <si>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</si>
  <si>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</si>
  <si>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</si>
  <si>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</si>
  <si>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</si>
  <si>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</si>
  <si>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</si>
  <si>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</si>
  <si>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</si>
  <si>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</si>
  <si>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</si>
  <si>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</si>
  <si>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</si>
  <si>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</si>
  <si>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</si>
  <si>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</si>
  <si>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</si>
  <si>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</si>
  <si>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</si>
  <si>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</si>
  <si>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</si>
  <si>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</si>
  <si>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</si>
  <si>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</si>
  <si>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</si>
  <si>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</si>
  <si>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Penalty Summary: Fix Illegal Procedure Label for Visiting team.</t>
  </si>
  <si>
    <t>PT: Fix Home team expulsion penalties to include Illegal Contact.</t>
  </si>
  <si>
    <t>IGRF: Remove italics for optional officiating roles. Officiating roster may be customized to suit the needs of the game/tournament as long as all required roles are filled and required stats are submitted.</t>
  </si>
  <si>
    <t>Chris Scheper "Dread Hochuli"</t>
  </si>
  <si>
    <t>Chunk Rock Girl</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</si>
  <si>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</si>
  <si>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</si>
  <si>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</si>
  <si>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</si>
  <si>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</si>
  <si>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</si>
  <si>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</si>
  <si>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</si>
  <si>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</si>
  <si>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</si>
  <si>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</si>
  <si>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</si>
  <si>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</si>
  <si>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</si>
  <si>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</si>
  <si>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</si>
  <si>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</si>
  <si>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</si>
  <si>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</si>
  <si>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</si>
  <si>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</si>
  <si>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</si>
  <si>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</si>
  <si>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</si>
  <si>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</si>
  <si>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</si>
  <si>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</si>
  <si>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</si>
  <si>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</si>
  <si>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</si>
  <si>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</si>
  <si>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</si>
  <si>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</si>
  <si>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</si>
  <si>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</si>
  <si>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</si>
  <si>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</si>
  <si>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</si>
  <si>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</si>
  <si>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</si>
  <si>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</si>
  <si>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</si>
  <si>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</si>
  <si>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</si>
  <si>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</si>
  <si>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</si>
  <si>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</si>
  <si>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</si>
  <si>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</si>
  <si>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</si>
  <si>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</si>
  <si>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Lineups: Edited box notation instructions to match updated procedure.</t>
  </si>
  <si>
    <t>December 12, 2018 - Major Changes since January 24, 2018</t>
  </si>
  <si>
    <t>WFTDA StatsBook - December 12, 2018</t>
  </si>
  <si>
    <t>Star Pass Violation</t>
  </si>
  <si>
    <t>/ Interference</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</si>
  <si>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</si>
  <si>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</si>
  <si>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</si>
  <si>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</si>
  <si>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</si>
  <si>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</si>
  <si>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</si>
  <si>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If yes, submit scan of OR Paperwork with IGRF Scan</t>
  </si>
  <si>
    <t>Expulsion Paperwork</t>
  </si>
  <si>
    <t>If yes, submit scan of Expulsion Paperwork with IGRF</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</si>
  <si>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</si>
  <si>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</si>
  <si>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</si>
  <si>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</si>
  <si>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</si>
  <si>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</si>
  <si>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</si>
  <si>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Penalty Lineup Tracker</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</si>
  <si>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https://resources.wftda.org/competition/wftda-competition-and-rankings/</t>
    </r>
  </si>
  <si>
    <t>https://resources.wftda.org/competition/wftda-competition-and-rankings/</t>
  </si>
  <si>
    <t>https://resources.wftda.org/competition/statsbook/</t>
  </si>
  <si>
    <t>Example: "STATS-2018-02-16_ToasterCityRollerDerby_Allstars_vs_WaterCity_AllStars.xlsx"</t>
  </si>
  <si>
    <t>Example: "IGRF-2018-02-16_ToasterCityRollerDerby_Allstars_vs_WaterCity_AllStars.pdf"</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</si>
  <si>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</si>
  <si>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</si>
  <si>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</si>
  <si>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</si>
  <si>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https://wftda.com/about-wftda/board-of-directors/</t>
  </si>
  <si>
    <t>https://wftda.com/about-wftda/staff/</t>
  </si>
  <si>
    <t>https://wftda.com/about-wftda/wftda-officers/</t>
  </si>
  <si>
    <t>Historical StatsBook Contributers</t>
  </si>
  <si>
    <t>Nine Inch Wheels</t>
  </si>
  <si>
    <t>Amy Feral Fouler</t>
  </si>
  <si>
    <t>5900 Balcones Drive STE 4125</t>
  </si>
  <si>
    <t>Austin, TX  78731</t>
  </si>
  <si>
    <t>This document is the result of the contributions of many volunteers over many years. Some of their names have been lost to time, but include:</t>
  </si>
  <si>
    <t>This list does not include everyone that has contributed over the years.</t>
  </si>
  <si>
    <t>April 2024 Release</t>
  </si>
  <si>
    <t>Published by the Women's Flat Track Derby Association (WFTDA)
5900 Balcones Drive STE 4125, Austin, TX 78731, USA</t>
  </si>
  <si>
    <t>IGRF: Removed one "Expulsion" box to add YES|NO boxes for if there were Official Reviews or Expulsions in the game.</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</si>
  <si>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</si>
  <si>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</si>
  <si>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</si>
  <si>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</si>
  <si>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</si>
  <si>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</si>
  <si>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Expulsion-Suspension Form: Changed "Contact Info" to "E-Mail Address" for all people filling out the form.</t>
  </si>
  <si>
    <t>IGRF: Updated NSO list to more commonly used set of NSOs.  This can still be changed as needed</t>
  </si>
  <si>
    <t>For use with January 1, 2023 The Rules of Flat Track Roller Derby</t>
  </si>
  <si>
    <t>Please upload your completed StatsBooks to https://forms.gle/CMTPQYs6XhFHPkBE6 within two(2) weeks of the game or event.  See Statsbook Manual for further instructions</t>
  </si>
  <si>
    <t>February 1, 2025 - Major Changes since April 11, 2024</t>
  </si>
  <si>
    <t>Updated guidance on submitting statsbooks for sanctioned games</t>
  </si>
  <si>
    <t>April 11, 2024 - Major Changes since December 12, 2018</t>
  </si>
  <si>
    <t>IGRF Rev. 20250201 © 2025 Women's Flat Track Derby Association (WFTDA)</t>
  </si>
  <si>
    <t>Official Reviews</t>
  </si>
  <si>
    <t>Liceo Ortega y Gasset</t>
  </si>
  <si>
    <t>Quito</t>
  </si>
  <si>
    <t>Pichincha</t>
  </si>
  <si>
    <t>7</t>
  </si>
  <si>
    <t>Derby de Altura</t>
  </si>
  <si>
    <t>Quindes Volcánicos</t>
  </si>
  <si>
    <t>NO</t>
  </si>
  <si>
    <t>Sailor Galaxia</t>
  </si>
  <si>
    <t>Inestable</t>
  </si>
  <si>
    <t>Chino</t>
  </si>
  <si>
    <t>Benson</t>
  </si>
  <si>
    <t>Reptar</t>
  </si>
  <si>
    <t>El Percebe Feo</t>
  </si>
  <si>
    <t>Pandora</t>
  </si>
  <si>
    <t>Voorhees</t>
  </si>
  <si>
    <t>Veneno</t>
  </si>
  <si>
    <t>Furia Legal</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</si>
  <si>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VLOOKUP(A80,{""Head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COUNTIF($A$80:A80,A80))
, """")"),"K-Boom")</t>
  </si>
  <si>
    <t>IFERROR(__xludf.DUMMYFUNCTION("IFERROR(INDEX(IMPORTRANGE(Colophon!L24, ""Partidos!D5:D17""), MATCH(1, (IMPORTRANGE(Colophon!L24, ""Partidos!F5:F17"")=VLOOKUP(A80,{""Head Referee"", ""HSO"";""Inside Pack Referee"", ""IPR"";""Jammer Referee"", ""JR"";""Outside Pack Referee"", ""OPR"";""R"&amp;"eferee Alternate"", ""RA""},2,FALSE))*(ROW(IMPORTRANGE(Colophon!L24, ""Partidos!F5:F17""))&gt;=5), 0)),"""")"),"")</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</si>
  <si>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VLOOKUP(A81,{""Head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COUNTIF($A$80:A81,A81))
, """")"),"Roller Sheriff")</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</si>
  <si>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VLOOKUP(A82,{""Head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COUNTIF($A$80:A82,A82))
, """")"),"Lobo De Sexo Dudoso")</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</si>
  <si>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VLOOKUP(A83,{""Head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COUNTIF($A$80:A83,A83))
, """")"),"Prismo")</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</si>
  <si>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VLOOKUP(A86,{""Head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COUNTIF($A$80:A86,A86))
, """")"),"Alec")</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</si>
  <si>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VLOOKUP(A84,{""Head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COUNTIF($A$80:A84,A84))
, """")"),"Forero")</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</si>
  <si>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VLOOKUP(A85,{""Head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COUNTIF($A$80:A85,A85))
, """")"),"Naclara")</t>
  </si>
  <si>
    <t>IFERROR(__xludf.DUMMYFUNCTION("IFERROR(INDEX(
 FILTER(
   IMPORTRANGE(Colophon!$L$24, SWITCH($L$3,
     1, ""Partidos!$D$5:$D$18"",
     2, ""Partidos!$M$5:$M$18"", 
     3, ""Partidos!$V$5:$V$18"",
     4, ""Partidos!$AE$5:$AE$18"",
     5, ""Partidos!$AN$5:$AN$18"",
     6, ""Partido"&amp;"s!$D$24:$D$37"",
     7, ""Partidos!$M$24:$M$37"",
     8, ""Partidos!$V$24:$V$37"",
     9, ""Partidos!$AE$24:$AE$37"",
     10, ""Partidos!$AN$24:$AN$37"",
     11, ""Partidos!$D$42:$D$55"",
     12, ""Partidos!$M$42:$M$55"",
     13, ""Partidos!$V$42:$"&amp;"V$55"",
     14, ""Partidos!$AE$42:$AE$55"",
     15, ""Partidos!$AN$42:$AN$55"")),
   (IMPORTRANGE(Colophon!$L$24, SWITCH($L$3,
     1, ""Partidos!$F$5:$F$18"",
     2, ""Partidos!$O$5:$O$18"",
     3, ""Partidos!$X$5:$X$18"", 
     4, ""Partidos!$AG$5:$"&amp;"AG$18"",
     5, ""Partidos!$AP$5:$AP$18"",
     6, ""Partidos!$F$24:$F$37"",
     7, ""Partidos!$O$24:$O$37"",
     8, ""Partidos!$X$24:$X$37"",
     9, ""Partidos!$AG$24:$AG$37"",
     10, ""Partidos!$AP$24:$AP$37"",
     11, ""Partidos!$F$42:$F$55"",
 "&amp;"    12, ""Partidos!$O$42:$O$55"",
     13, ""Partidos!$X$42:$X$55"",
     14, ""Partidos!$AG$42:$AG$55"",
     15, ""Partidos!$AP$42:$AP$55"")) = VLOOKUP(A87,{""Head Referee"", ""HSO"";""Inside Pack Referee"", ""IPR"";""Jammer Referee"", ""JR"";""Outside "&amp;"Pack Referee"", ""OPR"";""Referee Alternate"", ""RA""},2,FALSE)) *
   (IMPORTRANGE(Colophon!$L$24, SWITCH($L$3,
     1, ""Partidos!$K$2"",
     2, ""Partidos!$T$2"",
     3, ""Partidos!$AC$2"",
     4, ""Partidos!$AL$2"", 
     5, ""Partidos!$AU$2"",
    "&amp;" 6, ""Partidos!$K$21"",
     7, ""Partidos!$T$21"",
     8, ""Partidos!$AC$21"",
     9, ""Partidos!$AL$21"",
     10, ""Partidos!$AU$21"",
     11, ""Partidos!$K$40"",
     12, ""Partidos!$T$40"",
     13, ""Partidos!$AC$40"",
     14, ""Partidos!$AL$40"&amp;""",
     15, ""Partidos!$AU$40"")) = $L$3)
 ),
 COUNTIF($A$80:A87,A87))
, """")"),"")</t>
  </si>
  <si>
    <t>Radical</t>
  </si>
  <si>
    <t>Dorado</t>
  </si>
  <si>
    <t>Violet Attack</t>
  </si>
  <si>
    <t>Morado</t>
  </si>
  <si>
    <t>Inestable / Chino</t>
  </si>
  <si>
    <t>130</t>
  </si>
  <si>
    <t>Carnage Asada</t>
  </si>
  <si>
    <t>182</t>
  </si>
  <si>
    <t>Dulce Malicia</t>
  </si>
  <si>
    <t>1910</t>
  </si>
  <si>
    <t>Mexican Revolution</t>
  </si>
  <si>
    <t>?</t>
  </si>
  <si>
    <t>21</t>
  </si>
  <si>
    <t>Pixie</t>
  </si>
  <si>
    <t>28</t>
  </si>
  <si>
    <t>Chernobil</t>
  </si>
  <si>
    <t>33</t>
  </si>
  <si>
    <t>Apolo</t>
  </si>
  <si>
    <t>Paublitz</t>
  </si>
  <si>
    <t>747</t>
  </si>
  <si>
    <t>Zombie</t>
  </si>
  <si>
    <t>80</t>
  </si>
  <si>
    <t>Zelda</t>
  </si>
  <si>
    <t>94</t>
  </si>
  <si>
    <t>Artemisa</t>
  </si>
  <si>
    <t>98</t>
  </si>
  <si>
    <t>Naty</t>
  </si>
  <si>
    <t>16</t>
  </si>
  <si>
    <t>Lady Luna</t>
  </si>
  <si>
    <t>17</t>
  </si>
  <si>
    <t>Arca</t>
  </si>
  <si>
    <t>240</t>
  </si>
  <si>
    <t>Rebelión</t>
  </si>
  <si>
    <t>26</t>
  </si>
  <si>
    <t>Apestosa</t>
  </si>
  <si>
    <t>3</t>
  </si>
  <si>
    <t>Supernova</t>
  </si>
  <si>
    <t>487</t>
  </si>
  <si>
    <t>La ticher</t>
  </si>
  <si>
    <t>720</t>
  </si>
  <si>
    <t>Negra y roja</t>
  </si>
  <si>
    <t>87</t>
  </si>
  <si>
    <t>Hunny</t>
  </si>
  <si>
    <t>913</t>
  </si>
  <si>
    <t>Patada de mula</t>
  </si>
  <si>
    <t>28:22.200</t>
  </si>
  <si>
    <t>0:13.600</t>
  </si>
  <si>
    <t>4:07.200</t>
  </si>
  <si>
    <t>YES</t>
  </si>
  <si>
    <t>23:38</t>
  </si>
  <si>
    <t>16:21.600</t>
  </si>
  <si>
    <t>1:50.800</t>
  </si>
  <si>
    <t>4:20.800</t>
  </si>
  <si>
    <t>-</t>
  </si>
  <si>
    <t>OR; OFF; OR; TO; OFF</t>
  </si>
  <si>
    <t>Dorado; Morado; Morado; 28:53.800</t>
  </si>
  <si>
    <t>$</t>
  </si>
  <si>
    <t>SP*</t>
  </si>
  <si>
    <t>SP</t>
  </si>
  <si>
    <t>+</t>
  </si>
  <si>
    <t>TO</t>
  </si>
  <si>
    <t>Dorado; 23:43.200</t>
  </si>
  <si>
    <t>Morado; 16:45.600</t>
  </si>
  <si>
    <t>S</t>
  </si>
  <si>
    <t>OFF</t>
  </si>
  <si>
    <t>12:15.400</t>
  </si>
  <si>
    <t>Dorado; 2:07.400</t>
  </si>
  <si>
    <t>19:50.400</t>
  </si>
  <si>
    <t>14:21.200</t>
  </si>
  <si>
    <t>2:04.800</t>
  </si>
  <si>
    <t>12:18.600</t>
  </si>
  <si>
    <t>4:12.400</t>
  </si>
  <si>
    <t>9:08.600</t>
  </si>
  <si>
    <t>6:17.200</t>
  </si>
  <si>
    <t>26:27.200</t>
  </si>
  <si>
    <t>24:28.600</t>
  </si>
  <si>
    <t>22:26</t>
  </si>
  <si>
    <t>Dorado; 20:05.800</t>
  </si>
  <si>
    <t>19:30.600</t>
  </si>
  <si>
    <t>15:19</t>
  </si>
  <si>
    <t>OR</t>
  </si>
  <si>
    <t>Dorado; 14:41</t>
  </si>
  <si>
    <t>Morado; 12:29.600</t>
  </si>
  <si>
    <t>OFF; TO</t>
  </si>
  <si>
    <t>Morado; 9:31.600</t>
  </si>
  <si>
    <t>8:46.400</t>
  </si>
  <si>
    <t>7:57.400</t>
  </si>
  <si>
    <t>6:31.400</t>
  </si>
  <si>
    <t>5:32.400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</si>
</sst>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57">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medium">
        <color auto="1"/>
      </right>
      <top style="thin">
        <color auto="1"/>
      </top>
      <bottom/>
      <diagonal/>
    </border>
    <border>
      <left style="thin">
        <color auto="1"/>
      </left>
      <right style="thin">
        <color auto="1"/>
      </right>
      <top/>
      <bottom style="medium">
        <color indexed="64"/>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indexed="64"/>
      </right>
      <top/>
      <bottom style="medium">
        <color indexed="64"/>
      </bottom>
      <diagonal/>
    </border>
    <border>
      <left style="medium">
        <color auto="1"/>
      </left>
      <right/>
      <top/>
      <bottom style="medium">
        <color auto="1"/>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medium">
        <color indexed="64"/>
      </bottom>
      <diagonal/>
    </border>
    <border>
      <left style="medium">
        <color auto="1"/>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thin">
        <color indexed="8"/>
      </top>
      <bottom/>
      <diagonal/>
    </border>
    <border>
      <left/>
      <right style="medium">
        <color indexed="64"/>
      </right>
      <top style="thin">
        <color indexed="8"/>
      </top>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top style="thin">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auto="1"/>
      </right>
      <top/>
      <bottom style="medium">
        <color indexed="8"/>
      </bottom>
      <diagonal/>
    </border>
    <border>
      <left style="medium">
        <color indexed="64"/>
      </left>
      <right style="medium">
        <color indexed="64"/>
      </right>
      <top/>
      <bottom/>
      <diagonal/>
    </border>
    <border>
      <left style="medium">
        <color indexed="64"/>
      </left>
      <right style="medium">
        <color indexed="64"/>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thin">
        <color auto="1"/>
      </left>
      <right style="medium">
        <color auto="1"/>
      </right>
      <top style="medium">
        <color auto="1"/>
      </top>
      <bottom style="medium">
        <color auto="1"/>
      </bottom>
      <diagonal/>
    </border>
    <border>
      <left style="medium">
        <color indexed="64"/>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auto="1"/>
      </left>
      <right style="medium">
        <color indexed="64"/>
      </right>
      <top/>
      <bottom style="thick">
        <color auto="1"/>
      </bottom>
      <diagonal/>
    </border>
    <border>
      <left style="medium">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auto="1"/>
      </left>
      <right style="thin">
        <color auto="1"/>
      </right>
      <top style="thin">
        <color auto="1"/>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auto="1"/>
      </right>
      <top style="thin">
        <color indexed="64"/>
      </top>
      <bottom style="thick">
        <color indexed="64"/>
      </bottom>
      <diagonal/>
    </border>
    <border>
      <left style="thin">
        <color auto="1"/>
      </left>
      <right style="medium">
        <color auto="1"/>
      </right>
      <top style="thin">
        <color auto="1"/>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auto="1"/>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auto="1"/>
      </left>
      <right/>
      <top style="thin">
        <color auto="1"/>
      </top>
      <bottom style="medium">
        <color auto="1"/>
      </bottom>
      <diagonal/>
    </border>
    <border>
      <left style="thick">
        <color indexed="64"/>
      </left>
      <right style="thin">
        <color indexed="64"/>
      </right>
      <top style="thin">
        <color indexed="64"/>
      </top>
      <bottom style="medium">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auto="1"/>
      </top>
      <bottom/>
      <diagonal/>
    </border>
    <border>
      <left/>
      <right style="thin">
        <color auto="1"/>
      </right>
      <top/>
      <bottom style="medium">
        <color auto="1"/>
      </bottom>
      <diagonal/>
    </border>
  </borders>
  <cellStyleXfs count="690">
    <xf numFmtId="0" fontId="0" fillId="0" borderId="0"/>
    <xf numFmtId="0" fontId="8" fillId="0" borderId="0"/>
    <xf numFmtId="0" fontId="8" fillId="0" borderId="0"/>
    <xf numFmtId="0" fontId="8" fillId="0" borderId="0"/>
    <xf numFmtId="0" fontId="10"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8" fillId="0" borderId="0">
      <alignment horizontal="left" vertical="center" indent="1"/>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2" fillId="0" borderId="0"/>
    <xf numFmtId="0" fontId="1" fillId="0" borderId="0"/>
    <xf numFmtId="0" fontId="6" fillId="0" borderId="0"/>
  </cellStyleXfs>
  <cellXfs count="1527">
    <xf numFmtId="0" fontId="0" fillId="0" borderId="0" xfId="0"/>
    <xf numFmtId="0" fontId="17" fillId="19" borderId="0" xfId="1" applyFont="1" applyFill="1" applyBorder="1" applyAlignment="1">
      <alignment horizontal="center" vertical="center" shrinkToFit="1"/>
    </xf>
    <xf numFmtId="0" fontId="18" fillId="0" borderId="0" xfId="1" applyFont="1" applyAlignment="1">
      <alignment shrinkToFit="1"/>
    </xf>
    <xf numFmtId="0" fontId="18" fillId="0" borderId="0" xfId="1" applyFont="1"/>
    <xf numFmtId="0" fontId="20" fillId="19" borderId="73" xfId="1" applyFont="1" applyFill="1" applyBorder="1" applyAlignment="1">
      <alignment horizontal="center" vertical="center" shrinkToFit="1"/>
    </xf>
    <xf numFmtId="0" fontId="21" fillId="5" borderId="28" xfId="1" applyFont="1" applyFill="1" applyBorder="1" applyAlignment="1">
      <alignment horizontal="center" vertical="center" wrapText="1"/>
    </xf>
    <xf numFmtId="0" fontId="18" fillId="0" borderId="0" xfId="1" applyFont="1" applyAlignment="1">
      <alignment vertical="center"/>
    </xf>
    <xf numFmtId="0" fontId="18" fillId="0" borderId="0" xfId="1" applyFont="1" applyBorder="1"/>
    <xf numFmtId="0" fontId="14" fillId="13" borderId="92" xfId="1" applyFont="1" applyFill="1" applyBorder="1" applyAlignment="1">
      <alignment horizontal="center" vertical="center" wrapText="1"/>
    </xf>
    <xf numFmtId="0" fontId="14" fillId="13" borderId="142" xfId="1" applyFont="1" applyFill="1" applyBorder="1" applyAlignment="1">
      <alignment horizontal="center" wrapText="1"/>
    </xf>
    <xf numFmtId="0" fontId="21" fillId="5" borderId="53" xfId="1" applyFont="1" applyFill="1" applyBorder="1" applyAlignment="1">
      <alignment horizontal="center" vertical="center" wrapText="1"/>
    </xf>
    <xf numFmtId="14" fontId="16" fillId="11" borderId="46" xfId="1" applyNumberFormat="1" applyFont="1" applyFill="1" applyBorder="1" applyAlignment="1">
      <alignment horizontal="center" vertical="center" shrinkToFit="1"/>
    </xf>
    <xf numFmtId="0" fontId="18" fillId="0" borderId="0" xfId="0" applyFont="1"/>
    <xf numFmtId="0" fontId="18" fillId="6" borderId="58" xfId="7" applyFont="1" applyFill="1" applyBorder="1" applyAlignment="1">
      <alignment horizontal="center" vertical="center"/>
    </xf>
    <xf numFmtId="0" fontId="18" fillId="0" borderId="0" xfId="0" applyFont="1" applyBorder="1" applyAlignment="1">
      <alignment vertical="center"/>
    </xf>
    <xf numFmtId="0" fontId="18" fillId="0" borderId="0" xfId="0" applyFont="1" applyAlignment="1">
      <alignment vertical="center"/>
    </xf>
    <xf numFmtId="0" fontId="18" fillId="0" borderId="0" xfId="0" applyFont="1" applyBorder="1" applyAlignment="1"/>
    <xf numFmtId="0" fontId="18" fillId="0" borderId="0" xfId="0" applyFont="1" applyBorder="1"/>
    <xf numFmtId="0" fontId="18" fillId="0" borderId="0" xfId="0" applyFont="1" applyAlignment="1">
      <alignment horizontal="center" vertical="center"/>
    </xf>
    <xf numFmtId="0" fontId="18" fillId="0" borderId="0" xfId="0" applyFont="1" applyAlignment="1">
      <alignment horizontal="center"/>
    </xf>
    <xf numFmtId="0" fontId="18" fillId="0" borderId="0" xfId="1" applyFont="1" applyAlignment="1">
      <alignment horizontal="center"/>
    </xf>
    <xf numFmtId="0" fontId="18" fillId="4" borderId="104" xfId="1" applyFont="1" applyFill="1" applyBorder="1" applyAlignment="1">
      <alignment horizontal="center" vertical="center"/>
    </xf>
    <xf numFmtId="0" fontId="24" fillId="0" borderId="29" xfId="1" applyFont="1" applyBorder="1" applyAlignment="1">
      <alignment horizontal="center" vertical="center"/>
    </xf>
    <xf numFmtId="0" fontId="24" fillId="0" borderId="4" xfId="1" applyFont="1" applyBorder="1" applyAlignment="1">
      <alignment horizontal="center" vertical="center"/>
    </xf>
    <xf numFmtId="0" fontId="18" fillId="0" borderId="0" xfId="1" applyFont="1" applyAlignment="1">
      <alignment horizontal="center" vertical="center"/>
    </xf>
    <xf numFmtId="0" fontId="24" fillId="0" borderId="162" xfId="1" applyFont="1" applyBorder="1" applyAlignment="1">
      <alignment horizontal="center" vertical="center"/>
    </xf>
    <xf numFmtId="0" fontId="18" fillId="0" borderId="163" xfId="1" applyNumberFormat="1" applyFont="1" applyBorder="1" applyAlignment="1">
      <alignment horizontal="center" vertical="center"/>
    </xf>
    <xf numFmtId="0" fontId="18" fillId="0" borderId="163" xfId="1" applyFont="1" applyBorder="1" applyAlignment="1">
      <alignment horizontal="center" vertical="center"/>
    </xf>
    <xf numFmtId="2" fontId="18" fillId="28" borderId="163" xfId="1" applyNumberFormat="1" applyFont="1" applyFill="1" applyBorder="1" applyAlignment="1">
      <alignment horizontal="center" vertical="center"/>
    </xf>
    <xf numFmtId="2" fontId="18" fillId="28" borderId="164" xfId="1" applyNumberFormat="1" applyFont="1" applyFill="1" applyBorder="1" applyAlignment="1">
      <alignment horizontal="center" vertical="center"/>
    </xf>
    <xf numFmtId="0" fontId="24" fillId="21" borderId="126" xfId="1" applyFont="1" applyFill="1" applyBorder="1" applyAlignment="1">
      <alignment horizontal="center" vertical="center"/>
    </xf>
    <xf numFmtId="0" fontId="18" fillId="21" borderId="76" xfId="1" applyNumberFormat="1" applyFont="1" applyFill="1" applyBorder="1" applyAlignment="1">
      <alignment horizontal="center" vertical="center"/>
    </xf>
    <xf numFmtId="0" fontId="18" fillId="21" borderId="76" xfId="1" applyFont="1" applyFill="1" applyBorder="1" applyAlignment="1">
      <alignment horizontal="center" vertical="center"/>
    </xf>
    <xf numFmtId="2" fontId="18" fillId="27" borderId="76" xfId="1" applyNumberFormat="1" applyFont="1" applyFill="1" applyBorder="1" applyAlignment="1">
      <alignment horizontal="center" vertical="center"/>
    </xf>
    <xf numFmtId="2" fontId="18" fillId="27" borderId="127" xfId="1" applyNumberFormat="1" applyFont="1" applyFill="1" applyBorder="1" applyAlignment="1">
      <alignment horizontal="center" vertical="center"/>
    </xf>
    <xf numFmtId="0" fontId="18" fillId="0" borderId="152" xfId="1" applyFont="1" applyBorder="1" applyAlignment="1"/>
    <xf numFmtId="0" fontId="18" fillId="0" borderId="153" xfId="1" applyFont="1" applyBorder="1" applyAlignment="1"/>
    <xf numFmtId="0" fontId="18" fillId="0" borderId="154" xfId="1" applyFont="1" applyBorder="1" applyAlignment="1"/>
    <xf numFmtId="0" fontId="18" fillId="0" borderId="155" xfId="1" applyFont="1" applyBorder="1" applyAlignment="1"/>
    <xf numFmtId="0" fontId="18" fillId="0" borderId="0" xfId="1" applyFont="1" applyBorder="1" applyAlignment="1"/>
    <xf numFmtId="0" fontId="18" fillId="0" borderId="58" xfId="1" applyFont="1" applyBorder="1" applyAlignment="1"/>
    <xf numFmtId="0" fontId="18" fillId="0" borderId="139" xfId="1" applyFont="1" applyBorder="1" applyAlignment="1"/>
    <xf numFmtId="0" fontId="18" fillId="0" borderId="73" xfId="1" applyFont="1" applyBorder="1"/>
    <xf numFmtId="0" fontId="18" fillId="0" borderId="73" xfId="1" applyFont="1" applyBorder="1" applyAlignment="1"/>
    <xf numFmtId="0" fontId="18" fillId="0" borderId="74" xfId="1" applyFont="1" applyBorder="1"/>
    <xf numFmtId="0" fontId="21" fillId="4" borderId="130" xfId="1" applyFont="1" applyFill="1" applyBorder="1" applyAlignment="1">
      <alignment horizontal="center" vertical="center"/>
    </xf>
    <xf numFmtId="0" fontId="21" fillId="4" borderId="131" xfId="1" applyFont="1" applyFill="1" applyBorder="1" applyAlignment="1">
      <alignment horizontal="center" vertical="center"/>
    </xf>
    <xf numFmtId="0" fontId="21" fillId="4" borderId="132" xfId="1" applyFont="1" applyFill="1" applyBorder="1" applyAlignment="1">
      <alignment horizontal="center" vertical="center"/>
    </xf>
    <xf numFmtId="0" fontId="24" fillId="0" borderId="128" xfId="1" applyFont="1" applyBorder="1" applyAlignment="1">
      <alignment horizontal="center" vertical="center"/>
    </xf>
    <xf numFmtId="0" fontId="18" fillId="0" borderId="20" xfId="1" applyNumberFormat="1" applyFont="1" applyBorder="1" applyAlignment="1">
      <alignment horizontal="center" vertical="center"/>
    </xf>
    <xf numFmtId="0" fontId="18" fillId="0" borderId="20" xfId="1" applyFont="1" applyBorder="1" applyAlignment="1">
      <alignment horizontal="center" vertical="center"/>
    </xf>
    <xf numFmtId="2" fontId="18" fillId="28" borderId="20" xfId="1" applyNumberFormat="1" applyFont="1" applyFill="1" applyBorder="1" applyAlignment="1">
      <alignment horizontal="center" vertical="center"/>
    </xf>
    <xf numFmtId="2" fontId="18" fillId="28" borderId="125" xfId="1" applyNumberFormat="1" applyFont="1" applyFill="1" applyBorder="1" applyAlignment="1">
      <alignment horizontal="center" vertical="center"/>
    </xf>
    <xf numFmtId="0" fontId="21" fillId="4" borderId="159" xfId="1" applyFont="1" applyFill="1" applyBorder="1" applyAlignment="1">
      <alignment horizontal="center" vertical="center"/>
    </xf>
    <xf numFmtId="0" fontId="21" fillId="4" borderId="41" xfId="1" applyFont="1" applyFill="1" applyBorder="1" applyAlignment="1">
      <alignment horizontal="center" vertical="center"/>
    </xf>
    <xf numFmtId="0" fontId="21" fillId="4" borderId="160" xfId="1" applyFont="1" applyFill="1" applyBorder="1" applyAlignment="1">
      <alignment horizontal="center" vertical="center"/>
    </xf>
    <xf numFmtId="0" fontId="18" fillId="0" borderId="0" xfId="1" applyFont="1" applyBorder="1" applyAlignment="1">
      <alignment horizontal="center" vertical="center"/>
    </xf>
    <xf numFmtId="0" fontId="18" fillId="0" borderId="0" xfId="1" applyFont="1" applyBorder="1" applyAlignment="1">
      <alignment horizontal="right" vertical="center" shrinkToFit="1"/>
    </xf>
    <xf numFmtId="0" fontId="21" fillId="4" borderId="147" xfId="1" applyFont="1" applyFill="1" applyBorder="1" applyAlignment="1">
      <alignment horizontal="center" vertical="center"/>
    </xf>
    <xf numFmtId="0" fontId="21" fillId="4" borderId="148" xfId="1" applyFont="1" applyFill="1" applyBorder="1" applyAlignment="1">
      <alignment horizontal="center" vertical="center"/>
    </xf>
    <xf numFmtId="0" fontId="18" fillId="0" borderId="0" xfId="1" applyFont="1" applyFill="1" applyBorder="1" applyAlignment="1">
      <alignment horizontal="center" vertical="center"/>
    </xf>
    <xf numFmtId="0" fontId="18" fillId="18" borderId="124" xfId="1" applyFont="1" applyFill="1" applyBorder="1" applyAlignment="1">
      <alignment horizontal="center" vertical="center"/>
    </xf>
    <xf numFmtId="0" fontId="18" fillId="21" borderId="128" xfId="1" applyFont="1" applyFill="1" applyBorder="1" applyAlignment="1">
      <alignment horizontal="center" vertical="center"/>
    </xf>
    <xf numFmtId="0" fontId="18" fillId="21" borderId="20" xfId="1" applyFont="1" applyFill="1" applyBorder="1" applyAlignment="1">
      <alignment horizontal="center" vertical="center"/>
    </xf>
    <xf numFmtId="0" fontId="18" fillId="0" borderId="125" xfId="1" applyFont="1" applyBorder="1" applyAlignment="1">
      <alignment horizontal="center" vertical="center"/>
    </xf>
    <xf numFmtId="0" fontId="18" fillId="0" borderId="0" xfId="1" applyFont="1" applyFill="1" applyBorder="1"/>
    <xf numFmtId="0" fontId="18" fillId="0" borderId="124" xfId="1" applyFont="1" applyFill="1" applyBorder="1" applyAlignment="1">
      <alignment horizontal="center" vertical="center"/>
    </xf>
    <xf numFmtId="0" fontId="18" fillId="29" borderId="80" xfId="1" applyFont="1" applyFill="1" applyBorder="1" applyAlignment="1">
      <alignment horizontal="center" vertical="center"/>
    </xf>
    <xf numFmtId="0" fontId="18" fillId="29" borderId="76" xfId="1" applyFont="1" applyFill="1" applyBorder="1" applyAlignment="1">
      <alignment horizontal="center" vertical="center"/>
    </xf>
    <xf numFmtId="0" fontId="18" fillId="21" borderId="127" xfId="1" applyFont="1" applyFill="1" applyBorder="1" applyAlignment="1">
      <alignment horizontal="center" vertical="center"/>
    </xf>
    <xf numFmtId="0" fontId="18" fillId="0" borderId="0" xfId="1" applyFont="1" applyFill="1"/>
    <xf numFmtId="0" fontId="24" fillId="0" borderId="0" xfId="1" applyFont="1" applyAlignment="1">
      <alignment horizontal="center"/>
    </xf>
    <xf numFmtId="0" fontId="18" fillId="0" borderId="0" xfId="1" applyFont="1" applyAlignment="1"/>
    <xf numFmtId="0" fontId="18" fillId="2" borderId="0" xfId="1" applyFont="1" applyFill="1"/>
    <xf numFmtId="0" fontId="18" fillId="0" borderId="0" xfId="7" applyFont="1"/>
    <xf numFmtId="0" fontId="22" fillId="4" borderId="21" xfId="1" applyFont="1" applyFill="1" applyBorder="1" applyAlignment="1">
      <alignment horizontal="center"/>
    </xf>
    <xf numFmtId="0" fontId="21" fillId="4" borderId="21" xfId="1" applyFont="1" applyFill="1" applyBorder="1" applyAlignment="1">
      <alignment horizontal="center"/>
    </xf>
    <xf numFmtId="0" fontId="22" fillId="4" borderId="13" xfId="1" applyFont="1" applyFill="1" applyBorder="1" applyAlignment="1">
      <alignment horizontal="center" vertical="center" textRotation="90" shrinkToFit="1"/>
    </xf>
    <xf numFmtId="0" fontId="22" fillId="4" borderId="26" xfId="1" applyFont="1" applyFill="1" applyBorder="1" applyAlignment="1">
      <alignment horizontal="center" vertical="center" textRotation="90" wrapText="1"/>
    </xf>
    <xf numFmtId="0" fontId="22" fillId="4" borderId="12" xfId="1" applyFont="1" applyFill="1" applyBorder="1" applyAlignment="1">
      <alignment horizontal="center" vertical="center" textRotation="90" shrinkToFit="1"/>
    </xf>
    <xf numFmtId="0" fontId="22" fillId="4" borderId="24" xfId="1" applyFont="1" applyFill="1" applyBorder="1" applyAlignment="1">
      <alignment horizontal="center" vertical="center" textRotation="90" shrinkToFit="1"/>
    </xf>
    <xf numFmtId="0" fontId="22" fillId="4" borderId="42" xfId="1" applyFont="1" applyFill="1" applyBorder="1" applyAlignment="1">
      <alignment horizontal="center" vertical="center" textRotation="90" shrinkToFit="1"/>
    </xf>
    <xf numFmtId="165" fontId="22" fillId="4" borderId="12" xfId="1" applyNumberFormat="1" applyFont="1" applyFill="1" applyBorder="1" applyAlignment="1">
      <alignment horizontal="center" vertical="center" textRotation="90" wrapText="1" shrinkToFit="1"/>
    </xf>
    <xf numFmtId="2" fontId="22" fillId="4" borderId="13" xfId="1" applyNumberFormat="1" applyFont="1" applyFill="1" applyBorder="1" applyAlignment="1">
      <alignment horizontal="center" vertical="center" textRotation="90" wrapText="1" shrinkToFit="1"/>
    </xf>
    <xf numFmtId="0" fontId="23" fillId="0" borderId="16" xfId="1" applyFont="1" applyBorder="1" applyAlignment="1">
      <alignment shrinkToFit="1"/>
    </xf>
    <xf numFmtId="0" fontId="23" fillId="3" borderId="16" xfId="1" applyFont="1" applyFill="1" applyBorder="1" applyAlignment="1"/>
    <xf numFmtId="0" fontId="23" fillId="0" borderId="3" xfId="1" applyFont="1" applyBorder="1" applyAlignment="1">
      <alignment shrinkToFit="1"/>
    </xf>
    <xf numFmtId="0" fontId="23" fillId="3" borderId="3" xfId="1" applyFont="1" applyFill="1" applyBorder="1" applyAlignment="1"/>
    <xf numFmtId="0" fontId="23" fillId="3" borderId="77" xfId="1" applyFont="1" applyFill="1" applyBorder="1" applyAlignment="1"/>
    <xf numFmtId="49" fontId="18" fillId="0" borderId="0" xfId="1" applyNumberFormat="1" applyFont="1" applyAlignment="1">
      <alignment horizontal="center"/>
    </xf>
    <xf numFmtId="1" fontId="18" fillId="0" borderId="0" xfId="1" applyNumberFormat="1" applyFont="1"/>
    <xf numFmtId="165" fontId="18" fillId="0" borderId="0" xfId="1" applyNumberFormat="1" applyFont="1"/>
    <xf numFmtId="2" fontId="18" fillId="0" borderId="0" xfId="1" applyNumberFormat="1" applyFont="1"/>
    <xf numFmtId="49" fontId="18" fillId="0" borderId="0" xfId="1" applyNumberFormat="1" applyFont="1"/>
    <xf numFmtId="9" fontId="18" fillId="0" borderId="0" xfId="1" applyNumberFormat="1" applyFont="1"/>
    <xf numFmtId="0" fontId="15" fillId="0" borderId="0" xfId="1" applyFont="1"/>
    <xf numFmtId="0" fontId="28" fillId="0" borderId="0" xfId="1" applyFont="1" applyBorder="1" applyAlignment="1">
      <alignment horizontal="center"/>
    </xf>
    <xf numFmtId="49" fontId="28" fillId="0" borderId="0" xfId="1" applyNumberFormat="1" applyFont="1" applyBorder="1"/>
    <xf numFmtId="0" fontId="15" fillId="0" borderId="0" xfId="1" applyFont="1" applyBorder="1" applyAlignment="1">
      <alignment shrinkToFit="1"/>
    </xf>
    <xf numFmtId="0" fontId="18" fillId="0" borderId="0" xfId="1" applyFont="1" applyBorder="1" applyAlignment="1">
      <alignment vertical="center"/>
    </xf>
    <xf numFmtId="49" fontId="18" fillId="0" borderId="0" xfId="1" applyNumberFormat="1" applyFont="1" applyBorder="1" applyAlignment="1">
      <alignment horizontal="center" vertical="center"/>
    </xf>
    <xf numFmtId="0" fontId="18" fillId="0" borderId="0" xfId="1" applyFont="1" applyFill="1" applyBorder="1" applyAlignment="1">
      <alignment vertical="center"/>
    </xf>
    <xf numFmtId="0" fontId="24" fillId="0" borderId="0" xfId="1" applyFont="1" applyBorder="1" applyAlignment="1">
      <alignment horizontal="center" vertical="center"/>
    </xf>
    <xf numFmtId="49" fontId="18" fillId="0" borderId="0" xfId="1" applyNumberFormat="1" applyFont="1" applyBorder="1" applyAlignment="1">
      <alignment vertical="center"/>
    </xf>
    <xf numFmtId="0" fontId="18" fillId="0" borderId="0" xfId="1" applyFont="1" applyFill="1" applyAlignment="1">
      <alignment horizontal="center"/>
    </xf>
    <xf numFmtId="0" fontId="24" fillId="0" borderId="0" xfId="1" applyFont="1"/>
    <xf numFmtId="0" fontId="18" fillId="4" borderId="0" xfId="1" applyFont="1" applyFill="1"/>
    <xf numFmtId="0" fontId="16" fillId="0" borderId="166" xfId="0" applyFont="1" applyBorder="1" applyAlignment="1">
      <alignment shrinkToFit="1"/>
    </xf>
    <xf numFmtId="0" fontId="18" fillId="9" borderId="140" xfId="1" applyFont="1" applyFill="1" applyBorder="1" applyAlignment="1">
      <alignment horizontal="center" vertical="top" shrinkToFit="1"/>
    </xf>
    <xf numFmtId="0" fontId="20" fillId="30" borderId="73" xfId="1" applyFont="1" applyFill="1" applyBorder="1" applyAlignment="1">
      <alignment horizontal="center" vertical="center" shrinkToFit="1"/>
    </xf>
    <xf numFmtId="0" fontId="27" fillId="0" borderId="0" xfId="0" applyFont="1"/>
    <xf numFmtId="0" fontId="27" fillId="0" borderId="0" xfId="0" applyFont="1" applyAlignment="1"/>
    <xf numFmtId="0" fontId="27" fillId="0" borderId="0" xfId="0" quotePrefix="1" applyFont="1" applyAlignment="1">
      <alignment horizontal="right"/>
    </xf>
    <xf numFmtId="0" fontId="27" fillId="0" borderId="0" xfId="0" quotePrefix="1" applyFont="1" applyAlignment="1">
      <alignment horizontal="right" vertical="top"/>
    </xf>
    <xf numFmtId="0" fontId="27" fillId="0" borderId="0" xfId="0" applyFont="1" applyAlignment="1">
      <alignment horizontal="left"/>
    </xf>
    <xf numFmtId="17" fontId="42" fillId="0" borderId="0" xfId="0" applyNumberFormat="1" applyFont="1" applyAlignment="1">
      <alignment horizontal="left"/>
    </xf>
    <xf numFmtId="14" fontId="27" fillId="0" borderId="0" xfId="0" applyNumberFormat="1" applyFont="1" applyAlignment="1">
      <alignment horizontal="center"/>
    </xf>
    <xf numFmtId="49" fontId="23" fillId="21" borderId="29" xfId="1" applyNumberFormat="1" applyFont="1" applyFill="1" applyBorder="1" applyAlignment="1">
      <alignment horizontal="center" shrinkToFit="1"/>
    </xf>
    <xf numFmtId="49" fontId="23" fillId="21" borderId="7" xfId="1" applyNumberFormat="1" applyFont="1" applyFill="1" applyBorder="1" applyAlignment="1">
      <alignment horizontal="center" shrinkToFit="1"/>
    </xf>
    <xf numFmtId="49" fontId="16" fillId="31" borderId="25" xfId="1" applyNumberFormat="1" applyFont="1" applyFill="1" applyBorder="1" applyAlignment="1">
      <alignment horizontal="center"/>
    </xf>
    <xf numFmtId="0" fontId="23" fillId="31" borderId="12" xfId="1" applyFont="1" applyFill="1" applyBorder="1" applyAlignment="1">
      <alignment horizontal="center" wrapText="1"/>
    </xf>
    <xf numFmtId="0" fontId="25" fillId="31" borderId="23" xfId="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shrinkToFit="1"/>
    </xf>
    <xf numFmtId="0" fontId="25" fillId="31" borderId="22" xfId="1" applyFont="1" applyFill="1" applyBorder="1" applyAlignment="1">
      <alignment horizontal="center" vertical="center" textRotation="90" shrinkToFit="1"/>
    </xf>
    <xf numFmtId="0" fontId="25" fillId="31" borderId="14" xfId="1" applyFont="1" applyFill="1" applyBorder="1" applyAlignment="1">
      <alignment horizontal="center" vertical="center" textRotation="90" shrinkToFit="1"/>
    </xf>
    <xf numFmtId="0" fontId="25" fillId="31" borderId="15" xfId="1" applyFont="1" applyFill="1" applyBorder="1" applyAlignment="1">
      <alignment horizontal="center" vertical="center" textRotation="90" wrapText="1"/>
    </xf>
    <xf numFmtId="0" fontId="25" fillId="31" borderId="23" xfId="1" applyFont="1" applyFill="1" applyBorder="1" applyAlignment="1">
      <alignment horizontal="center" vertical="center" textRotation="90" wrapText="1" shrinkToFit="1"/>
    </xf>
    <xf numFmtId="1" fontId="25" fillId="31" borderId="41" xfId="1" applyNumberFormat="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wrapText="1" shrinkToFit="1"/>
    </xf>
    <xf numFmtId="1" fontId="25" fillId="31" borderId="12" xfId="1" applyNumberFormat="1" applyFont="1" applyFill="1" applyBorder="1" applyAlignment="1">
      <alignment horizontal="center" vertical="center" textRotation="90" shrinkToFit="1"/>
    </xf>
    <xf numFmtId="165" fontId="25" fillId="31" borderId="12" xfId="1" applyNumberFormat="1" applyFont="1" applyFill="1" applyBorder="1" applyAlignment="1">
      <alignment horizontal="center" vertical="center" textRotation="90" wrapText="1" shrinkToFit="1"/>
    </xf>
    <xf numFmtId="2" fontId="25" fillId="31" borderId="12" xfId="1" applyNumberFormat="1" applyFont="1" applyFill="1" applyBorder="1" applyAlignment="1">
      <alignment horizontal="center" vertical="center" textRotation="90" wrapText="1" shrinkToFit="1"/>
    </xf>
    <xf numFmtId="0" fontId="23" fillId="31" borderId="14" xfId="1" applyFont="1" applyFill="1" applyBorder="1" applyAlignment="1">
      <alignment vertical="center"/>
    </xf>
    <xf numFmtId="9" fontId="23" fillId="31" borderId="35" xfId="1" applyNumberFormat="1" applyFont="1" applyFill="1" applyBorder="1" applyAlignment="1">
      <alignment vertical="center"/>
    </xf>
    <xf numFmtId="2" fontId="23" fillId="31" borderId="15" xfId="1" applyNumberFormat="1" applyFont="1" applyFill="1" applyBorder="1" applyAlignment="1">
      <alignment vertical="center"/>
    </xf>
    <xf numFmtId="0" fontId="23" fillId="31" borderId="22" xfId="1" applyFont="1" applyFill="1" applyBorder="1" applyAlignment="1">
      <alignment vertical="center"/>
    </xf>
    <xf numFmtId="9" fontId="23" fillId="31" borderId="14" xfId="1" applyNumberFormat="1" applyFont="1" applyFill="1" applyBorder="1" applyAlignment="1">
      <alignment vertical="center"/>
    </xf>
    <xf numFmtId="2" fontId="23" fillId="31" borderId="44" xfId="1" applyNumberFormat="1" applyFont="1" applyFill="1" applyBorder="1" applyAlignment="1">
      <alignment vertical="center"/>
    </xf>
    <xf numFmtId="1" fontId="23" fillId="31" borderId="22" xfId="1" applyNumberFormat="1" applyFont="1" applyFill="1" applyBorder="1" applyAlignment="1">
      <alignment vertical="center"/>
    </xf>
    <xf numFmtId="1" fontId="23" fillId="31" borderId="44" xfId="1" applyNumberFormat="1" applyFont="1" applyFill="1" applyBorder="1" applyAlignment="1">
      <alignment vertical="center"/>
    </xf>
    <xf numFmtId="1" fontId="23" fillId="31" borderId="14" xfId="1" applyNumberFormat="1" applyFont="1" applyFill="1" applyBorder="1" applyAlignment="1">
      <alignment vertical="center"/>
    </xf>
    <xf numFmtId="165" fontId="23" fillId="31" borderId="22" xfId="1" applyNumberFormat="1" applyFont="1" applyFill="1" applyBorder="1" applyAlignment="1">
      <alignment horizontal="center" vertical="center"/>
    </xf>
    <xf numFmtId="165" fontId="23" fillId="31" borderId="14" xfId="1" applyNumberFormat="1" applyFont="1" applyFill="1" applyBorder="1" applyAlignment="1">
      <alignment horizontal="center" vertical="center"/>
    </xf>
    <xf numFmtId="2" fontId="23" fillId="31" borderId="15" xfId="1" applyNumberFormat="1" applyFont="1" applyFill="1" applyBorder="1" applyAlignment="1">
      <alignment horizontal="center" vertical="center"/>
    </xf>
    <xf numFmtId="0" fontId="18" fillId="0" borderId="0" xfId="1" applyFont="1" applyBorder="1" applyAlignment="1">
      <alignment horizontal="center" vertical="center"/>
    </xf>
    <xf numFmtId="49" fontId="18" fillId="0" borderId="0" xfId="1" applyNumberFormat="1" applyFont="1" applyBorder="1" applyAlignment="1">
      <alignment horizontal="center" vertical="center"/>
    </xf>
    <xf numFmtId="0" fontId="18" fillId="0" borderId="0" xfId="1" applyFont="1" applyBorder="1" applyAlignment="1">
      <alignment vertical="center"/>
    </xf>
    <xf numFmtId="0" fontId="32" fillId="24" borderId="0" xfId="1" applyFont="1" applyFill="1" applyBorder="1" applyAlignment="1">
      <alignment horizontal="center" vertical="center" shrinkToFit="1"/>
    </xf>
    <xf numFmtId="0" fontId="18" fillId="34" borderId="0" xfId="1" applyFont="1" applyFill="1" applyAlignment="1">
      <alignment horizontal="center"/>
    </xf>
    <xf numFmtId="49" fontId="18" fillId="34" borderId="0" xfId="1" applyNumberFormat="1" applyFont="1" applyFill="1"/>
    <xf numFmtId="0" fontId="18" fillId="34" borderId="0" xfId="1" applyNumberFormat="1" applyFont="1" applyFill="1"/>
    <xf numFmtId="0" fontId="18" fillId="21" borderId="0" xfId="1" applyFont="1" applyFill="1"/>
    <xf numFmtId="0" fontId="18" fillId="36" borderId="0" xfId="1" applyFont="1" applyFill="1"/>
    <xf numFmtId="0" fontId="18" fillId="32" borderId="0" xfId="1" applyFont="1" applyFill="1" applyAlignment="1">
      <alignment horizontal="center"/>
    </xf>
    <xf numFmtId="0" fontId="18" fillId="38" borderId="0" xfId="1" applyFont="1" applyFill="1" applyAlignment="1">
      <alignment horizontal="center"/>
    </xf>
    <xf numFmtId="0" fontId="18" fillId="39" borderId="0" xfId="1" applyFont="1" applyFill="1" applyAlignment="1">
      <alignment horizontal="center"/>
    </xf>
    <xf numFmtId="0" fontId="18" fillId="40" borderId="0" xfId="1" applyFont="1" applyFill="1"/>
    <xf numFmtId="0" fontId="18" fillId="41" borderId="0" xfId="1" applyFont="1" applyFill="1"/>
    <xf numFmtId="0" fontId="18" fillId="43" borderId="0" xfId="1" applyFont="1" applyFill="1" applyAlignment="1">
      <alignment horizontal="center"/>
    </xf>
    <xf numFmtId="0" fontId="18" fillId="42" borderId="0" xfId="1" applyFont="1" applyFill="1"/>
    <xf numFmtId="0" fontId="24" fillId="32" borderId="0" xfId="1" applyFont="1" applyFill="1" applyBorder="1" applyAlignment="1">
      <alignment horizontal="center" vertical="center"/>
    </xf>
    <xf numFmtId="0" fontId="40" fillId="32" borderId="0" xfId="1" applyFont="1" applyFill="1" applyBorder="1" applyAlignment="1">
      <alignment horizontal="center" vertical="center"/>
    </xf>
    <xf numFmtId="0" fontId="18" fillId="32" borderId="0" xfId="1" applyFont="1" applyFill="1" applyBorder="1" applyAlignment="1">
      <alignment horizontal="center" vertical="center"/>
    </xf>
    <xf numFmtId="0" fontId="18" fillId="54" borderId="0" xfId="1" applyFont="1" applyFill="1" applyBorder="1" applyAlignment="1">
      <alignment horizontal="center" vertical="center"/>
    </xf>
    <xf numFmtId="0" fontId="18" fillId="50" borderId="0" xfId="1" applyFont="1" applyFill="1" applyBorder="1" applyAlignment="1">
      <alignment horizontal="center" vertical="center"/>
    </xf>
    <xf numFmtId="0" fontId="18" fillId="45" borderId="0" xfId="1" applyFont="1" applyFill="1" applyBorder="1" applyAlignment="1">
      <alignment vertical="center"/>
    </xf>
    <xf numFmtId="0" fontId="18" fillId="45" borderId="0" xfId="1" applyFont="1" applyFill="1" applyBorder="1" applyAlignment="1">
      <alignment horizontal="center" vertical="center"/>
    </xf>
    <xf numFmtId="49" fontId="18" fillId="45" borderId="0" xfId="1" applyNumberFormat="1" applyFont="1" applyFill="1" applyBorder="1" applyAlignment="1">
      <alignment horizontal="center" vertical="center"/>
    </xf>
    <xf numFmtId="0" fontId="18" fillId="55" borderId="0" xfId="1" applyFont="1" applyFill="1" applyBorder="1" applyAlignment="1">
      <alignment horizontal="center" vertical="center"/>
    </xf>
    <xf numFmtId="0" fontId="18" fillId="55" borderId="0" xfId="1" applyFont="1" applyFill="1" applyBorder="1" applyAlignment="1">
      <alignment horizontal="center"/>
    </xf>
    <xf numFmtId="0" fontId="18" fillId="46" borderId="0" xfId="1" applyFont="1" applyFill="1" applyBorder="1" applyAlignment="1">
      <alignment horizontal="center" vertical="center"/>
    </xf>
    <xf numFmtId="0" fontId="18" fillId="56" borderId="0" xfId="1" applyFont="1" applyFill="1" applyBorder="1" applyAlignment="1">
      <alignment horizontal="center" vertical="center"/>
    </xf>
    <xf numFmtId="0" fontId="40" fillId="37" borderId="0" xfId="1" applyFont="1" applyFill="1" applyBorder="1" applyAlignment="1">
      <alignment horizontal="center" vertical="center"/>
    </xf>
    <xf numFmtId="0" fontId="18" fillId="37" borderId="0" xfId="1" applyFont="1" applyFill="1" applyBorder="1" applyAlignment="1">
      <alignment horizontal="center" vertical="center"/>
    </xf>
    <xf numFmtId="0" fontId="18" fillId="16" borderId="0" xfId="1" applyFont="1" applyFill="1" applyBorder="1" applyAlignment="1">
      <alignment horizontal="center" vertical="center"/>
    </xf>
    <xf numFmtId="0" fontId="18" fillId="43" borderId="0" xfId="1" applyFont="1" applyFill="1" applyBorder="1" applyAlignment="1">
      <alignment horizontal="center" vertical="center"/>
    </xf>
    <xf numFmtId="0" fontId="18" fillId="32" borderId="0" xfId="1" applyFont="1" applyFill="1" applyBorder="1" applyAlignment="1">
      <alignment vertical="center"/>
    </xf>
    <xf numFmtId="0" fontId="18" fillId="43" borderId="0" xfId="1" applyFont="1" applyFill="1" applyBorder="1" applyAlignment="1">
      <alignment vertical="center"/>
    </xf>
    <xf numFmtId="0" fontId="18" fillId="37" borderId="0" xfId="1" applyFont="1" applyFill="1" applyBorder="1" applyAlignment="1">
      <alignment horizontal="center"/>
    </xf>
    <xf numFmtId="0" fontId="18" fillId="35" borderId="0" xfId="1" applyFont="1" applyFill="1" applyBorder="1" applyAlignment="1">
      <alignment horizontal="center" vertical="center"/>
    </xf>
    <xf numFmtId="0" fontId="18" fillId="12" borderId="0" xfId="1" applyFont="1" applyFill="1" applyBorder="1" applyAlignment="1">
      <alignment horizontal="center" vertical="center"/>
    </xf>
    <xf numFmtId="167" fontId="16" fillId="11" borderId="32" xfId="1" applyNumberFormat="1" applyFont="1" applyFill="1" applyBorder="1" applyAlignment="1">
      <alignment horizontal="center" shrinkToFit="1"/>
    </xf>
    <xf numFmtId="0" fontId="18" fillId="2" borderId="0" xfId="1" applyFont="1" applyFill="1" applyBorder="1"/>
    <xf numFmtId="14" fontId="18" fillId="57" borderId="0" xfId="1" applyNumberFormat="1" applyFont="1" applyFill="1" applyBorder="1" applyAlignment="1">
      <alignment horizontal="left"/>
    </xf>
    <xf numFmtId="14" fontId="18" fillId="57" borderId="73" xfId="1" applyNumberFormat="1" applyFont="1" applyFill="1" applyBorder="1" applyAlignment="1">
      <alignment horizontal="center"/>
    </xf>
    <xf numFmtId="0" fontId="27" fillId="57" borderId="0" xfId="0" applyFont="1" applyFill="1"/>
    <xf numFmtId="0" fontId="44" fillId="57" borderId="0" xfId="0" applyFont="1" applyFill="1" applyAlignment="1">
      <alignment horizontal="right"/>
    </xf>
    <xf numFmtId="0" fontId="27" fillId="57" borderId="0" xfId="0" applyFont="1" applyFill="1" applyAlignment="1">
      <alignment horizontal="left"/>
    </xf>
    <xf numFmtId="0" fontId="43" fillId="57" borderId="0" xfId="0" applyFont="1" applyFill="1" applyAlignment="1">
      <alignment vertical="center"/>
    </xf>
    <xf numFmtId="0" fontId="27" fillId="57" borderId="0" xfId="0" applyFont="1" applyFill="1" applyAlignment="1"/>
    <xf numFmtId="0" fontId="46" fillId="57" borderId="0" xfId="0" applyFont="1" applyFill="1" applyAlignment="1"/>
    <xf numFmtId="0" fontId="18" fillId="0" borderId="61" xfId="0" applyFont="1" applyBorder="1" applyAlignment="1" applyProtection="1">
      <alignment horizontal="center" vertical="center"/>
      <protection locked="0"/>
    </xf>
    <xf numFmtId="0" fontId="18" fillId="0" borderId="62"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18" fillId="0" borderId="115" xfId="0" applyFont="1" applyBorder="1" applyAlignment="1" applyProtection="1">
      <alignment horizontal="center" vertical="center"/>
      <protection locked="0"/>
    </xf>
    <xf numFmtId="0" fontId="18" fillId="0" borderId="116" xfId="0" applyFont="1" applyBorder="1" applyAlignment="1" applyProtection="1">
      <alignment horizontal="center" vertical="center"/>
      <protection locked="0"/>
    </xf>
    <xf numFmtId="0" fontId="18" fillId="0" borderId="117" xfId="0" applyFont="1" applyBorder="1" applyAlignment="1" applyProtection="1">
      <alignment horizontal="center" vertical="center"/>
      <protection locked="0"/>
    </xf>
    <xf numFmtId="0" fontId="18" fillId="21" borderId="66" xfId="7" applyFont="1" applyFill="1" applyBorder="1" applyAlignment="1" applyProtection="1">
      <alignment horizontal="center" vertical="center"/>
      <protection locked="0"/>
    </xf>
    <xf numFmtId="0" fontId="18" fillId="21" borderId="67" xfId="7" applyFont="1" applyFill="1" applyBorder="1" applyAlignment="1" applyProtection="1">
      <alignment horizontal="center" vertical="center"/>
      <protection locked="0"/>
    </xf>
    <xf numFmtId="0" fontId="18" fillId="21" borderId="68" xfId="7" applyFont="1" applyFill="1" applyBorder="1" applyAlignment="1" applyProtection="1">
      <alignment horizontal="center" vertical="center"/>
      <protection locked="0"/>
    </xf>
    <xf numFmtId="0" fontId="18" fillId="21" borderId="69" xfId="7" applyFont="1" applyFill="1" applyBorder="1" applyAlignment="1" applyProtection="1">
      <alignment horizontal="center" vertical="center"/>
      <protection locked="0"/>
    </xf>
    <xf numFmtId="0" fontId="18" fillId="21" borderId="134" xfId="7" applyFont="1" applyFill="1" applyBorder="1" applyAlignment="1" applyProtection="1">
      <alignment horizontal="center" vertical="center"/>
      <protection locked="0"/>
    </xf>
    <xf numFmtId="0" fontId="18" fillId="21" borderId="70" xfId="7" applyFont="1" applyFill="1" applyBorder="1" applyAlignment="1" applyProtection="1">
      <alignment horizontal="center" vertical="center"/>
      <protection locked="0"/>
    </xf>
    <xf numFmtId="0" fontId="18" fillId="21" borderId="107" xfId="7" applyFont="1" applyFill="1" applyBorder="1" applyAlignment="1" applyProtection="1">
      <alignment horizontal="center" vertical="center"/>
      <protection locked="0"/>
    </xf>
    <xf numFmtId="0" fontId="18" fillId="21" borderId="106" xfId="7" applyFont="1" applyFill="1" applyBorder="1" applyAlignment="1" applyProtection="1">
      <alignment horizontal="center" vertical="center"/>
      <protection locked="0"/>
    </xf>
    <xf numFmtId="0" fontId="18" fillId="21" borderId="105" xfId="7" applyFont="1" applyFill="1" applyBorder="1" applyAlignment="1" applyProtection="1">
      <alignment horizontal="center" vertical="center"/>
      <protection locked="0"/>
    </xf>
    <xf numFmtId="0" fontId="18" fillId="21" borderId="129" xfId="7" applyFont="1" applyFill="1" applyBorder="1" applyAlignment="1" applyProtection="1">
      <alignment horizontal="center" vertical="center"/>
      <protection locked="0"/>
    </xf>
    <xf numFmtId="0" fontId="35" fillId="4" borderId="15" xfId="1" applyFont="1" applyFill="1" applyBorder="1" applyAlignment="1">
      <alignment horizontal="center" vertical="center" wrapText="1"/>
    </xf>
    <xf numFmtId="0" fontId="47" fillId="4" borderId="23" xfId="1" applyFont="1" applyFill="1" applyBorder="1" applyAlignment="1">
      <alignment horizontal="center" vertical="center" textRotation="90"/>
    </xf>
    <xf numFmtId="0" fontId="47" fillId="4" borderId="12" xfId="1" applyFont="1" applyFill="1" applyBorder="1" applyAlignment="1">
      <alignment horizontal="center" vertical="center" textRotation="90"/>
    </xf>
    <xf numFmtId="0" fontId="47" fillId="4" borderId="24" xfId="1" applyFont="1" applyFill="1" applyBorder="1" applyAlignment="1">
      <alignment horizontal="center" vertical="center" textRotation="90"/>
    </xf>
    <xf numFmtId="0" fontId="35" fillId="4" borderId="25" xfId="1" applyFont="1" applyFill="1" applyBorder="1" applyAlignment="1">
      <alignment horizontal="center" vertical="center"/>
    </xf>
    <xf numFmtId="0" fontId="35" fillId="4" borderId="12" xfId="1" applyFont="1" applyFill="1" applyBorder="1" applyAlignment="1">
      <alignment horizontal="center" vertical="center"/>
    </xf>
    <xf numFmtId="0" fontId="35" fillId="4" borderId="26" xfId="1" applyFont="1" applyFill="1" applyBorder="1" applyAlignment="1">
      <alignment horizontal="center" vertical="center" wrapText="1"/>
    </xf>
    <xf numFmtId="0" fontId="35" fillId="4" borderId="27" xfId="1" applyFont="1" applyFill="1" applyBorder="1" applyAlignment="1">
      <alignment horizontal="center" vertical="center" wrapText="1"/>
    </xf>
    <xf numFmtId="0" fontId="20" fillId="8" borderId="0" xfId="0" applyFont="1" applyFill="1" applyBorder="1" applyAlignment="1">
      <alignment vertical="center"/>
    </xf>
    <xf numFmtId="0" fontId="27" fillId="0" borderId="0" xfId="0" applyFont="1" applyAlignment="1">
      <alignment horizontal="left"/>
    </xf>
    <xf numFmtId="0" fontId="18" fillId="0" borderId="0" xfId="0" applyFont="1" applyAlignment="1">
      <alignment horizontal="left"/>
    </xf>
    <xf numFmtId="49" fontId="18" fillId="0" borderId="0" xfId="0" quotePrefix="1" applyNumberFormat="1" applyFont="1" applyAlignment="1">
      <alignment horizontal="right"/>
    </xf>
    <xf numFmtId="0" fontId="18" fillId="57" borderId="0" xfId="0" applyFont="1" applyFill="1"/>
    <xf numFmtId="0" fontId="18" fillId="21" borderId="118" xfId="7" applyFont="1" applyFill="1" applyBorder="1" applyAlignment="1" applyProtection="1">
      <alignment horizontal="center" vertical="center"/>
      <protection locked="0"/>
    </xf>
    <xf numFmtId="0" fontId="18" fillId="21" borderId="136" xfId="7" applyFont="1" applyFill="1" applyBorder="1" applyAlignment="1" applyProtection="1">
      <alignment horizontal="center" vertical="center"/>
      <protection locked="0"/>
    </xf>
    <xf numFmtId="0" fontId="14" fillId="12" borderId="3" xfId="1" applyFont="1" applyFill="1" applyBorder="1" applyAlignment="1" applyProtection="1">
      <alignment horizontal="center"/>
      <protection locked="0"/>
    </xf>
    <xf numFmtId="0" fontId="14" fillId="12" borderId="77" xfId="1" applyFont="1" applyFill="1" applyBorder="1" applyAlignment="1" applyProtection="1">
      <alignment horizontal="center"/>
      <protection locked="0"/>
    </xf>
    <xf numFmtId="0" fontId="14" fillId="12" borderId="113" xfId="1" applyFont="1" applyFill="1" applyBorder="1" applyAlignment="1">
      <alignment horizontal="center"/>
    </xf>
    <xf numFmtId="0" fontId="14" fillId="13" borderId="45" xfId="1" applyFont="1" applyFill="1" applyBorder="1" applyAlignment="1">
      <alignment horizontal="center"/>
    </xf>
    <xf numFmtId="0" fontId="14" fillId="6" borderId="45" xfId="1" applyFont="1" applyFill="1" applyBorder="1" applyAlignment="1">
      <alignment horizontal="center"/>
    </xf>
    <xf numFmtId="1" fontId="14" fillId="13" borderId="7" xfId="1" applyNumberFormat="1" applyFont="1" applyFill="1" applyBorder="1" applyAlignment="1" applyProtection="1">
      <alignment horizontal="center"/>
      <protection locked="0"/>
    </xf>
    <xf numFmtId="49" fontId="14" fillId="12" borderId="18" xfId="1" applyNumberFormat="1" applyFont="1" applyFill="1" applyBorder="1" applyAlignment="1" applyProtection="1">
      <alignment horizontal="center"/>
      <protection locked="0"/>
    </xf>
    <xf numFmtId="0" fontId="14" fillId="13" borderId="7" xfId="1" applyFont="1" applyFill="1" applyBorder="1" applyAlignment="1" applyProtection="1">
      <alignment horizontal="center"/>
      <protection locked="0"/>
    </xf>
    <xf numFmtId="0" fontId="14" fillId="13" borderId="3" xfId="1" applyFont="1" applyFill="1" applyBorder="1" applyAlignment="1" applyProtection="1">
      <alignment horizontal="center"/>
      <protection locked="0"/>
    </xf>
    <xf numFmtId="0" fontId="14" fillId="13" borderId="18" xfId="1" applyFont="1" applyFill="1" applyBorder="1" applyAlignment="1" applyProtection="1">
      <alignment horizontal="center"/>
      <protection locked="0"/>
    </xf>
    <xf numFmtId="0" fontId="14" fillId="12" borderId="7" xfId="1" applyFont="1" applyFill="1" applyBorder="1" applyAlignment="1" applyProtection="1">
      <alignment horizontal="center"/>
      <protection locked="0"/>
    </xf>
    <xf numFmtId="0" fontId="14" fillId="0" borderId="3" xfId="1" applyFont="1" applyFill="1" applyBorder="1" applyAlignment="1" applyProtection="1">
      <alignment horizontal="center"/>
      <protection locked="0"/>
    </xf>
    <xf numFmtId="0" fontId="14" fillId="0" borderId="77" xfId="1" applyFont="1" applyFill="1" applyBorder="1" applyAlignment="1" applyProtection="1">
      <alignment horizontal="center"/>
      <protection locked="0"/>
    </xf>
    <xf numFmtId="0" fontId="14" fillId="0" borderId="112" xfId="1" applyFont="1" applyFill="1" applyBorder="1" applyAlignment="1">
      <alignment horizontal="center"/>
    </xf>
    <xf numFmtId="0" fontId="14" fillId="0" borderId="110" xfId="1" applyFont="1" applyFill="1" applyBorder="1" applyAlignment="1">
      <alignment horizontal="center"/>
    </xf>
    <xf numFmtId="0" fontId="14" fillId="12" borderId="18" xfId="1" applyFont="1" applyFill="1" applyBorder="1" applyAlignment="1" applyProtection="1">
      <alignment horizontal="center"/>
      <protection locked="0"/>
    </xf>
    <xf numFmtId="0" fontId="14" fillId="0" borderId="7" xfId="1" applyFont="1" applyBorder="1" applyAlignment="1" applyProtection="1">
      <alignment horizontal="center"/>
      <protection locked="0"/>
    </xf>
    <xf numFmtId="1" fontId="14" fillId="12" borderId="7" xfId="1" applyNumberFormat="1" applyFont="1" applyFill="1" applyBorder="1" applyAlignment="1" applyProtection="1">
      <alignment horizontal="center"/>
      <protection locked="0"/>
    </xf>
    <xf numFmtId="49" fontId="14" fillId="0" borderId="18" xfId="1" applyNumberFormat="1" applyFont="1" applyBorder="1" applyAlignment="1" applyProtection="1">
      <alignment horizontal="center"/>
      <protection locked="0"/>
    </xf>
    <xf numFmtId="0" fontId="14" fillId="12" borderId="111" xfId="1" applyFont="1" applyFill="1" applyBorder="1" applyAlignment="1">
      <alignment horizontal="center"/>
    </xf>
    <xf numFmtId="0" fontId="14" fillId="0" borderId="114" xfId="1" applyFont="1" applyFill="1" applyBorder="1" applyAlignment="1">
      <alignment horizontal="center"/>
    </xf>
    <xf numFmtId="0" fontId="14" fillId="12" borderId="6" xfId="1" applyFont="1" applyFill="1" applyBorder="1" applyAlignment="1" applyProtection="1">
      <alignment horizontal="center"/>
      <protection locked="0"/>
    </xf>
    <xf numFmtId="0" fontId="14" fillId="12" borderId="29" xfId="1" applyFont="1" applyFill="1" applyBorder="1" applyAlignment="1" applyProtection="1">
      <alignment horizontal="center"/>
      <protection locked="0"/>
    </xf>
    <xf numFmtId="0" fontId="14" fillId="0" borderId="106" xfId="1" applyFont="1" applyFill="1" applyBorder="1" applyAlignment="1" applyProtection="1">
      <alignment horizontal="center"/>
      <protection locked="0"/>
    </xf>
    <xf numFmtId="0" fontId="14" fillId="12" borderId="106" xfId="1" applyFont="1" applyFill="1" applyBorder="1" applyAlignment="1" applyProtection="1">
      <alignment horizontal="center"/>
      <protection locked="0"/>
    </xf>
    <xf numFmtId="0" fontId="14" fillId="12" borderId="141"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0" borderId="141" xfId="1" applyFont="1" applyFill="1" applyBorder="1" applyAlignment="1" applyProtection="1">
      <alignment horizontal="center"/>
      <protection locked="0"/>
    </xf>
    <xf numFmtId="0" fontId="14" fillId="0" borderId="107" xfId="1" applyFont="1" applyBorder="1" applyAlignment="1" applyProtection="1">
      <alignment horizontal="center"/>
      <protection locked="0"/>
    </xf>
    <xf numFmtId="0" fontId="14" fillId="13" borderId="85" xfId="1" applyFont="1" applyFill="1" applyBorder="1" applyAlignment="1" applyProtection="1">
      <alignment horizontal="center"/>
      <protection locked="0"/>
    </xf>
    <xf numFmtId="0" fontId="14" fillId="12" borderId="75" xfId="1" applyFont="1" applyFill="1" applyBorder="1" applyAlignment="1" applyProtection="1">
      <alignment horizontal="center"/>
      <protection locked="0"/>
    </xf>
    <xf numFmtId="0" fontId="14" fillId="12" borderId="76" xfId="1" applyFont="1" applyFill="1" applyBorder="1" applyAlignment="1" applyProtection="1">
      <alignment horizontal="center"/>
      <protection locked="0"/>
    </xf>
    <xf numFmtId="0" fontId="14" fillId="0" borderId="75" xfId="1" applyFont="1" applyBorder="1" applyAlignment="1" applyProtection="1">
      <alignment horizontal="center"/>
      <protection locked="0"/>
    </xf>
    <xf numFmtId="0" fontId="14" fillId="0" borderId="76" xfId="1" applyFont="1" applyFill="1" applyBorder="1" applyAlignment="1" applyProtection="1">
      <alignment horizontal="center"/>
      <protection locked="0"/>
    </xf>
    <xf numFmtId="0" fontId="14" fillId="0" borderId="113" xfId="1" applyFont="1" applyFill="1" applyBorder="1" applyAlignment="1">
      <alignment horizontal="center"/>
    </xf>
    <xf numFmtId="49" fontId="14" fillId="0" borderId="108" xfId="1" applyNumberFormat="1" applyFont="1" applyBorder="1" applyAlignment="1" applyProtection="1">
      <alignment horizontal="center"/>
      <protection locked="0"/>
    </xf>
    <xf numFmtId="0" fontId="14" fillId="12" borderId="108"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3" borderId="75" xfId="1" applyFont="1" applyFill="1" applyBorder="1" applyAlignment="1" applyProtection="1">
      <alignment horizontal="center"/>
      <protection locked="0"/>
    </xf>
    <xf numFmtId="49" fontId="14" fillId="12" borderId="85" xfId="1" applyNumberFormat="1" applyFont="1" applyFill="1" applyBorder="1" applyAlignment="1" applyProtection="1">
      <alignment horizontal="center" wrapText="1"/>
      <protection locked="0"/>
    </xf>
    <xf numFmtId="0" fontId="14" fillId="13" borderId="76" xfId="1" applyFont="1" applyFill="1" applyBorder="1" applyAlignment="1" applyProtection="1">
      <alignment horizontal="center"/>
      <protection locked="0"/>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83" xfId="1" applyFont="1" applyFill="1" applyBorder="1" applyAlignment="1">
      <alignment horizontal="center"/>
    </xf>
    <xf numFmtId="0" fontId="14" fillId="12" borderId="85" xfId="1" applyFont="1" applyFill="1" applyBorder="1" applyAlignment="1" applyProtection="1">
      <alignment horizontal="center"/>
      <protection locked="0"/>
    </xf>
    <xf numFmtId="49" fontId="14" fillId="0" borderId="85" xfId="1" applyNumberFormat="1" applyFont="1" applyBorder="1" applyAlignment="1" applyProtection="1">
      <alignment horizontal="center" wrapText="1"/>
      <protection locked="0"/>
    </xf>
    <xf numFmtId="0" fontId="15" fillId="13" borderId="144" xfId="1" applyFont="1" applyFill="1" applyBorder="1" applyAlignment="1">
      <alignment horizontal="center" vertical="center"/>
    </xf>
    <xf numFmtId="0" fontId="15" fillId="13" borderId="146" xfId="1" applyFont="1" applyFill="1" applyBorder="1" applyAlignment="1">
      <alignment horizontal="center" vertical="center"/>
    </xf>
    <xf numFmtId="0" fontId="14" fillId="5" borderId="120" xfId="1" applyFont="1" applyFill="1" applyBorder="1" applyAlignment="1">
      <alignment horizontal="center"/>
    </xf>
    <xf numFmtId="0" fontId="15" fillId="13" borderId="143" xfId="1" applyFont="1" applyFill="1" applyBorder="1" applyAlignment="1">
      <alignment horizontal="center" vertical="center"/>
    </xf>
    <xf numFmtId="0" fontId="23" fillId="13" borderId="145" xfId="1" applyFont="1" applyFill="1" applyBorder="1" applyAlignment="1">
      <alignment horizontal="center" vertical="center" wrapText="1"/>
    </xf>
    <xf numFmtId="0" fontId="14" fillId="14" borderId="88" xfId="1" applyFont="1" applyFill="1" applyBorder="1" applyAlignment="1">
      <alignment horizontal="center"/>
    </xf>
    <xf numFmtId="0" fontId="14" fillId="13" borderId="108" xfId="1" applyFont="1" applyFill="1" applyBorder="1" applyAlignment="1" applyProtection="1">
      <alignment horizontal="center"/>
      <protection locked="0"/>
    </xf>
    <xf numFmtId="0" fontId="15" fillId="13" borderId="109" xfId="1" applyFont="1" applyFill="1" applyBorder="1" applyAlignment="1">
      <alignment horizontal="center" vertical="center"/>
    </xf>
    <xf numFmtId="0" fontId="15" fillId="13" borderId="95" xfId="1" applyFont="1" applyFill="1" applyBorder="1" applyAlignment="1">
      <alignment horizontal="center" vertical="center"/>
    </xf>
    <xf numFmtId="49" fontId="14" fillId="0" borderId="17" xfId="1" applyNumberFormat="1" applyFont="1" applyBorder="1" applyAlignment="1" applyProtection="1">
      <alignment horizontal="center"/>
      <protection locked="0"/>
    </xf>
    <xf numFmtId="0" fontId="14" fillId="12" borderId="16" xfId="1" applyFont="1" applyFill="1" applyBorder="1" applyAlignment="1" applyProtection="1">
      <alignment horizontal="center"/>
      <protection locked="0"/>
    </xf>
    <xf numFmtId="0" fontId="14" fillId="0" borderId="16" xfId="1" applyFont="1" applyFill="1" applyBorder="1" applyAlignment="1" applyProtection="1">
      <alignment horizontal="center"/>
      <protection locked="0"/>
    </xf>
    <xf numFmtId="0" fontId="14" fillId="0" borderId="101" xfId="1" applyFont="1" applyFill="1" applyBorder="1" applyAlignment="1" applyProtection="1">
      <alignment horizontal="center"/>
      <protection locked="0"/>
    </xf>
    <xf numFmtId="0" fontId="14" fillId="12" borderId="17" xfId="1" applyFont="1" applyFill="1" applyBorder="1" applyAlignment="1" applyProtection="1">
      <alignment horizontal="center"/>
      <protection locked="0"/>
    </xf>
    <xf numFmtId="0" fontId="14" fillId="0" borderId="29" xfId="1" applyFont="1" applyBorder="1" applyAlignment="1" applyProtection="1">
      <alignment horizontal="center"/>
      <protection locked="0"/>
    </xf>
    <xf numFmtId="0" fontId="14" fillId="5" borderId="120" xfId="1" applyFont="1" applyFill="1" applyBorder="1" applyAlignment="1">
      <alignment horizontal="center" vertical="center"/>
    </xf>
    <xf numFmtId="0" fontId="14" fillId="13" borderId="38" xfId="1" applyFont="1" applyFill="1" applyBorder="1" applyAlignment="1">
      <alignment horizontal="center"/>
    </xf>
    <xf numFmtId="0" fontId="14" fillId="12" borderId="106"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12" borderId="111" xfId="1" applyFont="1" applyFill="1" applyBorder="1" applyAlignment="1">
      <alignment horizontal="center"/>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108" xfId="1" applyFont="1" applyFill="1" applyBorder="1" applyAlignment="1" applyProtection="1">
      <alignment horizontal="center"/>
      <protection locked="0"/>
    </xf>
    <xf numFmtId="0" fontId="14" fillId="13" borderId="39" xfId="1" applyFont="1" applyFill="1" applyBorder="1" applyAlignment="1">
      <alignment horizontal="center"/>
    </xf>
    <xf numFmtId="1" fontId="14" fillId="13" borderId="107" xfId="1" applyNumberFormat="1" applyFont="1" applyFill="1" applyBorder="1" applyAlignment="1" applyProtection="1">
      <alignment horizontal="center"/>
      <protection locked="0"/>
    </xf>
    <xf numFmtId="0" fontId="14" fillId="12" borderId="105" xfId="1" applyFont="1" applyFill="1" applyBorder="1" applyAlignment="1" applyProtection="1">
      <alignment horizontal="center"/>
      <protection locked="0"/>
    </xf>
    <xf numFmtId="0" fontId="21" fillId="4" borderId="41" xfId="1" applyFont="1" applyFill="1" applyBorder="1" applyAlignment="1">
      <alignment horizontal="center" vertical="center"/>
    </xf>
    <xf numFmtId="0" fontId="18" fillId="0" borderId="124" xfId="1" applyFont="1" applyFill="1" applyBorder="1" applyAlignment="1">
      <alignment horizontal="center" vertical="center"/>
    </xf>
    <xf numFmtId="0" fontId="21" fillId="4" borderId="148" xfId="1" applyFont="1" applyFill="1" applyBorder="1" applyAlignment="1">
      <alignment horizontal="center" vertical="center"/>
    </xf>
    <xf numFmtId="0" fontId="18" fillId="0" borderId="0" xfId="0" applyFont="1" applyFill="1"/>
    <xf numFmtId="0" fontId="18" fillId="0" borderId="0" xfId="0" applyFont="1" applyFill="1" applyAlignment="1">
      <alignment horizontal="center"/>
    </xf>
    <xf numFmtId="0" fontId="20" fillId="8" borderId="172" xfId="0" applyFont="1" applyFill="1" applyBorder="1" applyAlignment="1">
      <alignment horizontal="center"/>
    </xf>
    <xf numFmtId="0" fontId="20" fillId="8" borderId="173" xfId="0" quotePrefix="1" applyFont="1" applyFill="1" applyBorder="1" applyAlignment="1">
      <alignment horizontal="center"/>
    </xf>
    <xf numFmtId="0" fontId="20" fillId="8" borderId="173" xfId="0" applyFont="1" applyFill="1" applyBorder="1" applyAlignment="1">
      <alignment horizontal="center"/>
    </xf>
    <xf numFmtId="0" fontId="29" fillId="0" borderId="155" xfId="0" applyFont="1" applyBorder="1" applyAlignment="1">
      <alignment horizontal="center" vertical="center"/>
    </xf>
    <xf numFmtId="0" fontId="29" fillId="0" borderId="139" xfId="0" applyFont="1" applyBorder="1" applyAlignment="1">
      <alignment horizontal="center" vertical="center"/>
    </xf>
    <xf numFmtId="0" fontId="49" fillId="0" borderId="155" xfId="0" applyFont="1" applyBorder="1" applyAlignment="1">
      <alignment horizontal="center" vertical="center"/>
    </xf>
    <xf numFmtId="0" fontId="28" fillId="15" borderId="172" xfId="0" applyFont="1" applyFill="1" applyBorder="1" applyAlignment="1">
      <alignment horizontal="center" vertical="center"/>
    </xf>
    <xf numFmtId="0" fontId="28" fillId="17" borderId="172" xfId="0" applyFont="1" applyFill="1" applyBorder="1" applyAlignment="1">
      <alignment horizontal="center" vertical="center"/>
    </xf>
    <xf numFmtId="0" fontId="15" fillId="0" borderId="173" xfId="0" applyFont="1" applyBorder="1" applyAlignment="1">
      <alignment horizontal="center" vertical="center"/>
    </xf>
    <xf numFmtId="0" fontId="15" fillId="15" borderId="173" xfId="0" applyFont="1" applyFill="1" applyBorder="1" applyAlignment="1">
      <alignment horizontal="center" vertical="center"/>
    </xf>
    <xf numFmtId="0" fontId="28" fillId="15" borderId="173" xfId="0" applyFont="1" applyFill="1" applyBorder="1" applyAlignment="1">
      <alignment horizontal="center" vertical="center"/>
    </xf>
    <xf numFmtId="0" fontId="28" fillId="17" borderId="173" xfId="0" applyFont="1" applyFill="1" applyBorder="1" applyAlignment="1">
      <alignment horizontal="center" vertical="center"/>
    </xf>
    <xf numFmtId="0" fontId="14" fillId="12" borderId="90" xfId="1" applyFont="1" applyFill="1" applyBorder="1" applyAlignment="1" applyProtection="1">
      <alignment horizontal="center"/>
      <protection locked="0"/>
    </xf>
    <xf numFmtId="49" fontId="14" fillId="0" borderId="99" xfId="1" applyNumberFormat="1" applyFont="1" applyBorder="1" applyAlignment="1" applyProtection="1">
      <alignment horizontal="center" wrapText="1"/>
      <protection locked="0"/>
    </xf>
    <xf numFmtId="0" fontId="14" fillId="12" borderId="122" xfId="1" applyFont="1" applyFill="1" applyBorder="1" applyAlignment="1" applyProtection="1">
      <alignment horizontal="center"/>
      <protection locked="0"/>
    </xf>
    <xf numFmtId="0" fontId="14" fillId="12" borderId="99" xfId="1" applyFont="1" applyFill="1" applyBorder="1" applyAlignment="1" applyProtection="1">
      <alignment horizontal="center"/>
      <protection locked="0"/>
    </xf>
    <xf numFmtId="0" fontId="14" fillId="0" borderId="90" xfId="1" applyFont="1" applyBorder="1" applyAlignment="1" applyProtection="1">
      <alignment horizontal="center"/>
      <protection locked="0"/>
    </xf>
    <xf numFmtId="0" fontId="14" fillId="0" borderId="122" xfId="1" applyFont="1" applyFill="1" applyBorder="1" applyAlignment="1" applyProtection="1">
      <alignment horizontal="center"/>
      <protection locked="0"/>
    </xf>
    <xf numFmtId="0" fontId="14" fillId="0" borderId="180" xfId="1" applyFont="1" applyFill="1" applyBorder="1" applyAlignment="1" applyProtection="1">
      <alignment horizontal="center"/>
      <protection locked="0"/>
    </xf>
    <xf numFmtId="0" fontId="14" fillId="0" borderId="156" xfId="1" applyFont="1" applyFill="1" applyBorder="1" applyAlignment="1">
      <alignment horizontal="center"/>
    </xf>
    <xf numFmtId="0" fontId="14" fillId="13" borderId="91" xfId="1" applyFont="1" applyFill="1" applyBorder="1" applyAlignment="1">
      <alignment horizontal="center"/>
    </xf>
    <xf numFmtId="0" fontId="14" fillId="6" borderId="39" xfId="1" applyFont="1" applyFill="1" applyBorder="1" applyAlignment="1">
      <alignment horizontal="center"/>
    </xf>
    <xf numFmtId="49" fontId="14" fillId="0" borderId="99" xfId="1" applyNumberFormat="1" applyFont="1" applyBorder="1" applyAlignment="1" applyProtection="1">
      <alignment horizontal="center"/>
      <protection locked="0"/>
    </xf>
    <xf numFmtId="0" fontId="50" fillId="0" borderId="0" xfId="0" applyFont="1"/>
    <xf numFmtId="49" fontId="15" fillId="58" borderId="173" xfId="0" applyNumberFormat="1" applyFont="1" applyFill="1" applyBorder="1" applyAlignment="1">
      <alignment horizontal="center" vertical="center"/>
    </xf>
    <xf numFmtId="49" fontId="15" fillId="0" borderId="173" xfId="0" applyNumberFormat="1" applyFont="1" applyBorder="1" applyAlignment="1">
      <alignment horizontal="center" vertical="center"/>
    </xf>
    <xf numFmtId="49" fontId="15" fillId="58" borderId="177" xfId="0" applyNumberFormat="1" applyFont="1" applyFill="1" applyBorder="1" applyAlignment="1">
      <alignment horizontal="center" vertical="center"/>
    </xf>
    <xf numFmtId="49" fontId="15" fillId="15" borderId="173" xfId="0" applyNumberFormat="1" applyFont="1" applyFill="1" applyBorder="1" applyAlignment="1">
      <alignment horizontal="center" vertical="center"/>
    </xf>
    <xf numFmtId="0" fontId="52" fillId="0" borderId="0" xfId="7" applyFont="1" applyBorder="1" applyAlignment="1">
      <alignment vertical="top" wrapText="1"/>
    </xf>
    <xf numFmtId="0" fontId="18" fillId="0" borderId="0" xfId="7" applyFont="1" applyBorder="1"/>
    <xf numFmtId="0" fontId="36" fillId="9" borderId="61" xfId="7" applyFont="1" applyFill="1" applyBorder="1" applyAlignment="1">
      <alignment horizontal="right" vertical="center" wrapText="1"/>
    </xf>
    <xf numFmtId="0" fontId="36" fillId="9" borderId="62" xfId="7" applyFont="1" applyFill="1" applyBorder="1" applyAlignment="1">
      <alignment horizontal="right" vertical="center" wrapText="1"/>
    </xf>
    <xf numFmtId="0" fontId="36" fillId="9" borderId="115" xfId="7" applyFont="1" applyFill="1" applyBorder="1" applyAlignment="1">
      <alignment horizontal="right" vertical="center" wrapText="1"/>
    </xf>
    <xf numFmtId="14" fontId="36" fillId="0" borderId="116" xfId="7" applyNumberFormat="1" applyFont="1" applyBorder="1" applyAlignment="1" applyProtection="1">
      <alignment horizontal="center" vertical="center" wrapText="1"/>
      <protection locked="0"/>
    </xf>
    <xf numFmtId="0" fontId="36" fillId="9" borderId="116" xfId="7" applyFont="1" applyFill="1" applyBorder="1" applyAlignment="1">
      <alignment horizontal="right" vertical="center" wrapText="1"/>
    </xf>
    <xf numFmtId="0" fontId="52" fillId="9" borderId="62" xfId="7" applyFont="1" applyFill="1" applyBorder="1" applyAlignment="1">
      <alignment horizontal="right" vertical="center" wrapText="1"/>
    </xf>
    <xf numFmtId="0" fontId="52" fillId="9" borderId="181" xfId="7" applyFont="1" applyFill="1" applyBorder="1" applyAlignment="1">
      <alignment horizontal="right" vertical="center" wrapText="1"/>
    </xf>
    <xf numFmtId="0" fontId="54" fillId="59" borderId="61" xfId="0" applyFont="1" applyFill="1" applyBorder="1" applyAlignment="1">
      <alignment horizontal="right" vertical="center" wrapText="1"/>
    </xf>
    <xf numFmtId="0" fontId="36" fillId="0" borderId="62" xfId="7" applyFont="1" applyBorder="1" applyAlignment="1" applyProtection="1">
      <alignment vertical="center" wrapText="1"/>
      <protection locked="0"/>
    </xf>
    <xf numFmtId="0" fontId="15" fillId="23" borderId="0" xfId="0" applyNumberFormat="1" applyFont="1" applyFill="1" applyBorder="1" applyAlignment="1">
      <alignment horizontal="center" vertical="center"/>
    </xf>
    <xf numFmtId="0" fontId="20" fillId="8" borderId="174" xfId="0" applyNumberFormat="1" applyFont="1" applyFill="1" applyBorder="1" applyAlignment="1">
      <alignment horizontal="center"/>
    </xf>
    <xf numFmtId="0" fontId="18" fillId="0" borderId="0" xfId="0" applyNumberFormat="1" applyFont="1"/>
    <xf numFmtId="0" fontId="18" fillId="0" borderId="185" xfId="1" applyFont="1" applyBorder="1"/>
    <xf numFmtId="0" fontId="21" fillId="4" borderId="153" xfId="1" applyFont="1" applyFill="1" applyBorder="1" applyAlignment="1">
      <alignment horizontal="center" vertical="center"/>
    </xf>
    <xf numFmtId="0" fontId="15" fillId="13" borderId="201" xfId="1" applyFont="1" applyFill="1" applyBorder="1" applyAlignment="1">
      <alignment horizontal="center" vertical="center" shrinkToFit="1"/>
    </xf>
    <xf numFmtId="0" fontId="15" fillId="13" borderId="202" xfId="1" applyFont="1" applyFill="1" applyBorder="1" applyAlignment="1">
      <alignment horizontal="center" vertical="center" shrinkToFit="1"/>
    </xf>
    <xf numFmtId="0" fontId="15" fillId="13" borderId="203" xfId="1" applyFont="1" applyFill="1" applyBorder="1" applyAlignment="1">
      <alignment horizontal="center" vertical="center" shrinkToFit="1"/>
    </xf>
    <xf numFmtId="0" fontId="14" fillId="5" borderId="204" xfId="1" applyFont="1" applyFill="1" applyBorder="1" applyAlignment="1">
      <alignment horizontal="center" vertical="center"/>
    </xf>
    <xf numFmtId="49" fontId="14" fillId="12" borderId="108" xfId="1" applyNumberFormat="1" applyFont="1" applyFill="1" applyBorder="1" applyAlignment="1" applyProtection="1">
      <alignment horizontal="center" wrapText="1"/>
      <protection locked="0"/>
    </xf>
    <xf numFmtId="0" fontId="15" fillId="13" borderId="205" xfId="1" applyFont="1" applyFill="1" applyBorder="1" applyAlignment="1">
      <alignment horizontal="center" vertical="center"/>
    </xf>
    <xf numFmtId="0" fontId="15" fillId="13" borderId="206" xfId="1" applyFont="1" applyFill="1" applyBorder="1" applyAlignment="1">
      <alignment horizontal="center" vertical="center" shrinkToFit="1"/>
    </xf>
    <xf numFmtId="0" fontId="15" fillId="13" borderId="207" xfId="1" applyFont="1" applyFill="1" applyBorder="1" applyAlignment="1">
      <alignment horizontal="center" vertical="center"/>
    </xf>
    <xf numFmtId="0" fontId="15" fillId="13" borderId="202" xfId="1" applyFont="1" applyFill="1" applyBorder="1" applyAlignment="1">
      <alignment horizontal="center" vertical="center"/>
    </xf>
    <xf numFmtId="0" fontId="15" fillId="13" borderId="208" xfId="1" applyFont="1" applyFill="1" applyBorder="1" applyAlignment="1">
      <alignment horizontal="center" vertical="center"/>
    </xf>
    <xf numFmtId="0" fontId="15" fillId="13" borderId="209" xfId="1" applyFont="1" applyFill="1" applyBorder="1" applyAlignment="1">
      <alignment horizontal="center" vertical="center"/>
    </xf>
    <xf numFmtId="0" fontId="15" fillId="13" borderId="210" xfId="1" applyFont="1" applyFill="1" applyBorder="1" applyAlignment="1">
      <alignment horizontal="center" vertical="center"/>
    </xf>
    <xf numFmtId="0" fontId="15" fillId="13" borderId="170" xfId="1" applyFont="1" applyFill="1" applyBorder="1" applyAlignment="1">
      <alignment horizontal="center" vertical="center"/>
    </xf>
    <xf numFmtId="0" fontId="15" fillId="13" borderId="211" xfId="1" applyFont="1" applyFill="1" applyBorder="1" applyAlignment="1">
      <alignment horizontal="center" vertical="center" shrinkToFit="1"/>
    </xf>
    <xf numFmtId="0" fontId="15" fillId="13" borderId="211" xfId="1" applyFont="1" applyFill="1" applyBorder="1" applyAlignment="1">
      <alignment horizontal="center" vertical="center"/>
    </xf>
    <xf numFmtId="0" fontId="15" fillId="13" borderId="203" xfId="1" applyFont="1" applyFill="1" applyBorder="1" applyAlignment="1">
      <alignment horizontal="center" vertical="center"/>
    </xf>
    <xf numFmtId="0" fontId="15" fillId="13" borderId="175" xfId="1" applyFont="1" applyFill="1" applyBorder="1" applyAlignment="1">
      <alignment horizontal="center" vertical="center"/>
    </xf>
    <xf numFmtId="0" fontId="15" fillId="13" borderId="212" xfId="1" applyFont="1" applyFill="1" applyBorder="1" applyAlignment="1">
      <alignment horizontal="center" vertical="center"/>
    </xf>
    <xf numFmtId="0" fontId="15" fillId="13" borderId="213" xfId="1" applyFont="1" applyFill="1" applyBorder="1" applyAlignment="1">
      <alignment horizontal="center" vertical="center"/>
    </xf>
    <xf numFmtId="0" fontId="23" fillId="13" borderId="212" xfId="1" applyFont="1" applyFill="1" applyBorder="1" applyAlignment="1">
      <alignment horizontal="center" vertical="center" wrapText="1"/>
    </xf>
    <xf numFmtId="0" fontId="15" fillId="13" borderId="214" xfId="1" applyFont="1" applyFill="1" applyBorder="1" applyAlignment="1">
      <alignment horizontal="center" vertical="center"/>
    </xf>
    <xf numFmtId="0" fontId="15" fillId="13" borderId="215" xfId="1" applyFont="1" applyFill="1" applyBorder="1" applyAlignment="1">
      <alignment horizontal="center" vertical="center"/>
    </xf>
    <xf numFmtId="0" fontId="20" fillId="8" borderId="0" xfId="0" applyFont="1" applyFill="1" applyBorder="1" applyAlignment="1">
      <alignment horizontal="center" vertical="center"/>
    </xf>
    <xf numFmtId="0" fontId="20" fillId="8" borderId="155" xfId="0" applyFont="1" applyFill="1" applyBorder="1" applyAlignment="1">
      <alignment horizontal="center" vertical="center"/>
    </xf>
    <xf numFmtId="0" fontId="17" fillId="24" borderId="0" xfId="7" applyFont="1" applyFill="1" applyAlignment="1">
      <alignment horizontal="center" vertical="center" shrinkToFit="1"/>
    </xf>
    <xf numFmtId="0" fontId="20" fillId="24" borderId="0" xfId="7" applyFont="1" applyFill="1" applyBorder="1" applyAlignment="1">
      <alignment horizontal="center" vertical="center" shrinkToFit="1"/>
    </xf>
    <xf numFmtId="0" fontId="18" fillId="0" borderId="216" xfId="0" applyFont="1" applyBorder="1" applyAlignment="1" applyProtection="1">
      <alignment horizontal="center" vertical="center"/>
      <protection locked="0"/>
    </xf>
    <xf numFmtId="0" fontId="18" fillId="0" borderId="217" xfId="0" applyFont="1" applyBorder="1" applyAlignment="1" applyProtection="1">
      <alignment horizontal="center" vertical="center"/>
      <protection locked="0"/>
    </xf>
    <xf numFmtId="0" fontId="18" fillId="0" borderId="182"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218" xfId="0" applyFont="1" applyBorder="1" applyAlignment="1" applyProtection="1">
      <alignment horizontal="center" vertical="center"/>
      <protection locked="0"/>
    </xf>
    <xf numFmtId="0" fontId="18" fillId="0" borderId="219" xfId="0" applyFont="1" applyBorder="1" applyAlignment="1" applyProtection="1">
      <alignment horizontal="center" vertical="center"/>
      <protection locked="0"/>
    </xf>
    <xf numFmtId="0" fontId="18" fillId="21" borderId="220" xfId="7" applyFont="1" applyFill="1" applyBorder="1" applyAlignment="1" applyProtection="1">
      <alignment horizontal="center" vertical="center"/>
      <protection locked="0"/>
    </xf>
    <xf numFmtId="0" fontId="18" fillId="21" borderId="221" xfId="7" applyFont="1" applyFill="1" applyBorder="1" applyAlignment="1" applyProtection="1">
      <alignment horizontal="center" vertical="center"/>
      <protection locked="0"/>
    </xf>
    <xf numFmtId="0" fontId="18" fillId="21" borderId="222" xfId="7" applyFont="1" applyFill="1" applyBorder="1" applyAlignment="1" applyProtection="1">
      <alignment horizontal="center" vertical="center"/>
      <protection locked="0"/>
    </xf>
    <xf numFmtId="0" fontId="18" fillId="21" borderId="199" xfId="7" applyFont="1" applyFill="1" applyBorder="1" applyAlignment="1" applyProtection="1">
      <alignment horizontal="center" vertical="center"/>
      <protection locked="0"/>
    </xf>
    <xf numFmtId="0" fontId="18" fillId="21" borderId="8" xfId="7" applyFont="1" applyFill="1" applyBorder="1" applyAlignment="1" applyProtection="1">
      <alignment horizontal="center" vertical="center"/>
      <protection locked="0"/>
    </xf>
    <xf numFmtId="0" fontId="18" fillId="0" borderId="0" xfId="7" applyFont="1" applyAlignment="1"/>
    <xf numFmtId="0" fontId="18" fillId="22" borderId="95" xfId="7" applyFont="1" applyFill="1" applyBorder="1" applyAlignment="1">
      <alignment horizontal="center"/>
    </xf>
    <xf numFmtId="0" fontId="33" fillId="0" borderId="0" xfId="7" applyFont="1" applyFill="1" applyBorder="1" applyAlignment="1">
      <alignment horizontal="center" vertical="center"/>
    </xf>
    <xf numFmtId="0" fontId="38" fillId="4" borderId="90" xfId="7" applyFont="1" applyFill="1" applyBorder="1" applyAlignment="1">
      <alignment horizontal="center"/>
    </xf>
    <xf numFmtId="0" fontId="30" fillId="4" borderId="90" xfId="7" applyFont="1" applyFill="1" applyBorder="1" applyAlignment="1">
      <alignment horizontal="center" textRotation="90" wrapText="1"/>
    </xf>
    <xf numFmtId="0" fontId="30" fillId="4" borderId="97" xfId="7" applyFont="1" applyFill="1" applyBorder="1" applyAlignment="1">
      <alignment horizontal="center" textRotation="90" wrapText="1"/>
    </xf>
    <xf numFmtId="0" fontId="30" fillId="4" borderId="122" xfId="7" applyFont="1" applyFill="1" applyBorder="1" applyAlignment="1">
      <alignment horizontal="center" textRotation="90" wrapText="1"/>
    </xf>
    <xf numFmtId="0" fontId="30" fillId="4" borderId="187"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30" fillId="4" borderId="93" xfId="7" applyFont="1" applyFill="1" applyBorder="1" applyAlignment="1">
      <alignment horizontal="center" textRotation="90" wrapText="1"/>
    </xf>
    <xf numFmtId="0" fontId="30" fillId="4" borderId="90" xfId="7" applyFont="1" applyFill="1" applyBorder="1" applyAlignment="1">
      <alignment horizontal="center" textRotation="90" wrapText="1" shrinkToFit="1"/>
    </xf>
    <xf numFmtId="0" fontId="30" fillId="4" borderId="122" xfId="7" applyFont="1" applyFill="1" applyBorder="1" applyAlignment="1">
      <alignment horizontal="center" textRotation="90" shrinkToFit="1"/>
    </xf>
    <xf numFmtId="0" fontId="30" fillId="4" borderId="99" xfId="7" applyFont="1" applyFill="1" applyBorder="1" applyAlignment="1">
      <alignment horizontal="center" textRotation="90" wrapText="1"/>
    </xf>
    <xf numFmtId="0" fontId="18" fillId="0" borderId="0" xfId="7" applyFont="1" applyFill="1" applyBorder="1" applyAlignment="1"/>
    <xf numFmtId="0" fontId="18" fillId="0" borderId="75" xfId="7" applyFont="1" applyFill="1" applyBorder="1" applyAlignment="1">
      <alignment horizontal="center" vertical="center" shrinkToFit="1"/>
    </xf>
    <xf numFmtId="0" fontId="18" fillId="0" borderId="167" xfId="7" applyFont="1" applyFill="1" applyBorder="1" applyAlignment="1">
      <alignment horizontal="center" vertical="center"/>
    </xf>
    <xf numFmtId="0" fontId="18" fillId="0" borderId="168" xfId="7" applyFont="1" applyFill="1" applyBorder="1" applyAlignment="1">
      <alignment horizontal="center" vertical="center"/>
    </xf>
    <xf numFmtId="0" fontId="18" fillId="0" borderId="169" xfId="7" applyFont="1" applyFill="1" applyBorder="1" applyAlignment="1">
      <alignment horizontal="center" vertical="center"/>
    </xf>
    <xf numFmtId="0" fontId="18" fillId="22" borderId="85" xfId="7" applyFont="1" applyFill="1" applyBorder="1" applyAlignment="1">
      <alignment horizontal="center" vertical="center"/>
    </xf>
    <xf numFmtId="0" fontId="18" fillId="22" borderId="83" xfId="7" applyFont="1" applyFill="1" applyBorder="1" applyAlignment="1">
      <alignment horizontal="center" vertical="center"/>
    </xf>
    <xf numFmtId="0" fontId="18" fillId="3" borderId="75" xfId="7" applyFont="1" applyFill="1" applyBorder="1" applyAlignment="1">
      <alignment horizontal="center" vertical="center"/>
    </xf>
    <xf numFmtId="0" fontId="18" fillId="22" borderId="76" xfId="7" applyFont="1" applyFill="1" applyBorder="1" applyAlignment="1">
      <alignment horizontal="center" vertical="center"/>
    </xf>
    <xf numFmtId="9" fontId="18" fillId="32" borderId="85" xfId="7" applyNumberFormat="1" applyFont="1" applyFill="1" applyBorder="1" applyAlignment="1">
      <alignment horizontal="center" vertical="center"/>
    </xf>
    <xf numFmtId="0" fontId="18" fillId="21" borderId="75" xfId="7" applyFont="1" applyFill="1" applyBorder="1" applyAlignment="1">
      <alignment horizontal="center" vertical="center" shrinkToFit="1"/>
    </xf>
    <xf numFmtId="0" fontId="18" fillId="33" borderId="167" xfId="7" applyFont="1" applyFill="1" applyBorder="1" applyAlignment="1">
      <alignment horizontal="center" vertical="center"/>
    </xf>
    <xf numFmtId="0" fontId="18" fillId="33" borderId="168" xfId="7" applyFont="1" applyFill="1" applyBorder="1" applyAlignment="1">
      <alignment horizontal="center" vertical="center"/>
    </xf>
    <xf numFmtId="0" fontId="18" fillId="33" borderId="169" xfId="7" applyFont="1" applyFill="1" applyBorder="1" applyAlignment="1">
      <alignment horizontal="center" vertical="center"/>
    </xf>
    <xf numFmtId="0" fontId="18" fillId="33" borderId="76" xfId="7" applyFont="1" applyFill="1" applyBorder="1" applyAlignment="1">
      <alignment horizontal="center" vertical="center"/>
    </xf>
    <xf numFmtId="0" fontId="18" fillId="31" borderId="85" xfId="7" applyFont="1" applyFill="1" applyBorder="1" applyAlignment="1">
      <alignment horizontal="center" vertical="center"/>
    </xf>
    <xf numFmtId="0" fontId="18" fillId="31" borderId="84" xfId="7" applyFont="1" applyFill="1" applyBorder="1" applyAlignment="1">
      <alignment horizontal="center" vertical="center"/>
    </xf>
    <xf numFmtId="0" fontId="18" fillId="21" borderId="75" xfId="7" applyFont="1" applyFill="1" applyBorder="1" applyAlignment="1">
      <alignment horizontal="center" vertical="center"/>
    </xf>
    <xf numFmtId="0" fontId="18" fillId="31" borderId="76" xfId="7" applyFont="1" applyFill="1" applyBorder="1" applyAlignment="1">
      <alignment horizontal="center" vertical="center"/>
    </xf>
    <xf numFmtId="9" fontId="18" fillId="44" borderId="85" xfId="7" applyNumberFormat="1" applyFont="1" applyFill="1" applyBorder="1" applyAlignment="1">
      <alignment horizontal="center" vertical="center"/>
    </xf>
    <xf numFmtId="0" fontId="18" fillId="0" borderId="0" xfId="7" applyFont="1" applyAlignment="1">
      <alignment vertical="center"/>
    </xf>
    <xf numFmtId="0" fontId="18" fillId="0" borderId="123" xfId="7" applyFont="1" applyFill="1" applyBorder="1" applyAlignment="1">
      <alignment horizontal="center" vertical="center" shrinkToFit="1"/>
    </xf>
    <xf numFmtId="0" fontId="24" fillId="31" borderId="91" xfId="7" applyFont="1" applyFill="1" applyBorder="1" applyAlignment="1">
      <alignment horizontal="center" vertical="center"/>
    </xf>
    <xf numFmtId="0" fontId="18" fillId="31" borderId="90" xfId="7" applyFont="1" applyFill="1" applyBorder="1" applyAlignment="1">
      <alignment horizontal="center" vertical="center"/>
    </xf>
    <xf numFmtId="0" fontId="18" fillId="31" borderId="122" xfId="7" applyFont="1" applyFill="1" applyBorder="1" applyAlignment="1">
      <alignment horizontal="center"/>
    </xf>
    <xf numFmtId="9" fontId="18" fillId="31" borderId="122" xfId="7" applyNumberFormat="1" applyFont="1" applyFill="1" applyBorder="1" applyAlignment="1">
      <alignment horizontal="center"/>
    </xf>
    <xf numFmtId="0" fontId="18" fillId="21" borderId="106" xfId="7" applyFont="1" applyFill="1" applyBorder="1" applyAlignment="1">
      <alignment horizontal="center" vertical="center" shrinkToFit="1"/>
    </xf>
    <xf numFmtId="0" fontId="24" fillId="31" borderId="104" xfId="7" applyFont="1" applyFill="1" applyBorder="1" applyAlignment="1">
      <alignment horizontal="center" vertical="center"/>
    </xf>
    <xf numFmtId="0" fontId="18" fillId="31" borderId="96" xfId="7" applyFont="1" applyFill="1" applyBorder="1" applyAlignment="1">
      <alignment horizontal="center" vertical="center"/>
    </xf>
    <xf numFmtId="0" fontId="24" fillId="31" borderId="96" xfId="7" applyFont="1" applyFill="1" applyBorder="1" applyAlignment="1">
      <alignment horizontal="center" vertical="center"/>
    </xf>
    <xf numFmtId="0" fontId="18" fillId="21" borderId="204" xfId="7" applyFont="1" applyFill="1" applyBorder="1" applyAlignment="1">
      <alignment horizontal="right" vertical="center" wrapText="1"/>
    </xf>
    <xf numFmtId="0" fontId="18" fillId="0" borderId="0" xfId="7" applyFont="1" applyFill="1" applyAlignment="1">
      <alignment horizontal="center"/>
    </xf>
    <xf numFmtId="0" fontId="18" fillId="34" borderId="0" xfId="7" applyFont="1" applyFill="1" applyAlignment="1">
      <alignment horizontal="center"/>
    </xf>
    <xf numFmtId="0" fontId="18" fillId="0" borderId="0" xfId="7" applyFont="1" applyFill="1"/>
    <xf numFmtId="0" fontId="18" fillId="0" borderId="187" xfId="7" applyFont="1" applyBorder="1" applyAlignment="1"/>
    <xf numFmtId="0" fontId="18" fillId="32" borderId="0" xfId="7" applyFont="1" applyFill="1" applyAlignment="1">
      <alignment horizontal="center"/>
    </xf>
    <xf numFmtId="0" fontId="18" fillId="38" borderId="0" xfId="7" applyFont="1" applyFill="1" applyAlignment="1">
      <alignment horizontal="center"/>
    </xf>
    <xf numFmtId="0" fontId="18" fillId="48" borderId="0" xfId="7" applyFont="1" applyFill="1" applyAlignment="1">
      <alignment horizontal="center" wrapText="1"/>
    </xf>
    <xf numFmtId="0" fontId="18" fillId="0" borderId="0" xfId="7" applyFont="1" applyAlignment="1">
      <alignment horizontal="center"/>
    </xf>
    <xf numFmtId="0" fontId="18" fillId="21" borderId="0" xfId="7" applyFont="1" applyFill="1" applyAlignment="1">
      <alignment horizontal="center"/>
    </xf>
    <xf numFmtId="0" fontId="18" fillId="21" borderId="165" xfId="7" applyFont="1" applyFill="1" applyBorder="1" applyAlignment="1">
      <alignment horizontal="center"/>
    </xf>
    <xf numFmtId="0" fontId="18" fillId="51" borderId="0" xfId="7" applyFont="1" applyFill="1" applyAlignment="1">
      <alignment horizontal="center"/>
    </xf>
    <xf numFmtId="0" fontId="18" fillId="8" borderId="135" xfId="7" applyFont="1" applyFill="1" applyBorder="1"/>
    <xf numFmtId="0" fontId="18" fillId="51" borderId="151" xfId="7" applyFont="1" applyFill="1" applyBorder="1" applyAlignment="1">
      <alignment horizontal="center"/>
    </xf>
    <xf numFmtId="0" fontId="18" fillId="36" borderId="0" xfId="7" applyFont="1" applyFill="1" applyAlignment="1">
      <alignment horizontal="center"/>
    </xf>
    <xf numFmtId="0" fontId="18" fillId="36" borderId="165" xfId="7" applyFont="1" applyFill="1" applyBorder="1" applyAlignment="1">
      <alignment horizontal="center"/>
    </xf>
    <xf numFmtId="0" fontId="18" fillId="52" borderId="0" xfId="7" applyFont="1" applyFill="1" applyAlignment="1">
      <alignment horizontal="center"/>
    </xf>
    <xf numFmtId="0" fontId="18" fillId="8" borderId="151" xfId="7" applyFont="1" applyFill="1" applyBorder="1"/>
    <xf numFmtId="0" fontId="18" fillId="52" borderId="151" xfId="7" applyFont="1" applyFill="1" applyBorder="1" applyAlignment="1">
      <alignment horizontal="center"/>
    </xf>
    <xf numFmtId="0" fontId="18" fillId="52" borderId="57" xfId="7" applyFont="1" applyFill="1" applyBorder="1" applyAlignment="1">
      <alignment horizontal="center"/>
    </xf>
    <xf numFmtId="0" fontId="18" fillId="61" borderId="0" xfId="7" applyFont="1" applyFill="1" applyAlignment="1">
      <alignment horizontal="center"/>
    </xf>
    <xf numFmtId="0" fontId="18" fillId="62" borderId="0" xfId="7" applyFont="1" applyFill="1" applyAlignment="1">
      <alignment horizontal="center"/>
    </xf>
    <xf numFmtId="0" fontId="18" fillId="7" borderId="0" xfId="7" applyFont="1" applyFill="1" applyAlignment="1">
      <alignment horizontal="center"/>
    </xf>
    <xf numFmtId="0" fontId="18" fillId="38" borderId="165" xfId="7" applyFont="1" applyFill="1" applyBorder="1" applyAlignment="1">
      <alignment horizontal="center"/>
    </xf>
    <xf numFmtId="0" fontId="21" fillId="53" borderId="0" xfId="7" applyFont="1" applyFill="1" applyAlignment="1">
      <alignment horizontal="center"/>
    </xf>
    <xf numFmtId="0" fontId="18" fillId="0" borderId="0" xfId="7" applyFont="1" applyAlignment="1">
      <alignment horizontal="center" wrapText="1"/>
    </xf>
    <xf numFmtId="0" fontId="18" fillId="47" borderId="0" xfId="7" applyFont="1" applyFill="1" applyAlignment="1">
      <alignment horizontal="center"/>
    </xf>
    <xf numFmtId="0" fontId="18" fillId="47" borderId="165" xfId="7" applyFont="1" applyFill="1" applyBorder="1" applyAlignment="1">
      <alignment horizontal="center"/>
    </xf>
    <xf numFmtId="0" fontId="24" fillId="0" borderId="0" xfId="0" applyFont="1"/>
    <xf numFmtId="0" fontId="23" fillId="31" borderId="122" xfId="7" applyFont="1" applyFill="1" applyBorder="1" applyAlignment="1"/>
    <xf numFmtId="9" fontId="23" fillId="31" borderId="102" xfId="7" applyNumberFormat="1" applyFont="1" applyFill="1" applyBorder="1" applyAlignment="1"/>
    <xf numFmtId="0" fontId="23" fillId="21" borderId="123" xfId="7" applyFont="1" applyFill="1" applyBorder="1" applyAlignment="1"/>
    <xf numFmtId="2" fontId="23" fillId="31" borderId="101" xfId="7" applyNumberFormat="1" applyFont="1" applyFill="1" applyBorder="1" applyAlignment="1"/>
    <xf numFmtId="0" fontId="23" fillId="31" borderId="124" xfId="7" applyFont="1" applyFill="1" applyBorder="1" applyAlignment="1"/>
    <xf numFmtId="9" fontId="23" fillId="31" borderId="79" xfId="7" applyNumberFormat="1" applyFont="1" applyFill="1" applyBorder="1" applyAlignment="1"/>
    <xf numFmtId="0" fontId="23" fillId="21" borderId="76" xfId="7" applyFont="1" applyFill="1" applyBorder="1" applyAlignment="1"/>
    <xf numFmtId="2" fontId="23" fillId="31" borderId="77" xfId="7" applyNumberFormat="1" applyFont="1" applyFill="1" applyBorder="1" applyAlignment="1"/>
    <xf numFmtId="0" fontId="23" fillId="31" borderId="20" xfId="7" applyFont="1" applyFill="1" applyBorder="1" applyAlignment="1"/>
    <xf numFmtId="9" fontId="23" fillId="31" borderId="19" xfId="7" applyNumberFormat="1" applyFont="1" applyFill="1" applyBorder="1" applyAlignment="1"/>
    <xf numFmtId="0" fontId="23" fillId="0" borderId="100" xfId="7" applyFont="1" applyBorder="1" applyAlignment="1">
      <alignment horizontal="center"/>
    </xf>
    <xf numFmtId="0" fontId="23" fillId="21" borderId="123" xfId="7" applyFont="1" applyFill="1" applyBorder="1" applyAlignment="1">
      <alignment horizontal="center"/>
    </xf>
    <xf numFmtId="0" fontId="23" fillId="0" borderId="123" xfId="7" applyFont="1" applyBorder="1" applyAlignment="1">
      <alignment horizontal="center"/>
    </xf>
    <xf numFmtId="9" fontId="23" fillId="21" borderId="123" xfId="7" applyNumberFormat="1" applyFont="1" applyFill="1" applyBorder="1" applyAlignment="1"/>
    <xf numFmtId="1" fontId="23" fillId="31" borderId="123" xfId="7" applyNumberFormat="1" applyFont="1" applyFill="1" applyBorder="1" applyAlignment="1"/>
    <xf numFmtId="2" fontId="23" fillId="31" borderId="123" xfId="7" applyNumberFormat="1" applyFont="1" applyFill="1" applyBorder="1" applyAlignment="1"/>
    <xf numFmtId="0" fontId="23" fillId="3" borderId="100" xfId="7" applyFont="1" applyFill="1" applyBorder="1" applyAlignment="1"/>
    <xf numFmtId="0" fontId="23" fillId="3" borderId="123" xfId="7" applyFont="1" applyFill="1" applyBorder="1" applyAlignment="1"/>
    <xf numFmtId="2" fontId="23" fillId="3" borderId="123" xfId="7" applyNumberFormat="1" applyFont="1" applyFill="1" applyBorder="1" applyAlignment="1">
      <alignment shrinkToFit="1"/>
    </xf>
    <xf numFmtId="1" fontId="23" fillId="3" borderId="123" xfId="7" applyNumberFormat="1" applyFont="1" applyFill="1" applyBorder="1" applyAlignment="1">
      <alignment shrinkToFit="1"/>
    </xf>
    <xf numFmtId="165" fontId="23" fillId="3" borderId="100" xfId="7" applyNumberFormat="1" applyFont="1" applyFill="1" applyBorder="1" applyAlignment="1"/>
    <xf numFmtId="165" fontId="23" fillId="3" borderId="123" xfId="7" applyNumberFormat="1" applyFont="1" applyFill="1" applyBorder="1" applyAlignment="1"/>
    <xf numFmtId="165" fontId="23" fillId="21" borderId="123" xfId="7" applyNumberFormat="1" applyFont="1" applyFill="1" applyBorder="1" applyAlignment="1"/>
    <xf numFmtId="2" fontId="23" fillId="32" borderId="123" xfId="7" applyNumberFormat="1" applyFont="1" applyFill="1" applyBorder="1" applyAlignment="1"/>
    <xf numFmtId="2" fontId="23" fillId="32" borderId="101" xfId="7" applyNumberFormat="1" applyFont="1" applyFill="1" applyBorder="1" applyAlignment="1"/>
    <xf numFmtId="2" fontId="23" fillId="32" borderId="102" xfId="7" applyNumberFormat="1" applyFont="1" applyFill="1" applyBorder="1" applyAlignment="1"/>
    <xf numFmtId="0" fontId="23" fillId="0" borderId="75" xfId="7" applyFont="1" applyBorder="1" applyAlignment="1">
      <alignment horizontal="center"/>
    </xf>
    <xf numFmtId="0" fontId="23" fillId="21" borderId="76" xfId="7" applyFont="1" applyFill="1" applyBorder="1" applyAlignment="1">
      <alignment horizontal="center"/>
    </xf>
    <xf numFmtId="0" fontId="23" fillId="0" borderId="76" xfId="7" applyFont="1" applyBorder="1" applyAlignment="1">
      <alignment horizontal="center"/>
    </xf>
    <xf numFmtId="9" fontId="23" fillId="21" borderId="76" xfId="7" applyNumberFormat="1" applyFont="1" applyFill="1" applyBorder="1" applyAlignment="1"/>
    <xf numFmtId="1" fontId="23" fillId="31" borderId="76" xfId="7" applyNumberFormat="1" applyFont="1" applyFill="1" applyBorder="1" applyAlignment="1"/>
    <xf numFmtId="2" fontId="23" fillId="31" borderId="76" xfId="7" applyNumberFormat="1" applyFont="1" applyFill="1" applyBorder="1" applyAlignment="1"/>
    <xf numFmtId="0" fontId="23" fillId="3" borderId="75" xfId="7" applyFont="1" applyFill="1" applyBorder="1" applyAlignment="1"/>
    <xf numFmtId="0" fontId="23" fillId="3" borderId="76" xfId="7" applyFont="1" applyFill="1" applyBorder="1" applyAlignment="1"/>
    <xf numFmtId="2" fontId="23" fillId="3" borderId="76" xfId="7" applyNumberFormat="1" applyFont="1" applyFill="1" applyBorder="1" applyAlignment="1">
      <alignment shrinkToFit="1"/>
    </xf>
    <xf numFmtId="1" fontId="23" fillId="3" borderId="76" xfId="7" applyNumberFormat="1" applyFont="1" applyFill="1" applyBorder="1" applyAlignment="1">
      <alignment shrinkToFit="1"/>
    </xf>
    <xf numFmtId="165" fontId="23" fillId="3" borderId="75" xfId="7" applyNumberFormat="1" applyFont="1" applyFill="1" applyBorder="1" applyAlignment="1"/>
    <xf numFmtId="165" fontId="23" fillId="3" borderId="76" xfId="7" applyNumberFormat="1" applyFont="1" applyFill="1" applyBorder="1" applyAlignment="1"/>
    <xf numFmtId="165" fontId="23" fillId="21" borderId="76" xfId="7" applyNumberFormat="1" applyFont="1" applyFill="1" applyBorder="1" applyAlignment="1"/>
    <xf numFmtId="2" fontId="23" fillId="32" borderId="76" xfId="7" applyNumberFormat="1" applyFont="1" applyFill="1" applyBorder="1" applyAlignment="1"/>
    <xf numFmtId="2" fontId="23" fillId="32" borderId="77" xfId="7" applyNumberFormat="1" applyFont="1" applyFill="1" applyBorder="1" applyAlignment="1"/>
    <xf numFmtId="2" fontId="23" fillId="32" borderId="85" xfId="7" applyNumberFormat="1" applyFont="1" applyFill="1" applyBorder="1" applyAlignment="1"/>
    <xf numFmtId="1" fontId="23" fillId="31" borderId="86" xfId="7" applyNumberFormat="1" applyFont="1" applyFill="1" applyBorder="1" applyAlignment="1"/>
    <xf numFmtId="2" fontId="23" fillId="31" borderId="86" xfId="7" applyNumberFormat="1" applyFont="1" applyFill="1" applyBorder="1" applyAlignment="1"/>
    <xf numFmtId="2" fontId="23" fillId="31" borderId="106" xfId="7" applyNumberFormat="1" applyFont="1" applyFill="1" applyBorder="1" applyAlignment="1"/>
    <xf numFmtId="0" fontId="24" fillId="21" borderId="184" xfId="7" applyFont="1" applyFill="1" applyBorder="1" applyAlignment="1">
      <alignment vertical="top" shrinkToFit="1"/>
    </xf>
    <xf numFmtId="0" fontId="24" fillId="21" borderId="186" xfId="7" applyFont="1" applyFill="1" applyBorder="1" applyAlignment="1">
      <alignment vertical="top" shrinkToFit="1"/>
    </xf>
    <xf numFmtId="0" fontId="24" fillId="21" borderId="184" xfId="7" applyFont="1" applyFill="1" applyBorder="1" applyAlignment="1">
      <alignment vertical="center" shrinkToFit="1"/>
    </xf>
    <xf numFmtId="0" fontId="24" fillId="21" borderId="186" xfId="7" applyFont="1" applyFill="1" applyBorder="1" applyAlignment="1">
      <alignment vertical="center" shrinkToFit="1"/>
    </xf>
    <xf numFmtId="0" fontId="20" fillId="8" borderId="226" xfId="0" applyFont="1" applyFill="1" applyBorder="1" applyAlignment="1">
      <alignment vertical="center"/>
    </xf>
    <xf numFmtId="0" fontId="24" fillId="8" borderId="223" xfId="0" applyFont="1" applyFill="1" applyBorder="1" applyAlignment="1">
      <alignment vertical="center"/>
    </xf>
    <xf numFmtId="0" fontId="18" fillId="44" borderId="93" xfId="7" applyFont="1" applyFill="1" applyBorder="1" applyAlignment="1"/>
    <xf numFmtId="0" fontId="18" fillId="44" borderId="187" xfId="7" applyFont="1" applyFill="1" applyBorder="1" applyAlignment="1"/>
    <xf numFmtId="0" fontId="18" fillId="63" borderId="187" xfId="7" applyFont="1" applyFill="1" applyBorder="1" applyAlignment="1"/>
    <xf numFmtId="0" fontId="21" fillId="4" borderId="202" xfId="1" applyFont="1" applyFill="1" applyBorder="1" applyAlignment="1">
      <alignment horizontal="center" vertical="center" wrapText="1"/>
    </xf>
    <xf numFmtId="0" fontId="18" fillId="0" borderId="0" xfId="0" applyFont="1" applyAlignment="1"/>
    <xf numFmtId="0" fontId="18" fillId="0" borderId="0" xfId="0" quotePrefix="1" applyFont="1" applyAlignment="1">
      <alignment horizontal="right"/>
    </xf>
    <xf numFmtId="0" fontId="29" fillId="0" borderId="155" xfId="0" quotePrefix="1" applyFont="1" applyBorder="1" applyAlignment="1">
      <alignment horizontal="center" vertical="center"/>
    </xf>
    <xf numFmtId="0" fontId="20" fillId="0" borderId="155" xfId="0" applyFont="1" applyFill="1" applyBorder="1" applyAlignment="1">
      <alignment horizontal="center" vertical="center"/>
    </xf>
    <xf numFmtId="0" fontId="20" fillId="0" borderId="0" xfId="0" applyFont="1" applyFill="1" applyBorder="1" applyAlignment="1">
      <alignment horizontal="center" vertical="center"/>
    </xf>
    <xf numFmtId="0" fontId="23" fillId="0" borderId="0" xfId="0" applyFont="1" applyBorder="1" applyAlignment="1">
      <alignment horizontal="left" vertical="center" wrapText="1"/>
    </xf>
    <xf numFmtId="0" fontId="23" fillId="0" borderId="185" xfId="0" applyFont="1" applyBorder="1" applyAlignment="1">
      <alignment horizontal="left" vertical="center" wrapText="1"/>
    </xf>
    <xf numFmtId="0" fontId="23" fillId="0" borderId="178" xfId="0" applyFont="1" applyBorder="1" applyAlignment="1">
      <alignment horizontal="left" vertical="center" wrapText="1"/>
    </xf>
    <xf numFmtId="0" fontId="16" fillId="0" borderId="0" xfId="0" applyFont="1" applyBorder="1" applyAlignment="1">
      <alignment vertical="center" shrinkToFit="1"/>
    </xf>
    <xf numFmtId="0" fontId="20" fillId="8" borderId="173" xfId="0" applyFont="1" applyFill="1" applyBorder="1" applyAlignment="1">
      <alignment horizontal="center"/>
    </xf>
    <xf numFmtId="0" fontId="18" fillId="21" borderId="229" xfId="7" applyFont="1" applyFill="1" applyBorder="1" applyAlignment="1" applyProtection="1">
      <alignment horizontal="center" vertical="center"/>
      <protection locked="0"/>
    </xf>
    <xf numFmtId="0" fontId="18" fillId="29" borderId="227" xfId="1" applyFont="1" applyFill="1" applyBorder="1" applyAlignment="1">
      <alignment horizontal="center" vertical="center"/>
    </xf>
    <xf numFmtId="0" fontId="18" fillId="29" borderId="134" xfId="1" applyFont="1" applyFill="1" applyBorder="1" applyAlignment="1">
      <alignment horizontal="center" vertical="center"/>
    </xf>
    <xf numFmtId="0" fontId="18" fillId="21" borderId="134" xfId="1" applyFont="1" applyFill="1" applyBorder="1" applyAlignment="1">
      <alignment horizontal="center" vertical="center"/>
    </xf>
    <xf numFmtId="0" fontId="18" fillId="21" borderId="136" xfId="1" applyFont="1" applyFill="1" applyBorder="1" applyAlignment="1">
      <alignment horizontal="center" vertical="center"/>
    </xf>
    <xf numFmtId="0" fontId="21" fillId="4" borderId="211" xfId="1" applyFont="1" applyFill="1" applyBorder="1" applyAlignment="1">
      <alignment horizontal="center" vertical="center"/>
    </xf>
    <xf numFmtId="0" fontId="28" fillId="15" borderId="230" xfId="0" applyFont="1" applyFill="1" applyBorder="1" applyAlignment="1">
      <alignment horizontal="center" vertical="center"/>
    </xf>
    <xf numFmtId="0" fontId="28" fillId="15" borderId="228" xfId="0" applyFont="1" applyFill="1" applyBorder="1" applyAlignment="1">
      <alignment horizontal="center" vertical="center"/>
    </xf>
    <xf numFmtId="0" fontId="15" fillId="0" borderId="228" xfId="0" applyFont="1" applyBorder="1" applyAlignment="1">
      <alignment horizontal="center" vertical="center"/>
    </xf>
    <xf numFmtId="49" fontId="15" fillId="58" borderId="228" xfId="0" applyNumberFormat="1" applyFont="1" applyFill="1" applyBorder="1" applyAlignment="1">
      <alignment horizontal="center" vertical="center"/>
    </xf>
    <xf numFmtId="49" fontId="15" fillId="0" borderId="228" xfId="0" applyNumberFormat="1" applyFont="1" applyBorder="1" applyAlignment="1">
      <alignment horizontal="center" vertical="center"/>
    </xf>
    <xf numFmtId="49" fontId="15" fillId="58" borderId="231" xfId="0" applyNumberFormat="1" applyFont="1" applyFill="1" applyBorder="1" applyAlignment="1">
      <alignment horizontal="center" vertical="center"/>
    </xf>
    <xf numFmtId="0" fontId="18" fillId="0" borderId="155" xfId="1" applyFont="1" applyFill="1" applyBorder="1"/>
    <xf numFmtId="0" fontId="18" fillId="21" borderId="80" xfId="1" applyFont="1" applyFill="1" applyBorder="1" applyAlignment="1">
      <alignment horizontal="center" vertical="center"/>
    </xf>
    <xf numFmtId="0" fontId="18" fillId="0" borderId="0" xfId="0" quotePrefix="1" applyFont="1" applyAlignment="1">
      <alignment horizontal="right" vertical="top"/>
    </xf>
    <xf numFmtId="0" fontId="27" fillId="0" borderId="0" xfId="0" applyFont="1" applyAlignment="1">
      <alignment horizontal="right"/>
    </xf>
    <xf numFmtId="0" fontId="18" fillId="9" borderId="0" xfId="1" applyFont="1" applyFill="1" applyAlignment="1">
      <alignment horizontal="center" vertical="center" shrinkToFit="1"/>
    </xf>
    <xf numFmtId="0" fontId="59" fillId="8" borderId="0" xfId="0" applyFont="1" applyFill="1" applyBorder="1" applyAlignment="1">
      <alignment vertical="top" wrapText="1"/>
    </xf>
    <xf numFmtId="0" fontId="59" fillId="8" borderId="0" xfId="0" applyFont="1" applyFill="1" applyBorder="1"/>
    <xf numFmtId="0" fontId="14" fillId="12" borderId="238" xfId="1" applyFont="1" applyFill="1" applyBorder="1" applyAlignment="1" applyProtection="1">
      <alignment horizontal="center"/>
      <protection locked="0"/>
    </xf>
    <xf numFmtId="0" fontId="14" fillId="13" borderId="239" xfId="1" applyFont="1" applyFill="1" applyBorder="1" applyAlignment="1" applyProtection="1">
      <alignment horizontal="center"/>
      <protection locked="0"/>
    </xf>
    <xf numFmtId="0" fontId="14" fillId="12" borderId="239" xfId="1" applyFont="1" applyFill="1" applyBorder="1" applyAlignment="1" applyProtection="1">
      <alignment horizontal="center"/>
      <protection locked="0"/>
    </xf>
    <xf numFmtId="0" fontId="14" fillId="13" borderId="240" xfId="1" applyFont="1" applyFill="1" applyBorder="1" applyAlignment="1" applyProtection="1">
      <alignment horizontal="center"/>
      <protection locked="0"/>
    </xf>
    <xf numFmtId="0" fontId="20" fillId="19" borderId="58" xfId="1" applyFont="1" applyFill="1" applyBorder="1" applyAlignment="1">
      <alignment horizontal="center" vertical="center" shrinkToFit="1"/>
    </xf>
    <xf numFmtId="0" fontId="59" fillId="8" borderId="243" xfId="0" applyFont="1" applyFill="1" applyBorder="1"/>
    <xf numFmtId="0" fontId="58" fillId="0" borderId="245" xfId="0" applyFont="1" applyBorder="1"/>
    <xf numFmtId="168" fontId="14" fillId="0" borderId="77" xfId="1" applyNumberFormat="1" applyFont="1" applyBorder="1" applyAlignment="1" applyProtection="1">
      <alignment horizontal="center" wrapText="1"/>
      <protection locked="0"/>
    </xf>
    <xf numFmtId="168" fontId="14" fillId="12" borderId="77" xfId="1" applyNumberFormat="1" applyFont="1" applyFill="1" applyBorder="1" applyAlignment="1" applyProtection="1">
      <alignment horizontal="center" wrapText="1"/>
      <protection locked="0"/>
    </xf>
    <xf numFmtId="168" fontId="14" fillId="12" borderId="242" xfId="1" applyNumberFormat="1" applyFont="1" applyFill="1" applyBorder="1" applyAlignment="1" applyProtection="1">
      <alignment horizontal="center" wrapText="1"/>
      <protection locked="0"/>
    </xf>
    <xf numFmtId="0" fontId="58" fillId="0" borderId="241" xfId="0" applyFont="1" applyBorder="1" applyAlignment="1">
      <alignment wrapText="1"/>
    </xf>
    <xf numFmtId="167" fontId="16" fillId="11" borderId="249" xfId="1" applyNumberFormat="1" applyFont="1" applyFill="1" applyBorder="1" applyAlignment="1">
      <alignment horizontal="center" shrinkToFit="1"/>
    </xf>
    <xf numFmtId="0" fontId="18" fillId="0" borderId="0" xfId="0" applyFont="1"/>
    <xf numFmtId="0" fontId="18" fillId="0" borderId="0" xfId="0" applyFont="1"/>
    <xf numFmtId="0" fontId="18" fillId="0" borderId="0" xfId="0" applyFont="1"/>
    <xf numFmtId="0" fontId="27" fillId="0" borderId="0" xfId="0" applyFont="1"/>
    <xf numFmtId="0" fontId="23" fillId="0" borderId="0" xfId="7" applyFont="1" applyAlignment="1">
      <alignment horizontal="left" wrapText="1"/>
    </xf>
    <xf numFmtId="0" fontId="3" fillId="0" borderId="0" xfId="0" applyFont="1" applyAlignment="1">
      <alignment horizontal="left" wrapText="1"/>
    </xf>
    <xf numFmtId="167" fontId="52" fillId="0" borderId="62" xfId="7" applyNumberFormat="1" applyFont="1" applyBorder="1" applyAlignment="1" applyProtection="1">
      <alignment horizontal="center" vertical="center" wrapText="1"/>
      <protection locked="0"/>
    </xf>
    <xf numFmtId="0" fontId="36" fillId="0" borderId="232" xfId="7" applyFont="1" applyBorder="1" applyAlignment="1" applyProtection="1">
      <alignment vertical="center" wrapText="1"/>
      <protection locked="0"/>
    </xf>
    <xf numFmtId="0" fontId="52" fillId="9" borderId="232" xfId="7" applyFont="1" applyFill="1" applyBorder="1" applyAlignment="1">
      <alignment horizontal="right" vertical="center" wrapText="1"/>
    </xf>
    <xf numFmtId="0" fontId="53" fillId="0" borderId="232" xfId="0" applyFont="1" applyBorder="1" applyAlignment="1" applyProtection="1">
      <alignment vertical="center" wrapText="1"/>
      <protection locked="0"/>
    </xf>
    <xf numFmtId="0" fontId="52" fillId="9" borderId="244" xfId="7" applyFont="1" applyFill="1" applyBorder="1" applyAlignment="1">
      <alignment horizontal="center" vertical="center" wrapText="1"/>
    </xf>
    <xf numFmtId="14" fontId="36" fillId="0" borderId="244" xfId="7" applyNumberFormat="1" applyFont="1" applyBorder="1" applyAlignment="1" applyProtection="1">
      <alignment horizontal="center" vertical="center" wrapText="1"/>
      <protection locked="0"/>
    </xf>
    <xf numFmtId="0" fontId="25" fillId="0" borderId="0" xfId="7" applyFont="1" applyBorder="1" applyAlignment="1" applyProtection="1">
      <alignment vertical="top" wrapText="1"/>
      <protection locked="0"/>
    </xf>
    <xf numFmtId="0" fontId="54" fillId="0" borderId="62" xfId="0" applyFont="1" applyBorder="1" applyAlignment="1" applyProtection="1">
      <alignment vertical="center" wrapText="1"/>
      <protection locked="0"/>
    </xf>
    <xf numFmtId="0" fontId="55" fillId="59" borderId="181" xfId="0" applyFont="1" applyFill="1" applyBorder="1" applyAlignment="1">
      <alignment horizontal="right" vertical="center" wrapText="1"/>
    </xf>
    <xf numFmtId="0" fontId="54" fillId="0" borderId="232" xfId="0" applyFont="1" applyBorder="1" applyAlignment="1" applyProtection="1">
      <alignment vertical="center" wrapText="1"/>
      <protection locked="0"/>
    </xf>
    <xf numFmtId="0" fontId="55" fillId="0" borderId="232" xfId="0" applyFont="1" applyBorder="1" applyAlignment="1" applyProtection="1">
      <alignment vertical="center" wrapText="1"/>
      <protection locked="0"/>
    </xf>
    <xf numFmtId="0" fontId="55" fillId="59" borderId="244" xfId="0" applyFont="1" applyFill="1" applyBorder="1" applyAlignment="1">
      <alignment horizontal="center" vertical="center" wrapText="1"/>
    </xf>
    <xf numFmtId="14" fontId="54" fillId="0" borderId="244" xfId="0" applyNumberFormat="1" applyFont="1" applyBorder="1" applyAlignment="1" applyProtection="1">
      <alignment horizontal="center" vertical="center" wrapText="1"/>
      <protection locked="0"/>
    </xf>
    <xf numFmtId="0" fontId="55" fillId="59" borderId="232" xfId="0" applyFont="1" applyFill="1" applyBorder="1" applyAlignment="1">
      <alignment horizontal="right" vertical="center" wrapText="1"/>
    </xf>
    <xf numFmtId="0" fontId="29" fillId="0" borderId="0" xfId="7" applyFont="1" applyBorder="1" applyAlignment="1" applyProtection="1">
      <alignment vertical="top" wrapText="1"/>
      <protection locked="0"/>
    </xf>
    <xf numFmtId="0" fontId="54" fillId="0" borderId="258" xfId="0" applyFont="1" applyBorder="1" applyAlignment="1" applyProtection="1">
      <alignment vertical="center" wrapText="1"/>
      <protection locked="0"/>
    </xf>
    <xf numFmtId="0" fontId="18" fillId="9" borderId="61" xfId="0" applyFont="1" applyFill="1" applyBorder="1" applyAlignment="1">
      <alignment horizontal="right" vertical="top"/>
    </xf>
    <xf numFmtId="0" fontId="18" fillId="9" borderId="62" xfId="0" applyFont="1" applyFill="1" applyBorder="1" applyAlignment="1">
      <alignment horizontal="center" vertical="center" wrapText="1"/>
    </xf>
    <xf numFmtId="0" fontId="16" fillId="0" borderId="62" xfId="0" applyFont="1" applyBorder="1" applyAlignment="1">
      <alignment shrinkToFit="1"/>
    </xf>
    <xf numFmtId="0" fontId="18" fillId="0" borderId="62" xfId="0" applyFont="1" applyFill="1" applyBorder="1" applyAlignment="1">
      <alignment horizontal="center" vertical="center" wrapText="1"/>
    </xf>
    <xf numFmtId="0" fontId="16" fillId="0" borderId="62" xfId="0" applyFont="1" applyBorder="1" applyAlignment="1">
      <alignment horizontal="center" shrinkToFit="1"/>
    </xf>
    <xf numFmtId="0" fontId="15" fillId="0" borderId="63" xfId="0" applyFont="1" applyFill="1" applyBorder="1" applyAlignment="1">
      <alignment horizontal="center" vertical="center" wrapText="1"/>
    </xf>
    <xf numFmtId="0" fontId="18" fillId="9" borderId="181" xfId="0" applyFont="1" applyFill="1" applyBorder="1" applyAlignment="1">
      <alignment horizontal="right" vertical="top"/>
    </xf>
    <xf numFmtId="0" fontId="18" fillId="9" borderId="324" xfId="0" applyFont="1" applyFill="1" applyBorder="1" applyAlignment="1">
      <alignment horizontal="right" vertical="top"/>
    </xf>
    <xf numFmtId="0" fontId="18" fillId="9" borderId="327" xfId="0" applyFont="1" applyFill="1" applyBorder="1" applyAlignment="1">
      <alignment horizontal="right" vertical="top"/>
    </xf>
    <xf numFmtId="0" fontId="18" fillId="0" borderId="0" xfId="0" applyFont="1" applyFill="1" applyBorder="1" applyAlignment="1">
      <alignment horizontal="right" vertical="top"/>
    </xf>
    <xf numFmtId="0" fontId="18" fillId="0" borderId="0" xfId="0" applyFont="1" applyBorder="1" applyAlignment="1">
      <alignment horizontal="center" wrapText="1"/>
    </xf>
    <xf numFmtId="0" fontId="18" fillId="0" borderId="0" xfId="0" applyFont="1" applyFill="1" applyBorder="1" applyAlignment="1">
      <alignment horizontal="center" vertical="center" wrapText="1"/>
    </xf>
    <xf numFmtId="0" fontId="18" fillId="9" borderId="166" xfId="0" applyFont="1" applyFill="1" applyBorder="1" applyAlignment="1">
      <alignment horizontal="center" vertical="center" wrapText="1"/>
    </xf>
    <xf numFmtId="0" fontId="18" fillId="0" borderId="166" xfId="0" applyFont="1" applyFill="1" applyBorder="1" applyAlignment="1">
      <alignment horizontal="center" vertical="center" wrapText="1"/>
    </xf>
    <xf numFmtId="0" fontId="18" fillId="2" borderId="0" xfId="1" applyFont="1" applyFill="1" applyAlignment="1">
      <alignment horizontal="center"/>
    </xf>
    <xf numFmtId="0" fontId="35" fillId="4" borderId="330" xfId="1" applyFont="1" applyFill="1" applyBorder="1" applyAlignment="1">
      <alignment horizontal="center" vertical="center"/>
    </xf>
    <xf numFmtId="1" fontId="14" fillId="12" borderId="75" xfId="1" applyNumberFormat="1" applyFont="1" applyFill="1" applyBorder="1" applyAlignment="1" applyProtection="1">
      <alignment horizontal="center"/>
      <protection locked="0"/>
    </xf>
    <xf numFmtId="0" fontId="18" fillId="9" borderId="0" xfId="1" applyFont="1" applyFill="1" applyBorder="1" applyAlignment="1">
      <alignment horizontal="center" vertical="center" shrinkToFit="1"/>
    </xf>
    <xf numFmtId="0" fontId="16" fillId="0" borderId="166" xfId="0" applyFont="1" applyBorder="1" applyAlignment="1">
      <alignment horizontal="center" shrinkToFit="1"/>
    </xf>
    <xf numFmtId="0" fontId="15" fillId="0" borderId="331" xfId="0" applyFont="1" applyFill="1" applyBorder="1" applyAlignment="1">
      <alignment horizontal="center" vertical="center" wrapText="1"/>
    </xf>
    <xf numFmtId="0" fontId="18" fillId="0" borderId="267" xfId="1" applyFont="1" applyBorder="1" applyAlignment="1"/>
    <xf numFmtId="0" fontId="18" fillId="0" borderId="270" xfId="1" applyFont="1" applyBorder="1" applyAlignment="1"/>
    <xf numFmtId="0" fontId="18" fillId="0" borderId="271" xfId="1" applyFont="1" applyBorder="1" applyAlignment="1"/>
    <xf numFmtId="0" fontId="18" fillId="0" borderId="243" xfId="1" applyFont="1" applyBorder="1" applyAlignment="1"/>
    <xf numFmtId="0" fontId="18" fillId="0" borderId="333" xfId="1" applyFont="1" applyBorder="1" applyAlignment="1"/>
    <xf numFmtId="0" fontId="18" fillId="0" borderId="245" xfId="1" applyFont="1" applyBorder="1"/>
    <xf numFmtId="0" fontId="18" fillId="0" borderId="245" xfId="1" applyFont="1" applyBorder="1" applyAlignment="1"/>
    <xf numFmtId="0" fontId="18" fillId="0" borderId="246" xfId="1" applyFont="1" applyBorder="1"/>
    <xf numFmtId="0" fontId="15" fillId="0" borderId="0" xfId="1" applyFont="1" applyAlignment="1">
      <alignment shrinkToFit="1"/>
    </xf>
    <xf numFmtId="0" fontId="19" fillId="0" borderId="0" xfId="1" applyFont="1" applyAlignment="1">
      <alignment vertical="center" wrapText="1" shrinkToFit="1"/>
    </xf>
    <xf numFmtId="0" fontId="55" fillId="0" borderId="232" xfId="0" applyFont="1" applyBorder="1" applyAlignment="1" applyProtection="1">
      <alignment vertical="center" wrapText="1"/>
      <protection locked="0"/>
    </xf>
    <xf numFmtId="0" fontId="17" fillId="26" borderId="0" xfId="7" applyFont="1" applyFill="1" applyBorder="1" applyAlignment="1">
      <alignment horizontal="center" vertical="center" shrinkToFit="1"/>
    </xf>
    <xf numFmtId="0" fontId="20" fillId="26" borderId="245" xfId="0" applyFont="1" applyFill="1" applyBorder="1" applyAlignment="1">
      <alignment horizontal="center" vertical="center"/>
    </xf>
    <xf numFmtId="14" fontId="18" fillId="11" borderId="46" xfId="1" applyNumberFormat="1" applyFont="1" applyFill="1" applyBorder="1" applyAlignment="1">
      <alignment horizontal="center" vertical="center" shrinkToFit="1"/>
    </xf>
    <xf numFmtId="0" fontId="15" fillId="0" borderId="334" xfId="1" applyFont="1" applyBorder="1"/>
    <xf numFmtId="0" fontId="15" fillId="0" borderId="271" xfId="1" applyFont="1" applyBorder="1"/>
    <xf numFmtId="0" fontId="15" fillId="0" borderId="243" xfId="1" applyFont="1" applyBorder="1"/>
    <xf numFmtId="0" fontId="15" fillId="0" borderId="58" xfId="1" applyFont="1" applyBorder="1"/>
    <xf numFmtId="0" fontId="15" fillId="0" borderId="333" xfId="1" applyFont="1" applyBorder="1"/>
    <xf numFmtId="49" fontId="28" fillId="0" borderId="245" xfId="1" applyNumberFormat="1" applyFont="1" applyBorder="1"/>
    <xf numFmtId="0" fontId="15" fillId="0" borderId="245" xfId="1" applyFont="1" applyBorder="1" applyAlignment="1">
      <alignment shrinkToFit="1"/>
    </xf>
    <xf numFmtId="0" fontId="15" fillId="0" borderId="336" xfId="1" applyFont="1" applyBorder="1"/>
    <xf numFmtId="0" fontId="41" fillId="0" borderId="337" xfId="7" applyFont="1" applyFill="1" applyBorder="1" applyAlignment="1">
      <alignment horizontal="center" vertical="center"/>
    </xf>
    <xf numFmtId="0" fontId="41" fillId="0" borderId="337" xfId="0" applyFont="1" applyBorder="1" applyAlignment="1">
      <alignment horizontal="center" vertical="center"/>
    </xf>
    <xf numFmtId="0" fontId="41" fillId="0" borderId="344" xfId="0" applyFont="1" applyBorder="1" applyAlignment="1">
      <alignment horizontal="center" vertical="center"/>
    </xf>
    <xf numFmtId="0" fontId="29" fillId="0" borderId="345" xfId="7" applyFont="1" applyFill="1" applyBorder="1" applyAlignment="1">
      <alignment horizontal="center" vertical="center"/>
    </xf>
    <xf numFmtId="0" fontId="29" fillId="0" borderId="135" xfId="7" applyFont="1" applyFill="1" applyBorder="1" applyAlignment="1">
      <alignment horizontal="center" vertical="center"/>
    </xf>
    <xf numFmtId="0" fontId="29" fillId="0" borderId="343" xfId="7" applyFont="1" applyFill="1" applyBorder="1" applyAlignment="1">
      <alignment horizontal="center" vertical="center"/>
    </xf>
    <xf numFmtId="49" fontId="18" fillId="0" borderId="20" xfId="1" applyNumberFormat="1" applyFont="1" applyBorder="1" applyAlignment="1">
      <alignment vertical="center"/>
    </xf>
    <xf numFmtId="49" fontId="18" fillId="21" borderId="76" xfId="1" applyNumberFormat="1" applyFont="1" applyFill="1" applyBorder="1" applyAlignment="1">
      <alignment vertical="center"/>
    </xf>
    <xf numFmtId="49" fontId="18" fillId="21" borderId="134" xfId="1" applyNumberFormat="1" applyFont="1" applyFill="1" applyBorder="1" applyAlignment="1">
      <alignment vertical="center"/>
    </xf>
    <xf numFmtId="0" fontId="25" fillId="0" borderId="57" xfId="7" applyFont="1" applyFill="1" applyBorder="1" applyAlignment="1">
      <alignment horizontal="center" vertical="center"/>
    </xf>
    <xf numFmtId="0" fontId="25" fillId="0" borderId="337" xfId="7" applyFont="1" applyFill="1" applyBorder="1" applyAlignment="1">
      <alignment horizontal="center" vertical="center"/>
    </xf>
    <xf numFmtId="0" fontId="63" fillId="0" borderId="337" xfId="7" applyFont="1" applyFill="1" applyBorder="1" applyAlignment="1">
      <alignment horizontal="center" vertical="center"/>
    </xf>
    <xf numFmtId="0" fontId="25" fillId="0" borderId="337" xfId="0" applyFont="1" applyBorder="1" applyAlignment="1">
      <alignment horizontal="center" vertical="center"/>
    </xf>
    <xf numFmtId="0" fontId="29" fillId="23" borderId="337" xfId="0" applyFont="1" applyFill="1" applyBorder="1" applyAlignment="1">
      <alignment horizontal="center" vertical="center"/>
    </xf>
    <xf numFmtId="0" fontId="25" fillId="23" borderId="57" xfId="7" applyFont="1" applyFill="1" applyBorder="1" applyAlignment="1">
      <alignment horizontal="center" vertical="center"/>
    </xf>
    <xf numFmtId="0" fontId="29" fillId="23" borderId="135" xfId="7" applyFont="1" applyFill="1" applyBorder="1" applyAlignment="1">
      <alignment horizontal="center" vertical="center"/>
    </xf>
    <xf numFmtId="0" fontId="29" fillId="23" borderId="343" xfId="7" applyFont="1" applyFill="1" applyBorder="1" applyAlignment="1">
      <alignment horizontal="center" vertical="center"/>
    </xf>
    <xf numFmtId="0" fontId="25" fillId="23" borderId="337" xfId="7" applyFont="1" applyFill="1" applyBorder="1" applyAlignment="1">
      <alignment horizontal="center" vertical="center"/>
    </xf>
    <xf numFmtId="0" fontId="63" fillId="23" borderId="337" xfId="7" applyFont="1" applyFill="1" applyBorder="1" applyAlignment="1">
      <alignment horizontal="center" vertical="center"/>
    </xf>
    <xf numFmtId="0" fontId="41" fillId="23" borderId="344" xfId="0" applyFont="1" applyFill="1" applyBorder="1" applyAlignment="1">
      <alignment horizontal="center" vertical="center"/>
    </xf>
    <xf numFmtId="0" fontId="41" fillId="23" borderId="344" xfId="7" applyFont="1" applyFill="1" applyBorder="1" applyAlignment="1">
      <alignment horizontal="center" vertical="center"/>
    </xf>
    <xf numFmtId="0" fontId="19" fillId="23" borderId="337" xfId="7" applyFont="1" applyFill="1" applyBorder="1" applyAlignment="1">
      <alignment horizontal="center" vertical="center"/>
    </xf>
    <xf numFmtId="0" fontId="63" fillId="0" borderId="344" xfId="7" applyFont="1" applyFill="1" applyBorder="1" applyAlignment="1">
      <alignment horizontal="center" vertical="center"/>
    </xf>
    <xf numFmtId="0" fontId="21" fillId="4" borderId="34" xfId="1" applyFont="1" applyFill="1" applyBorder="1" applyAlignment="1">
      <alignment horizontal="center"/>
    </xf>
    <xf numFmtId="2" fontId="23" fillId="3" borderId="340" xfId="7" applyNumberFormat="1" applyFont="1" applyFill="1" applyBorder="1" applyAlignment="1">
      <alignment shrinkToFit="1"/>
    </xf>
    <xf numFmtId="2" fontId="23" fillId="31" borderId="359" xfId="7" applyNumberFormat="1" applyFont="1" applyFill="1" applyBorder="1" applyAlignment="1"/>
    <xf numFmtId="1" fontId="23" fillId="3" borderId="122" xfId="7" applyNumberFormat="1" applyFont="1" applyFill="1" applyBorder="1" applyAlignment="1">
      <alignment shrinkToFit="1"/>
    </xf>
    <xf numFmtId="2" fontId="23" fillId="3" borderId="122" xfId="7" applyNumberFormat="1" applyFont="1" applyFill="1" applyBorder="1" applyAlignment="1">
      <alignment shrinkToFit="1"/>
    </xf>
    <xf numFmtId="1" fontId="23" fillId="3" borderId="338" xfId="7" applyNumberFormat="1" applyFont="1" applyFill="1" applyBorder="1" applyAlignment="1">
      <alignment shrinkToFit="1"/>
    </xf>
    <xf numFmtId="2" fontId="23" fillId="3" borderId="338" xfId="7" applyNumberFormat="1" applyFont="1" applyFill="1" applyBorder="1" applyAlignment="1">
      <alignment shrinkToFit="1"/>
    </xf>
    <xf numFmtId="2" fontId="23" fillId="32" borderId="358" xfId="7" applyNumberFormat="1" applyFont="1" applyFill="1" applyBorder="1" applyAlignment="1"/>
    <xf numFmtId="2" fontId="23" fillId="32" borderId="98" xfId="7" applyNumberFormat="1" applyFont="1" applyFill="1" applyBorder="1" applyAlignment="1"/>
    <xf numFmtId="2" fontId="23" fillId="32" borderId="338" xfId="7" applyNumberFormat="1" applyFont="1" applyFill="1" applyBorder="1" applyAlignment="1"/>
    <xf numFmtId="0" fontId="27" fillId="0" borderId="0" xfId="0" applyFont="1" applyAlignment="1">
      <alignment horizontal="left"/>
    </xf>
    <xf numFmtId="0" fontId="18" fillId="0" borderId="0" xfId="0" applyFont="1" applyAlignment="1">
      <alignment horizontal="left"/>
    </xf>
    <xf numFmtId="0" fontId="65" fillId="3" borderId="0" xfId="2" applyFont="1" applyFill="1" applyAlignment="1">
      <alignment vertical="center" wrapText="1"/>
    </xf>
    <xf numFmtId="0" fontId="65" fillId="0" borderId="0" xfId="2" applyFont="1" applyAlignment="1">
      <alignment vertical="center" wrapText="1"/>
    </xf>
    <xf numFmtId="0" fontId="65" fillId="3" borderId="0" xfId="2" applyFont="1" applyFill="1"/>
    <xf numFmtId="0" fontId="65" fillId="0" borderId="0" xfId="2" applyFont="1"/>
    <xf numFmtId="0" fontId="65" fillId="0" borderId="338" xfId="8" applyFont="1" applyFill="1" applyBorder="1" applyAlignment="1" applyProtection="1">
      <alignment horizontal="center"/>
      <protection locked="0"/>
    </xf>
    <xf numFmtId="0" fontId="68" fillId="21" borderId="41" xfId="8" applyFont="1" applyFill="1" applyBorder="1" applyAlignment="1">
      <alignment horizontal="center" vertical="top"/>
    </xf>
    <xf numFmtId="0" fontId="69" fillId="3" borderId="0" xfId="2" applyFont="1" applyFill="1" applyAlignment="1">
      <alignment vertical="top"/>
    </xf>
    <xf numFmtId="0" fontId="69" fillId="0" borderId="0" xfId="2" applyFont="1" applyAlignment="1">
      <alignment vertical="top"/>
    </xf>
    <xf numFmtId="0" fontId="67" fillId="29" borderId="286" xfId="2" applyFont="1" applyFill="1" applyBorder="1" applyAlignment="1">
      <alignment horizontal="center"/>
    </xf>
    <xf numFmtId="0" fontId="67" fillId="29" borderId="253" xfId="8" applyFont="1" applyFill="1" applyBorder="1" applyAlignment="1">
      <alignment horizontal="center"/>
    </xf>
    <xf numFmtId="0" fontId="65" fillId="3" borderId="0" xfId="2" applyFont="1" applyFill="1" applyBorder="1"/>
    <xf numFmtId="0" fontId="65" fillId="0" borderId="0" xfId="2" applyFont="1" applyBorder="1"/>
    <xf numFmtId="0" fontId="67" fillId="21" borderId="293" xfId="2" applyFont="1" applyFill="1" applyBorder="1" applyAlignment="1">
      <alignment horizontal="center"/>
    </xf>
    <xf numFmtId="0" fontId="67" fillId="21" borderId="80" xfId="2" applyFont="1" applyFill="1" applyBorder="1" applyAlignment="1">
      <alignment horizontal="center"/>
    </xf>
    <xf numFmtId="0" fontId="67" fillId="21" borderId="239" xfId="2" applyFont="1" applyFill="1" applyBorder="1" applyAlignment="1">
      <alignment horizontal="center"/>
    </xf>
    <xf numFmtId="0" fontId="68" fillId="29" borderId="239" xfId="2" applyFont="1" applyFill="1" applyBorder="1" applyAlignment="1">
      <alignment horizontal="center"/>
    </xf>
    <xf numFmtId="0" fontId="67" fillId="29" borderId="76" xfId="2" applyFont="1" applyFill="1" applyBorder="1" applyAlignment="1">
      <alignment horizontal="center"/>
    </xf>
    <xf numFmtId="0" fontId="67" fillId="29" borderId="76" xfId="8" applyFont="1" applyFill="1" applyBorder="1" applyAlignment="1">
      <alignment horizontal="center"/>
    </xf>
    <xf numFmtId="0" fontId="71" fillId="21" borderId="239" xfId="2" applyFont="1" applyFill="1" applyBorder="1" applyAlignment="1">
      <alignment horizontal="center"/>
    </xf>
    <xf numFmtId="0" fontId="65" fillId="3" borderId="77" xfId="8" applyFont="1" applyFill="1" applyBorder="1" applyAlignment="1" applyProtection="1">
      <alignment horizontal="left"/>
      <protection locked="0"/>
    </xf>
    <xf numFmtId="0" fontId="65" fillId="3" borderId="78" xfId="8" applyFont="1" applyFill="1" applyBorder="1" applyAlignment="1">
      <alignment horizontal="left"/>
    </xf>
    <xf numFmtId="0" fontId="65" fillId="3" borderId="350" xfId="8" applyFont="1" applyFill="1" applyBorder="1" applyAlignment="1">
      <alignment horizontal="left"/>
    </xf>
    <xf numFmtId="0" fontId="65" fillId="3" borderId="79" xfId="8" applyFont="1" applyFill="1" applyBorder="1" applyAlignment="1">
      <alignment horizontal="left"/>
    </xf>
    <xf numFmtId="0" fontId="65" fillId="3" borderId="50" xfId="8" applyFont="1" applyFill="1" applyBorder="1" applyAlignment="1" applyProtection="1">
      <alignment horizontal="left"/>
      <protection locked="0"/>
    </xf>
    <xf numFmtId="0" fontId="65" fillId="3" borderId="51" xfId="8" applyFont="1" applyFill="1" applyBorder="1" applyAlignment="1">
      <alignment horizontal="left"/>
    </xf>
    <xf numFmtId="0" fontId="65" fillId="3" borderId="52" xfId="8" applyFont="1" applyFill="1" applyBorder="1" applyAlignment="1">
      <alignment horizontal="left"/>
    </xf>
    <xf numFmtId="0" fontId="72" fillId="3" borderId="0" xfId="2" applyFont="1" applyFill="1"/>
    <xf numFmtId="0" fontId="71" fillId="21" borderId="296" xfId="2" applyFont="1" applyFill="1" applyBorder="1" applyAlignment="1">
      <alignment horizontal="center"/>
    </xf>
    <xf numFmtId="0" fontId="65" fillId="3" borderId="81" xfId="8" applyFont="1" applyFill="1" applyBorder="1" applyAlignment="1">
      <alignment horizontal="left"/>
    </xf>
    <xf numFmtId="0" fontId="65" fillId="3" borderId="82" xfId="8" applyFont="1" applyFill="1" applyBorder="1" applyAlignment="1">
      <alignment horizontal="left"/>
    </xf>
    <xf numFmtId="0" fontId="71" fillId="21" borderId="293" xfId="2" applyFont="1" applyFill="1" applyBorder="1" applyAlignment="1">
      <alignment horizontal="center"/>
    </xf>
    <xf numFmtId="0" fontId="65" fillId="3" borderId="32" xfId="2" applyFont="1" applyFill="1" applyBorder="1" applyAlignment="1"/>
    <xf numFmtId="0" fontId="65" fillId="3" borderId="351" xfId="2" applyFont="1" applyFill="1" applyBorder="1" applyAlignment="1"/>
    <xf numFmtId="0" fontId="65" fillId="3" borderId="47" xfId="2" applyFont="1" applyFill="1" applyBorder="1" applyAlignment="1"/>
    <xf numFmtId="0" fontId="65" fillId="3" borderId="297" xfId="2" applyFont="1" applyFill="1" applyBorder="1" applyAlignment="1"/>
    <xf numFmtId="0" fontId="65" fillId="3" borderId="78" xfId="2" applyFont="1" applyFill="1" applyBorder="1" applyAlignment="1"/>
    <xf numFmtId="0" fontId="65" fillId="3" borderId="350" xfId="2" applyFont="1" applyFill="1" applyBorder="1" applyAlignment="1"/>
    <xf numFmtId="0" fontId="65" fillId="3" borderId="79" xfId="2" applyFont="1" applyFill="1" applyBorder="1" applyAlignment="1"/>
    <xf numFmtId="0" fontId="65" fillId="3" borderId="298" xfId="2" applyFont="1" applyFill="1" applyBorder="1" applyAlignment="1"/>
    <xf numFmtId="0" fontId="65" fillId="3" borderId="8" xfId="2" applyFont="1" applyFill="1" applyBorder="1" applyAlignment="1"/>
    <xf numFmtId="0" fontId="65" fillId="3" borderId="352" xfId="2" applyFont="1" applyFill="1" applyBorder="1" applyAlignment="1"/>
    <xf numFmtId="0" fontId="65" fillId="3" borderId="9" xfId="2" applyFont="1" applyFill="1" applyBorder="1" applyAlignment="1"/>
    <xf numFmtId="0" fontId="65" fillId="3" borderId="285" xfId="2" applyFont="1" applyFill="1" applyBorder="1" applyAlignment="1"/>
    <xf numFmtId="0" fontId="65" fillId="3" borderId="87" xfId="2" applyFont="1" applyFill="1" applyBorder="1" applyAlignment="1"/>
    <xf numFmtId="0" fontId="65" fillId="3" borderId="353" xfId="2" applyFont="1" applyFill="1" applyBorder="1" applyAlignment="1"/>
    <xf numFmtId="0" fontId="65" fillId="3" borderId="11" xfId="2" applyFont="1" applyFill="1" applyBorder="1" applyAlignment="1"/>
    <xf numFmtId="0" fontId="65" fillId="3" borderId="299" xfId="2" applyFont="1" applyFill="1" applyBorder="1" applyAlignment="1"/>
    <xf numFmtId="0" fontId="67" fillId="21" borderId="239" xfId="2" applyFont="1" applyFill="1" applyBorder="1"/>
    <xf numFmtId="0" fontId="72" fillId="21" borderId="76" xfId="2" applyFont="1" applyFill="1" applyBorder="1"/>
    <xf numFmtId="0" fontId="64" fillId="3" borderId="76" xfId="2" applyFont="1" applyFill="1" applyBorder="1" applyAlignment="1">
      <alignment horizontal="center" vertical="center"/>
    </xf>
    <xf numFmtId="0" fontId="72" fillId="21" borderId="76" xfId="2" applyFont="1" applyFill="1" applyBorder="1" applyAlignment="1">
      <alignment horizontal="center"/>
    </xf>
    <xf numFmtId="0" fontId="72" fillId="21" borderId="340" xfId="2" applyFont="1" applyFill="1" applyBorder="1" applyAlignment="1">
      <alignment horizontal="center"/>
    </xf>
    <xf numFmtId="0" fontId="64" fillId="29" borderId="105" xfId="2" applyFont="1" applyFill="1" applyBorder="1" applyAlignment="1">
      <alignment horizontal="center" vertical="center"/>
    </xf>
    <xf numFmtId="0" fontId="68" fillId="29" borderId="106" xfId="2" applyFont="1" applyFill="1" applyBorder="1" applyAlignment="1"/>
    <xf numFmtId="0" fontId="68" fillId="29" borderId="341" xfId="2" applyFont="1" applyFill="1" applyBorder="1" applyAlignment="1"/>
    <xf numFmtId="0" fontId="68" fillId="68" borderId="313" xfId="2" applyFont="1" applyFill="1" applyBorder="1" applyAlignment="1">
      <alignment horizontal="left" vertical="center"/>
    </xf>
    <xf numFmtId="0" fontId="68" fillId="68" borderId="314" xfId="2" applyFont="1" applyFill="1" applyBorder="1" applyAlignment="1">
      <alignment horizontal="left"/>
    </xf>
    <xf numFmtId="18" fontId="65" fillId="57" borderId="315" xfId="2" applyNumberFormat="1" applyFont="1" applyFill="1" applyBorder="1" applyAlignment="1" applyProtection="1">
      <alignment vertical="center"/>
      <protection locked="0"/>
    </xf>
    <xf numFmtId="18" fontId="65" fillId="0" borderId="321" xfId="2" applyNumberFormat="1" applyFont="1" applyBorder="1" applyAlignment="1" applyProtection="1">
      <alignment vertical="center"/>
      <protection locked="0"/>
    </xf>
    <xf numFmtId="18" fontId="65" fillId="0" borderId="318" xfId="2" applyNumberFormat="1" applyFont="1" applyBorder="1" applyAlignment="1" applyProtection="1">
      <alignment vertical="center"/>
      <protection locked="0"/>
    </xf>
    <xf numFmtId="0" fontId="68" fillId="21" borderId="270" xfId="2" applyFont="1" applyFill="1" applyBorder="1" applyAlignment="1">
      <alignment horizontal="right" vertical="center"/>
    </xf>
    <xf numFmtId="0" fontId="65" fillId="3" borderId="270" xfId="2" applyFont="1" applyFill="1" applyBorder="1" applyAlignment="1" applyProtection="1">
      <protection locked="0"/>
    </xf>
    <xf numFmtId="0" fontId="65" fillId="3" borderId="271" xfId="2" applyFont="1" applyFill="1" applyBorder="1" applyAlignment="1" applyProtection="1">
      <protection locked="0"/>
    </xf>
    <xf numFmtId="0" fontId="72" fillId="0" borderId="0" xfId="2" applyFont="1"/>
    <xf numFmtId="0" fontId="67" fillId="29" borderId="309" xfId="2" applyFont="1" applyFill="1" applyBorder="1" applyAlignment="1">
      <alignment horizontal="center"/>
    </xf>
    <xf numFmtId="0" fontId="69" fillId="3" borderId="266" xfId="2" applyFont="1" applyFill="1" applyBorder="1" applyAlignment="1" applyProtection="1">
      <protection locked="0"/>
    </xf>
    <xf numFmtId="0" fontId="69" fillId="3" borderId="274" xfId="2" applyFont="1" applyFill="1" applyBorder="1" applyAlignment="1" applyProtection="1">
      <protection locked="0"/>
    </xf>
    <xf numFmtId="0" fontId="68" fillId="29" borderId="303" xfId="2" applyFont="1" applyFill="1" applyBorder="1" applyAlignment="1">
      <alignment horizontal="center"/>
    </xf>
    <xf numFmtId="0" fontId="65" fillId="3" borderId="350" xfId="8" applyFont="1" applyFill="1" applyBorder="1" applyAlignment="1" applyProtection="1">
      <protection locked="0"/>
    </xf>
    <xf numFmtId="0" fontId="65" fillId="3" borderId="340" xfId="8" applyFont="1" applyFill="1" applyBorder="1" applyAlignment="1" applyProtection="1">
      <protection locked="0"/>
    </xf>
    <xf numFmtId="0" fontId="65" fillId="3" borderId="359" xfId="8" applyFont="1" applyFill="1" applyBorder="1" applyAlignment="1" applyProtection="1">
      <alignment shrinkToFit="1"/>
      <protection locked="0"/>
    </xf>
    <xf numFmtId="0" fontId="65" fillId="3" borderId="365" xfId="8" applyFont="1" applyFill="1" applyBorder="1" applyAlignment="1" applyProtection="1">
      <protection locked="0"/>
    </xf>
    <xf numFmtId="0" fontId="65" fillId="65" borderId="350" xfId="8" applyFont="1" applyFill="1" applyBorder="1" applyAlignment="1" applyProtection="1">
      <protection locked="0"/>
    </xf>
    <xf numFmtId="0" fontId="65" fillId="65" borderId="340" xfId="8" applyFont="1" applyFill="1" applyBorder="1" applyAlignment="1" applyProtection="1">
      <protection locked="0"/>
    </xf>
    <xf numFmtId="0" fontId="65" fillId="65" borderId="359" xfId="8" applyFont="1" applyFill="1" applyBorder="1" applyAlignment="1" applyProtection="1">
      <alignment shrinkToFit="1"/>
      <protection locked="0"/>
    </xf>
    <xf numFmtId="0" fontId="65" fillId="65" borderId="365" xfId="8" applyFont="1" applyFill="1" applyBorder="1" applyAlignment="1" applyProtection="1">
      <protection locked="0"/>
    </xf>
    <xf numFmtId="0" fontId="65" fillId="3" borderId="350" xfId="8" applyFont="1" applyFill="1" applyBorder="1" applyAlignment="1" applyProtection="1">
      <alignment vertical="center"/>
      <protection locked="0"/>
    </xf>
    <xf numFmtId="0" fontId="65" fillId="3" borderId="340" xfId="8" applyFont="1" applyFill="1" applyBorder="1" applyAlignment="1" applyProtection="1">
      <alignment vertical="center"/>
      <protection locked="0"/>
    </xf>
    <xf numFmtId="0" fontId="71" fillId="3" borderId="350" xfId="8" applyFont="1" applyFill="1" applyBorder="1" applyAlignment="1" applyProtection="1">
      <alignment vertical="center"/>
      <protection locked="0"/>
    </xf>
    <xf numFmtId="0" fontId="65" fillId="65" borderId="350" xfId="8" applyFont="1" applyFill="1" applyBorder="1" applyAlignment="1" applyProtection="1">
      <alignment vertical="center"/>
      <protection locked="0"/>
    </xf>
    <xf numFmtId="0" fontId="71" fillId="65" borderId="350" xfId="8" applyFont="1" applyFill="1" applyBorder="1" applyAlignment="1" applyProtection="1">
      <alignment vertical="center"/>
      <protection locked="0"/>
    </xf>
    <xf numFmtId="0" fontId="71" fillId="3" borderId="350" xfId="8" applyFont="1" applyFill="1" applyBorder="1" applyAlignment="1" applyProtection="1">
      <protection locked="0"/>
    </xf>
    <xf numFmtId="0" fontId="71" fillId="65" borderId="350" xfId="8" applyFont="1" applyFill="1" applyBorder="1" applyAlignment="1" applyProtection="1">
      <protection locked="0"/>
    </xf>
    <xf numFmtId="0" fontId="65" fillId="65" borderId="352" xfId="8" applyFont="1" applyFill="1" applyBorder="1" applyAlignment="1" applyProtection="1">
      <protection locked="0"/>
    </xf>
    <xf numFmtId="0" fontId="71" fillId="65" borderId="348" xfId="8" applyFont="1" applyFill="1" applyBorder="1" applyAlignment="1" applyProtection="1">
      <protection locked="0"/>
    </xf>
    <xf numFmtId="0" fontId="71" fillId="65" borderId="352" xfId="8" applyFont="1" applyFill="1" applyBorder="1" applyAlignment="1" applyProtection="1">
      <protection locked="0"/>
    </xf>
    <xf numFmtId="0" fontId="65" fillId="65" borderId="348" xfId="8" applyFont="1" applyFill="1" applyBorder="1" applyAlignment="1" applyProtection="1">
      <protection locked="0"/>
    </xf>
    <xf numFmtId="0" fontId="65" fillId="65" borderId="366" xfId="8" applyFont="1" applyFill="1" applyBorder="1" applyAlignment="1" applyProtection="1">
      <alignment shrinkToFit="1"/>
      <protection locked="0"/>
    </xf>
    <xf numFmtId="0" fontId="65" fillId="65" borderId="341" xfId="8" applyFont="1" applyFill="1" applyBorder="1" applyAlignment="1" applyProtection="1">
      <protection locked="0"/>
    </xf>
    <xf numFmtId="0" fontId="65" fillId="65" borderId="367" xfId="8" applyFont="1" applyFill="1" applyBorder="1" applyAlignment="1" applyProtection="1">
      <protection locked="0"/>
    </xf>
    <xf numFmtId="0" fontId="61" fillId="23" borderId="72" xfId="1" applyFont="1" applyFill="1" applyBorder="1" applyAlignment="1">
      <alignment horizontal="center"/>
    </xf>
    <xf numFmtId="0" fontId="61" fillId="0" borderId="71" xfId="1" applyFont="1" applyBorder="1" applyAlignment="1">
      <alignment horizontal="center"/>
    </xf>
    <xf numFmtId="0" fontId="61" fillId="0" borderId="231" xfId="1" applyFont="1" applyBorder="1" applyAlignment="1">
      <alignment horizontal="center"/>
    </xf>
    <xf numFmtId="0" fontId="61" fillId="0" borderId="228" xfId="1" applyFont="1" applyBorder="1" applyAlignment="1">
      <alignment horizontal="center"/>
    </xf>
    <xf numFmtId="0" fontId="0" fillId="57" borderId="0" xfId="0" applyFill="1" applyAlignment="1">
      <alignment horizontal="left"/>
    </xf>
    <xf numFmtId="49" fontId="18" fillId="3" borderId="76" xfId="1" applyNumberFormat="1" applyFont="1" applyFill="1" applyBorder="1" applyAlignment="1" applyProtection="1">
      <alignment horizontal="center" wrapText="1" shrinkToFit="1"/>
      <protection locked="0"/>
    </xf>
    <xf numFmtId="0" fontId="18" fillId="57" borderId="0" xfId="0" applyFont="1" applyFill="1" applyBorder="1"/>
    <xf numFmtId="0" fontId="25" fillId="0" borderId="380" xfId="7" applyFont="1" applyFill="1" applyBorder="1" applyAlignment="1">
      <alignment horizontal="center" vertical="center"/>
    </xf>
    <xf numFmtId="0" fontId="29" fillId="23" borderId="380" xfId="0" applyFont="1" applyFill="1" applyBorder="1" applyAlignment="1">
      <alignment horizontal="center" vertical="center"/>
    </xf>
    <xf numFmtId="0" fontId="25" fillId="23" borderId="344" xfId="7" applyFont="1" applyFill="1" applyBorder="1" applyAlignment="1">
      <alignment horizontal="center" vertical="center"/>
    </xf>
    <xf numFmtId="0" fontId="29" fillId="23" borderId="381" xfId="7" applyFont="1" applyFill="1" applyBorder="1" applyAlignment="1">
      <alignment horizontal="center" vertical="center"/>
    </xf>
    <xf numFmtId="0" fontId="29" fillId="0" borderId="381" xfId="7" applyFont="1" applyFill="1" applyBorder="1" applyAlignment="1">
      <alignment horizontal="center" vertical="center"/>
    </xf>
    <xf numFmtId="0" fontId="25" fillId="0" borderId="344" xfId="7" applyFont="1" applyFill="1" applyBorder="1" applyAlignment="1">
      <alignment horizontal="center" vertical="center"/>
    </xf>
    <xf numFmtId="0" fontId="25" fillId="23" borderId="380" xfId="7" applyFont="1" applyFill="1" applyBorder="1" applyAlignment="1">
      <alignment horizontal="center" vertical="center"/>
    </xf>
    <xf numFmtId="0" fontId="63" fillId="23" borderId="380" xfId="7" applyFont="1" applyFill="1" applyBorder="1" applyAlignment="1">
      <alignment horizontal="center" vertical="center"/>
    </xf>
    <xf numFmtId="0" fontId="25" fillId="0" borderId="380" xfId="0" applyFont="1" applyBorder="1" applyAlignment="1">
      <alignment horizontal="center" vertical="center"/>
    </xf>
    <xf numFmtId="0" fontId="63" fillId="0" borderId="380" xfId="7" applyFont="1" applyFill="1" applyBorder="1" applyAlignment="1">
      <alignment horizontal="center" vertical="center"/>
    </xf>
    <xf numFmtId="0" fontId="41" fillId="0" borderId="380" xfId="7" applyFont="1" applyFill="1" applyBorder="1" applyAlignment="1">
      <alignment horizontal="center" vertical="center"/>
    </xf>
    <xf numFmtId="0" fontId="41" fillId="0" borderId="380" xfId="0" applyFont="1" applyBorder="1" applyAlignment="1">
      <alignment horizontal="center" vertical="center"/>
    </xf>
    <xf numFmtId="0" fontId="19" fillId="23" borderId="380" xfId="7" applyFont="1" applyFill="1" applyBorder="1" applyAlignment="1">
      <alignment horizontal="center" vertical="center"/>
    </xf>
    <xf numFmtId="0" fontId="41" fillId="23" borderId="380" xfId="7" applyFont="1" applyFill="1" applyBorder="1" applyAlignment="1">
      <alignment horizontal="center" vertical="center"/>
    </xf>
    <xf numFmtId="0" fontId="24" fillId="21" borderId="376" xfId="7" applyFont="1" applyFill="1" applyBorder="1" applyAlignment="1">
      <alignment vertical="center" shrinkToFit="1"/>
    </xf>
    <xf numFmtId="0" fontId="24" fillId="21" borderId="378" xfId="7" applyFont="1" applyFill="1" applyBorder="1" applyAlignment="1">
      <alignment vertical="center" shrinkToFit="1"/>
    </xf>
    <xf numFmtId="0" fontId="18" fillId="0" borderId="382" xfId="0" applyFont="1" applyBorder="1" applyAlignment="1" applyProtection="1">
      <alignment horizontal="center" vertical="center"/>
      <protection locked="0"/>
    </xf>
    <xf numFmtId="0" fontId="18" fillId="0" borderId="383" xfId="0" applyFont="1" applyBorder="1" applyAlignment="1" applyProtection="1">
      <alignment horizontal="center" vertical="center"/>
      <protection locked="0"/>
    </xf>
    <xf numFmtId="0" fontId="18" fillId="21" borderId="384" xfId="7" applyFont="1" applyFill="1" applyBorder="1" applyAlignment="1" applyProtection="1">
      <alignment horizontal="center" vertical="center"/>
      <protection locked="0"/>
    </xf>
    <xf numFmtId="0" fontId="18" fillId="21" borderId="385" xfId="7" applyFont="1" applyFill="1" applyBorder="1" applyAlignment="1" applyProtection="1">
      <alignment horizontal="center" vertical="center"/>
      <protection locked="0"/>
    </xf>
    <xf numFmtId="0" fontId="18" fillId="21" borderId="386" xfId="7" applyFont="1" applyFill="1" applyBorder="1" applyAlignment="1" applyProtection="1">
      <alignment horizontal="center" vertical="center"/>
      <protection locked="0"/>
    </xf>
    <xf numFmtId="0" fontId="18" fillId="23" borderId="389" xfId="0" applyFont="1" applyFill="1" applyBorder="1" applyAlignment="1" applyProtection="1">
      <alignment horizontal="center" vertical="center"/>
      <protection locked="0"/>
    </xf>
    <xf numFmtId="0" fontId="18" fillId="23" borderId="390" xfId="0" applyFont="1" applyFill="1" applyBorder="1" applyAlignment="1" applyProtection="1">
      <alignment horizontal="center" vertical="center"/>
      <protection locked="0"/>
    </xf>
    <xf numFmtId="0" fontId="20" fillId="8" borderId="320" xfId="0" applyFont="1" applyFill="1" applyBorder="1" applyAlignment="1">
      <alignment horizontal="center" vertical="center"/>
    </xf>
    <xf numFmtId="0" fontId="20" fillId="8" borderId="318" xfId="0" applyFont="1" applyFill="1" applyBorder="1" applyAlignment="1">
      <alignment vertical="center"/>
    </xf>
    <xf numFmtId="0" fontId="20" fillId="8" borderId="318" xfId="0" applyFont="1" applyFill="1" applyBorder="1" applyAlignment="1">
      <alignment horizontal="center" vertical="center"/>
    </xf>
    <xf numFmtId="0" fontId="20" fillId="8" borderId="319" xfId="0" applyFont="1" applyFill="1" applyBorder="1" applyAlignment="1">
      <alignment horizontal="center" vertical="center"/>
    </xf>
    <xf numFmtId="0" fontId="74" fillId="0" borderId="0" xfId="0" applyFont="1" applyBorder="1" applyAlignment="1">
      <alignment vertical="center" shrinkToFit="1"/>
    </xf>
    <xf numFmtId="49" fontId="18" fillId="3" borderId="340" xfId="8" applyNumberFormat="1" applyFont="1" applyFill="1" applyBorder="1" applyAlignment="1" applyProtection="1">
      <alignment horizontal="center" wrapText="1" shrinkToFit="1"/>
      <protection locked="0"/>
    </xf>
    <xf numFmtId="49" fontId="18" fillId="3" borderId="341" xfId="8" applyNumberFormat="1" applyFont="1" applyFill="1" applyBorder="1" applyAlignment="1" applyProtection="1">
      <alignment horizontal="center" wrapText="1" shrinkToFit="1"/>
      <protection locked="0"/>
    </xf>
    <xf numFmtId="0" fontId="18" fillId="65" borderId="363" xfId="8" applyFont="1" applyFill="1" applyBorder="1" applyAlignment="1" applyProtection="1">
      <protection locked="0"/>
    </xf>
    <xf numFmtId="0" fontId="18" fillId="3" borderId="363" xfId="8" applyFont="1" applyFill="1" applyBorder="1" applyAlignment="1" applyProtection="1">
      <protection locked="0"/>
    </xf>
    <xf numFmtId="0" fontId="18" fillId="3" borderId="350" xfId="8" applyFont="1" applyFill="1" applyBorder="1" applyAlignment="1" applyProtection="1">
      <protection locked="0"/>
    </xf>
    <xf numFmtId="0" fontId="18" fillId="65" borderId="350" xfId="8" applyFont="1" applyFill="1" applyBorder="1" applyAlignment="1" applyProtection="1">
      <protection locked="0"/>
    </xf>
    <xf numFmtId="0" fontId="18" fillId="3" borderId="363" xfId="8" applyFont="1" applyFill="1" applyBorder="1" applyAlignment="1" applyProtection="1">
      <alignment vertical="center"/>
      <protection locked="0"/>
    </xf>
    <xf numFmtId="0" fontId="18" fillId="3" borderId="350" xfId="8" applyFont="1" applyFill="1" applyBorder="1" applyAlignment="1" applyProtection="1">
      <alignment vertical="center"/>
      <protection locked="0"/>
    </xf>
    <xf numFmtId="0" fontId="18" fillId="65" borderId="363" xfId="8" applyFont="1" applyFill="1" applyBorder="1" applyAlignment="1" applyProtection="1">
      <alignment vertical="center"/>
      <protection locked="0"/>
    </xf>
    <xf numFmtId="0" fontId="18" fillId="65" borderId="350" xfId="8" applyFont="1" applyFill="1" applyBorder="1" applyAlignment="1" applyProtection="1">
      <alignment vertical="center"/>
      <protection locked="0"/>
    </xf>
    <xf numFmtId="0" fontId="18" fillId="65" borderId="371" xfId="8" applyFont="1" applyFill="1" applyBorder="1" applyAlignment="1" applyProtection="1">
      <protection locked="0"/>
    </xf>
    <xf numFmtId="0" fontId="18" fillId="65" borderId="352" xfId="8" applyFont="1" applyFill="1" applyBorder="1" applyAlignment="1" applyProtection="1">
      <protection locked="0"/>
    </xf>
    <xf numFmtId="0" fontId="18" fillId="57" borderId="0" xfId="0" applyFont="1" applyFill="1" applyAlignment="1">
      <alignment horizontal="left"/>
    </xf>
    <xf numFmtId="0" fontId="43" fillId="57" borderId="0" xfId="0" applyFont="1" applyFill="1" applyAlignment="1">
      <alignment horizontal="left" vertical="center"/>
    </xf>
    <xf numFmtId="0" fontId="18" fillId="0" borderId="0" xfId="0" applyFont="1" applyAlignment="1">
      <alignment wrapText="1"/>
    </xf>
    <xf numFmtId="0" fontId="27" fillId="57" borderId="0" xfId="0" applyFont="1" applyFill="1" applyAlignment="1">
      <alignment horizontal="left"/>
    </xf>
    <xf numFmtId="0" fontId="18" fillId="0" borderId="0" xfId="0" applyFont="1" applyAlignment="1">
      <alignment horizontal="left"/>
    </xf>
    <xf numFmtId="0" fontId="27" fillId="0" borderId="0" xfId="0" applyFont="1" applyAlignment="1">
      <alignment horizontal="left"/>
    </xf>
    <xf numFmtId="0" fontId="43" fillId="0" borderId="0" xfId="0" applyFont="1" applyAlignment="1">
      <alignment horizontal="left" vertical="center"/>
    </xf>
    <xf numFmtId="0" fontId="23" fillId="0" borderId="393" xfId="7" applyFont="1" applyBorder="1" applyAlignment="1">
      <alignment horizontal="center"/>
    </xf>
    <xf numFmtId="0" fontId="23" fillId="0" borderId="394" xfId="7" applyFont="1" applyBorder="1" applyAlignment="1">
      <alignment horizontal="center"/>
    </xf>
    <xf numFmtId="0" fontId="25" fillId="31" borderId="392" xfId="1" applyFont="1" applyFill="1" applyBorder="1" applyAlignment="1">
      <alignment horizontal="center" vertical="center" textRotation="90" wrapText="1" shrinkToFit="1"/>
    </xf>
    <xf numFmtId="49" fontId="18" fillId="0" borderId="0" xfId="0" quotePrefix="1" applyNumberFormat="1" applyFont="1" applyAlignment="1">
      <alignment horizontal="right" vertical="top"/>
    </xf>
    <xf numFmtId="0" fontId="18" fillId="57" borderId="0" xfId="0" applyFont="1" applyFill="1" applyAlignment="1"/>
    <xf numFmtId="0" fontId="27" fillId="0" borderId="0" xfId="0" applyFont="1" applyAlignment="1">
      <alignment horizontal="left"/>
    </xf>
    <xf numFmtId="0" fontId="18" fillId="0" borderId="0" xfId="0" applyFont="1" applyAlignment="1">
      <alignment horizontal="left"/>
    </xf>
    <xf numFmtId="0" fontId="24" fillId="0" borderId="0" xfId="0" applyFont="1" applyAlignment="1">
      <alignment horizontal="left"/>
    </xf>
    <xf numFmtId="0" fontId="20" fillId="8" borderId="395" xfId="0" applyFont="1" applyFill="1" applyBorder="1" applyAlignment="1">
      <alignment horizontal="center"/>
    </xf>
    <xf numFmtId="0" fontId="77" fillId="8" borderId="396" xfId="0" quotePrefix="1" applyFont="1" applyFill="1" applyBorder="1" applyAlignment="1">
      <alignment horizontal="center"/>
    </xf>
    <xf numFmtId="0" fontId="20" fillId="8" borderId="396" xfId="0" applyFont="1" applyFill="1" applyBorder="1" applyAlignment="1">
      <alignment horizontal="center"/>
    </xf>
    <xf numFmtId="0" fontId="20" fillId="8" borderId="397" xfId="0" applyFont="1" applyFill="1" applyBorder="1" applyAlignment="1">
      <alignment horizontal="center"/>
    </xf>
    <xf numFmtId="0" fontId="20" fillId="8" borderId="398" xfId="0" applyFont="1" applyFill="1" applyBorder="1" applyAlignment="1">
      <alignment horizontal="center"/>
    </xf>
    <xf numFmtId="0" fontId="28" fillId="15" borderId="395" xfId="0" applyFont="1" applyFill="1" applyBorder="1" applyAlignment="1">
      <alignment horizontal="center" vertical="center"/>
    </xf>
    <xf numFmtId="0" fontId="31" fillId="15" borderId="396" xfId="0" applyFont="1" applyFill="1" applyBorder="1" applyAlignment="1">
      <alignment horizontal="center" vertical="center"/>
    </xf>
    <xf numFmtId="0" fontId="15" fillId="0" borderId="396" xfId="0" applyFont="1" applyBorder="1" applyAlignment="1">
      <alignment horizontal="center" vertical="center"/>
    </xf>
    <xf numFmtId="49" fontId="15" fillId="58" borderId="396" xfId="0" applyNumberFormat="1" applyFont="1" applyFill="1" applyBorder="1" applyAlignment="1">
      <alignment horizontal="center" vertical="center"/>
    </xf>
    <xf numFmtId="49" fontId="15" fillId="0" borderId="396" xfId="0" applyNumberFormat="1" applyFont="1" applyBorder="1" applyAlignment="1">
      <alignment horizontal="center" vertical="center"/>
    </xf>
    <xf numFmtId="49" fontId="15" fillId="58" borderId="399" xfId="0" applyNumberFormat="1" applyFont="1" applyFill="1" applyBorder="1" applyAlignment="1">
      <alignment horizontal="center" vertical="center"/>
    </xf>
    <xf numFmtId="0" fontId="29" fillId="0" borderId="401" xfId="0" applyFont="1" applyFill="1" applyBorder="1" applyAlignment="1">
      <alignment vertical="center" shrinkToFit="1"/>
    </xf>
    <xf numFmtId="0" fontId="29" fillId="0" borderId="402" xfId="0" applyFont="1" applyFill="1" applyBorder="1" applyAlignment="1">
      <alignment vertical="center" shrinkToFit="1"/>
    </xf>
    <xf numFmtId="0" fontId="29" fillId="0" borderId="403" xfId="0" applyFont="1" applyFill="1" applyBorder="1" applyAlignment="1">
      <alignment vertical="center" shrinkToFit="1"/>
    </xf>
    <xf numFmtId="0" fontId="29" fillId="0" borderId="404" xfId="0" applyFont="1" applyFill="1" applyBorder="1" applyAlignment="1">
      <alignment vertical="center" shrinkToFit="1"/>
    </xf>
    <xf numFmtId="0" fontId="29" fillId="0" borderId="405" xfId="0" applyFont="1" applyFill="1" applyBorder="1" applyAlignment="1">
      <alignment vertical="center" shrinkToFit="1"/>
    </xf>
    <xf numFmtId="0" fontId="28" fillId="0" borderId="403" xfId="0" applyFont="1" applyFill="1" applyBorder="1" applyAlignment="1">
      <alignment horizontal="center" vertical="center"/>
    </xf>
    <xf numFmtId="0" fontId="28" fillId="0" borderId="406" xfId="0" applyFont="1" applyFill="1" applyBorder="1" applyAlignment="1">
      <alignment horizontal="center" vertical="center"/>
    </xf>
    <xf numFmtId="0" fontId="29" fillId="0" borderId="400" xfId="0" applyFont="1" applyFill="1" applyBorder="1" applyAlignment="1">
      <alignment vertical="center" shrinkToFit="1"/>
    </xf>
    <xf numFmtId="0" fontId="23" fillId="25" borderId="407" xfId="0" applyFont="1" applyFill="1" applyBorder="1" applyAlignment="1">
      <alignment horizontal="left" vertical="center" wrapText="1"/>
    </xf>
    <xf numFmtId="0" fontId="28" fillId="17" borderId="395" xfId="0" applyFont="1" applyFill="1" applyBorder="1" applyAlignment="1">
      <alignment horizontal="center" vertical="center"/>
    </xf>
    <xf numFmtId="0" fontId="31" fillId="17" borderId="396" xfId="0" applyFont="1" applyFill="1" applyBorder="1" applyAlignment="1">
      <alignment horizontal="center" vertical="center"/>
    </xf>
    <xf numFmtId="0" fontId="15" fillId="15" borderId="396" xfId="0" applyFont="1" applyFill="1" applyBorder="1" applyAlignment="1">
      <alignment horizontal="center" vertical="center"/>
    </xf>
    <xf numFmtId="49" fontId="15" fillId="15" borderId="396" xfId="0" applyNumberFormat="1" applyFont="1" applyFill="1" applyBorder="1" applyAlignment="1">
      <alignment horizontal="center" vertical="center"/>
    </xf>
    <xf numFmtId="0" fontId="24" fillId="0" borderId="409" xfId="0" applyFont="1" applyFill="1" applyBorder="1"/>
    <xf numFmtId="0" fontId="24" fillId="0" borderId="410" xfId="0" applyFont="1" applyFill="1" applyBorder="1"/>
    <xf numFmtId="0" fontId="24" fillId="0" borderId="411" xfId="0" applyFont="1" applyFill="1" applyBorder="1"/>
    <xf numFmtId="0" fontId="24" fillId="0" borderId="412" xfId="0" applyFont="1" applyFill="1" applyBorder="1"/>
    <xf numFmtId="0" fontId="24" fillId="0" borderId="413" xfId="0" applyFont="1" applyFill="1" applyBorder="1"/>
    <xf numFmtId="0" fontId="28" fillId="0" borderId="411" xfId="0" applyFont="1" applyFill="1" applyBorder="1" applyAlignment="1">
      <alignment horizontal="center" vertical="center"/>
    </xf>
    <xf numFmtId="0" fontId="28" fillId="0" borderId="414" xfId="0" applyFont="1" applyFill="1" applyBorder="1" applyAlignment="1">
      <alignment horizontal="center" vertical="center"/>
    </xf>
    <xf numFmtId="0" fontId="24" fillId="0" borderId="380" xfId="0" applyFont="1" applyFill="1" applyBorder="1"/>
    <xf numFmtId="0" fontId="18" fillId="25" borderId="415" xfId="0" applyFont="1" applyFill="1" applyBorder="1"/>
    <xf numFmtId="0" fontId="29" fillId="20" borderId="401" xfId="0" applyFont="1" applyFill="1" applyBorder="1" applyAlignment="1">
      <alignment vertical="center" shrinkToFit="1"/>
    </xf>
    <xf numFmtId="0" fontId="29" fillId="20" borderId="402" xfId="0" applyFont="1" applyFill="1" applyBorder="1" applyAlignment="1">
      <alignment vertical="center" shrinkToFit="1"/>
    </xf>
    <xf numFmtId="0" fontId="29" fillId="20" borderId="403" xfId="0" applyFont="1" applyFill="1" applyBorder="1" applyAlignment="1">
      <alignment vertical="center" shrinkToFit="1"/>
    </xf>
    <xf numFmtId="0" fontId="29" fillId="20" borderId="404" xfId="0" applyFont="1" applyFill="1" applyBorder="1" applyAlignment="1">
      <alignment vertical="center" shrinkToFit="1"/>
    </xf>
    <xf numFmtId="0" fontId="29" fillId="20" borderId="405" xfId="0" applyFont="1" applyFill="1" applyBorder="1" applyAlignment="1">
      <alignment vertical="center" shrinkToFit="1"/>
    </xf>
    <xf numFmtId="0" fontId="28" fillId="20" borderId="403" xfId="0" applyFont="1" applyFill="1" applyBorder="1" applyAlignment="1">
      <alignment horizontal="center" vertical="center"/>
    </xf>
    <xf numFmtId="0" fontId="28" fillId="20" borderId="406" xfId="0" applyFont="1" applyFill="1" applyBorder="1" applyAlignment="1">
      <alignment horizontal="center" vertical="center"/>
    </xf>
    <xf numFmtId="0" fontId="29" fillId="0" borderId="380" xfId="0" applyFont="1" applyFill="1" applyBorder="1" applyAlignment="1">
      <alignment vertical="center" shrinkToFit="1"/>
    </xf>
    <xf numFmtId="0" fontId="24" fillId="20" borderId="409" xfId="0" applyFont="1" applyFill="1" applyBorder="1"/>
    <xf numFmtId="0" fontId="24" fillId="20" borderId="410" xfId="0" applyFont="1" applyFill="1" applyBorder="1"/>
    <xf numFmtId="0" fontId="24" fillId="20" borderId="411" xfId="0" applyFont="1" applyFill="1" applyBorder="1"/>
    <xf numFmtId="0" fontId="24" fillId="20" borderId="412" xfId="0" applyFont="1" applyFill="1" applyBorder="1"/>
    <xf numFmtId="0" fontId="24" fillId="20" borderId="413" xfId="0" applyFont="1" applyFill="1" applyBorder="1"/>
    <xf numFmtId="0" fontId="28" fillId="20" borderId="411" xfId="0" applyFont="1" applyFill="1" applyBorder="1" applyAlignment="1">
      <alignment horizontal="center" vertical="center"/>
    </xf>
    <xf numFmtId="0" fontId="28" fillId="20" borderId="414" xfId="0" applyFont="1" applyFill="1" applyBorder="1" applyAlignment="1">
      <alignment horizontal="center" vertical="center"/>
    </xf>
    <xf numFmtId="0" fontId="23" fillId="0" borderId="0" xfId="0" applyFont="1" applyFill="1" applyBorder="1" applyAlignment="1">
      <alignment horizontal="left" vertical="top" wrapText="1"/>
    </xf>
    <xf numFmtId="0" fontId="50" fillId="0" borderId="416" xfId="0" applyFont="1" applyFill="1" applyBorder="1" applyAlignment="1">
      <alignment horizontal="left" vertical="top" wrapText="1"/>
    </xf>
    <xf numFmtId="0" fontId="50" fillId="0" borderId="417" xfId="0" applyFont="1" applyFill="1" applyBorder="1" applyAlignment="1">
      <alignment horizontal="left" vertical="top" wrapText="1"/>
    </xf>
    <xf numFmtId="0" fontId="50" fillId="0" borderId="418" xfId="0" applyFont="1" applyFill="1" applyBorder="1" applyAlignment="1">
      <alignment horizontal="left" vertical="top" wrapText="1"/>
    </xf>
    <xf numFmtId="0" fontId="18" fillId="0" borderId="0" xfId="0" applyFont="1" applyFill="1" applyBorder="1"/>
    <xf numFmtId="0" fontId="50" fillId="0" borderId="0" xfId="0" applyFont="1" applyFill="1" applyBorder="1" applyAlignment="1">
      <alignment horizontal="left" vertical="top" wrapText="1"/>
    </xf>
    <xf numFmtId="0" fontId="50" fillId="0" borderId="327" xfId="0" applyFont="1" applyFill="1" applyBorder="1" applyAlignment="1">
      <alignment horizontal="left" vertical="top" wrapText="1"/>
    </xf>
    <xf numFmtId="0" fontId="50" fillId="0" borderId="325" xfId="0" applyFont="1" applyFill="1" applyBorder="1" applyAlignment="1">
      <alignment horizontal="left" vertical="top" wrapText="1"/>
    </xf>
    <xf numFmtId="0" fontId="50" fillId="0" borderId="326" xfId="0" applyFont="1" applyFill="1" applyBorder="1" applyAlignment="1">
      <alignment horizontal="left" vertical="top" wrapText="1"/>
    </xf>
    <xf numFmtId="0" fontId="14" fillId="0" borderId="0" xfId="0" applyFont="1" applyFill="1" applyBorder="1" applyAlignment="1">
      <alignment horizontal="right" vertical="center" shrinkToFit="1"/>
    </xf>
    <xf numFmtId="0" fontId="75" fillId="0" borderId="0" xfId="0" applyFont="1" applyFill="1" applyBorder="1" applyAlignment="1">
      <alignment vertical="center"/>
    </xf>
    <xf numFmtId="0" fontId="76" fillId="0" borderId="0" xfId="0" applyFont="1" applyFill="1" applyBorder="1" applyAlignment="1">
      <alignment horizontal="right" vertical="center"/>
    </xf>
    <xf numFmtId="0" fontId="19" fillId="0" borderId="0" xfId="0" applyFont="1"/>
    <xf numFmtId="0" fontId="1" fillId="0" borderId="0" xfId="688"/>
    <xf numFmtId="0" fontId="1" fillId="0" borderId="422" xfId="688" applyFont="1" applyBorder="1" applyAlignment="1"/>
    <xf numFmtId="0" fontId="1" fillId="0" borderId="423" xfId="688" applyFont="1" applyBorder="1"/>
    <xf numFmtId="0" fontId="1" fillId="0" borderId="327" xfId="688" applyFont="1" applyBorder="1" applyAlignment="1"/>
    <xf numFmtId="0" fontId="1" fillId="0" borderId="326" xfId="688" applyFont="1" applyBorder="1"/>
    <xf numFmtId="0" fontId="1" fillId="0" borderId="428" xfId="688" applyFont="1" applyBorder="1" applyAlignment="1"/>
    <xf numFmtId="0" fontId="1" fillId="0" borderId="332" xfId="688" applyFont="1" applyBorder="1"/>
    <xf numFmtId="0" fontId="79" fillId="8" borderId="429" xfId="688" applyFont="1" applyFill="1" applyBorder="1" applyAlignment="1"/>
    <xf numFmtId="0" fontId="79" fillId="8" borderId="430" xfId="688" applyFont="1" applyFill="1" applyBorder="1" applyAlignment="1">
      <alignment wrapText="1"/>
    </xf>
    <xf numFmtId="0" fontId="80" fillId="0" borderId="0" xfId="688" applyFont="1"/>
    <xf numFmtId="0" fontId="1" fillId="0" borderId="431" xfId="688" applyBorder="1" applyAlignment="1">
      <alignment vertical="top" wrapText="1"/>
    </xf>
    <xf numFmtId="0" fontId="1" fillId="0" borderId="432" xfId="688" applyBorder="1" applyAlignment="1">
      <alignment vertical="top" wrapText="1"/>
    </xf>
    <xf numFmtId="0" fontId="1" fillId="0" borderId="0" xfId="688" applyAlignment="1">
      <alignment wrapText="1"/>
    </xf>
    <xf numFmtId="0" fontId="1" fillId="0" borderId="433" xfId="688" applyFont="1" applyBorder="1" applyAlignment="1"/>
    <xf numFmtId="0" fontId="1" fillId="0" borderId="435" xfId="688" applyFont="1" applyBorder="1"/>
    <xf numFmtId="0" fontId="1" fillId="0" borderId="440" xfId="688" applyFont="1" applyBorder="1"/>
    <xf numFmtId="0" fontId="29" fillId="0" borderId="0" xfId="0" applyFont="1" applyAlignment="1">
      <alignment horizontal="center"/>
    </xf>
    <xf numFmtId="0" fontId="15" fillId="0" borderId="0" xfId="0" applyFont="1" applyAlignment="1">
      <alignment wrapText="1"/>
    </xf>
    <xf numFmtId="0" fontId="15" fillId="0" borderId="0" xfId="0" applyFont="1" applyBorder="1" applyAlignment="1">
      <alignment wrapText="1"/>
    </xf>
    <xf numFmtId="0" fontId="16" fillId="0" borderId="0" xfId="0" applyFont="1" applyFill="1" applyAlignment="1">
      <alignment vertical="center"/>
    </xf>
    <xf numFmtId="0" fontId="76" fillId="0" borderId="0" xfId="0" applyFont="1" applyFill="1" applyAlignment="1">
      <alignment vertical="center"/>
    </xf>
    <xf numFmtId="0" fontId="76" fillId="8" borderId="441" xfId="0" applyFont="1" applyFill="1" applyBorder="1" applyAlignment="1">
      <alignment horizontal="center" vertical="center"/>
    </xf>
    <xf numFmtId="0" fontId="76" fillId="8" borderId="444" xfId="0" applyFont="1" applyFill="1" applyBorder="1" applyAlignment="1">
      <alignment horizontal="center" vertical="center"/>
    </xf>
    <xf numFmtId="0" fontId="76" fillId="8" borderId="445" xfId="0" applyFont="1" applyFill="1" applyBorder="1" applyAlignment="1">
      <alignment horizontal="center" vertical="center"/>
    </xf>
    <xf numFmtId="0" fontId="76" fillId="8" borderId="443" xfId="0" applyFont="1" applyFill="1" applyBorder="1" applyAlignment="1">
      <alignment horizontal="center" vertical="center"/>
    </xf>
    <xf numFmtId="0" fontId="82" fillId="0" borderId="0" xfId="0" applyFont="1" applyFill="1" applyAlignment="1">
      <alignment vertical="center"/>
    </xf>
    <xf numFmtId="0" fontId="16" fillId="0" borderId="0" xfId="0" applyFont="1" applyFill="1" applyAlignment="1">
      <alignment horizontal="right" vertical="center" indent="1"/>
    </xf>
    <xf numFmtId="0" fontId="16" fillId="0" borderId="433" xfId="0" applyFont="1" applyFill="1" applyBorder="1" applyAlignment="1">
      <alignment vertical="center"/>
    </xf>
    <xf numFmtId="0" fontId="16" fillId="0" borderId="432" xfId="0" applyFont="1" applyFill="1" applyBorder="1" applyAlignment="1">
      <alignment vertical="center"/>
    </xf>
    <xf numFmtId="0" fontId="16" fillId="0" borderId="446" xfId="0" applyFont="1" applyFill="1" applyBorder="1" applyAlignment="1">
      <alignment vertical="center"/>
    </xf>
    <xf numFmtId="0" fontId="16" fillId="0" borderId="435" xfId="0" applyFont="1" applyFill="1" applyBorder="1" applyAlignment="1">
      <alignment vertical="center"/>
    </xf>
    <xf numFmtId="0" fontId="16" fillId="0" borderId="327" xfId="0" applyFont="1" applyFill="1" applyBorder="1" applyAlignment="1">
      <alignment vertical="center"/>
    </xf>
    <xf numFmtId="0" fontId="16" fillId="0" borderId="447" xfId="0" applyFont="1" applyFill="1" applyBorder="1" applyAlignment="1">
      <alignment vertical="center"/>
    </xf>
    <xf numFmtId="0" fontId="16" fillId="0" borderId="448" xfId="0" applyFont="1" applyFill="1" applyBorder="1" applyAlignment="1">
      <alignment vertical="center"/>
    </xf>
    <xf numFmtId="0" fontId="16" fillId="0" borderId="440" xfId="0" applyFont="1" applyFill="1" applyBorder="1" applyAlignment="1">
      <alignment vertical="center"/>
    </xf>
    <xf numFmtId="0" fontId="18" fillId="0" borderId="0" xfId="0" applyFont="1" applyAlignment="1">
      <alignment horizontal="right" indent="1"/>
    </xf>
    <xf numFmtId="0" fontId="16" fillId="0" borderId="0" xfId="0" applyFont="1" applyFill="1" applyBorder="1" applyAlignment="1">
      <alignment horizontal="right" vertical="center" indent="1"/>
    </xf>
    <xf numFmtId="0" fontId="16" fillId="0" borderId="433" xfId="0" applyFont="1" applyBorder="1" applyAlignment="1">
      <alignment horizontal="center" vertical="center"/>
    </xf>
    <xf numFmtId="0" fontId="16" fillId="0" borderId="432" xfId="0" applyFont="1" applyBorder="1" applyAlignment="1">
      <alignment horizontal="center" vertical="center"/>
    </xf>
    <xf numFmtId="0" fontId="16" fillId="0" borderId="446" xfId="0" applyFont="1" applyBorder="1" applyAlignment="1">
      <alignment horizontal="center" vertical="center"/>
    </xf>
    <xf numFmtId="0" fontId="16" fillId="0" borderId="435" xfId="0" applyFont="1" applyBorder="1" applyAlignment="1">
      <alignment horizontal="center" vertical="center"/>
    </xf>
    <xf numFmtId="0" fontId="16" fillId="0" borderId="0" xfId="0" applyFont="1" applyFill="1" applyBorder="1" applyAlignment="1">
      <alignment horizontal="right" vertical="top" indent="1"/>
    </xf>
    <xf numFmtId="0" fontId="83" fillId="0" borderId="0" xfId="0" applyFont="1" applyAlignment="1">
      <alignment horizontal="right" vertical="center"/>
    </xf>
    <xf numFmtId="0" fontId="15" fillId="0" borderId="0" xfId="0" applyFont="1" applyAlignment="1">
      <alignment horizontal="left"/>
    </xf>
    <xf numFmtId="0" fontId="84" fillId="0" borderId="0" xfId="0" applyFont="1" applyAlignment="1">
      <alignment horizontal="right" vertical="center"/>
    </xf>
    <xf numFmtId="0" fontId="15" fillId="0" borderId="0" xfId="0" applyFont="1" applyAlignment="1">
      <alignment horizontal="right" vertical="center"/>
    </xf>
    <xf numFmtId="0" fontId="15" fillId="0" borderId="0" xfId="0" applyFont="1" applyAlignment="1"/>
    <xf numFmtId="0" fontId="15" fillId="0" borderId="0" xfId="0" applyFont="1"/>
    <xf numFmtId="0" fontId="18" fillId="3" borderId="340" xfId="8" applyFont="1" applyFill="1" applyBorder="1" applyAlignment="1" applyProtection="1">
      <protection locked="0"/>
    </xf>
    <xf numFmtId="0" fontId="87" fillId="0" borderId="0" xfId="0" applyFont="1" applyFill="1" applyAlignment="1"/>
    <xf numFmtId="0" fontId="27" fillId="0" borderId="0" xfId="0" applyFont="1" applyFill="1" applyAlignment="1"/>
    <xf numFmtId="0" fontId="24" fillId="0" borderId="0" xfId="0" applyFont="1" applyFill="1" applyAlignment="1"/>
    <xf numFmtId="0" fontId="18" fillId="3" borderId="0" xfId="1" applyFont="1" applyFill="1" applyBorder="1" applyAlignment="1">
      <alignment horizontal="left" vertical="center" wrapText="1"/>
    </xf>
    <xf numFmtId="0" fontId="24" fillId="3" borderId="0" xfId="1" applyFont="1" applyFill="1" applyBorder="1" applyAlignment="1">
      <alignment vertical="center"/>
    </xf>
    <xf numFmtId="0" fontId="18" fillId="3" borderId="0" xfId="1" applyFont="1" applyFill="1" applyBorder="1" applyAlignment="1">
      <alignment vertical="center" wrapText="1"/>
    </xf>
    <xf numFmtId="0" fontId="24" fillId="3" borderId="0" xfId="1" applyFont="1" applyFill="1" applyBorder="1" applyAlignment="1">
      <alignment horizontal="center" vertical="center" wrapText="1"/>
    </xf>
    <xf numFmtId="0" fontId="18" fillId="3" borderId="0" xfId="7" applyFont="1" applyFill="1" applyBorder="1" applyAlignment="1">
      <alignment vertical="center" wrapText="1"/>
    </xf>
    <xf numFmtId="0" fontId="18" fillId="3" borderId="0" xfId="7" applyFont="1" applyFill="1" applyBorder="1" applyAlignment="1">
      <alignment vertical="center"/>
    </xf>
    <xf numFmtId="0" fontId="18" fillId="3" borderId="0" xfId="7" applyFont="1" applyFill="1" applyBorder="1" applyAlignment="1">
      <alignment horizontal="left" vertical="center" wrapText="1"/>
    </xf>
    <xf numFmtId="0" fontId="18" fillId="3" borderId="0" xfId="1" applyFont="1" applyFill="1" applyBorder="1" applyAlignment="1">
      <alignment vertical="center"/>
    </xf>
    <xf numFmtId="49" fontId="18" fillId="3" borderId="0" xfId="1" applyNumberFormat="1" applyFont="1" applyFill="1" applyBorder="1" applyAlignment="1">
      <alignment horizontal="right" vertical="center" wrapText="1"/>
    </xf>
    <xf numFmtId="0" fontId="65" fillId="3" borderId="375" xfId="2" applyFont="1" applyFill="1" applyBorder="1"/>
    <xf numFmtId="0" fontId="18" fillId="0" borderId="0" xfId="0" applyFont="1" applyAlignment="1">
      <alignment horizontal="left"/>
    </xf>
    <xf numFmtId="0" fontId="27" fillId="0" borderId="0" xfId="0" applyFont="1" applyAlignment="1">
      <alignment horizontal="left"/>
    </xf>
    <xf numFmtId="0" fontId="18" fillId="0" borderId="0" xfId="0" applyFont="1" applyAlignment="1">
      <alignment horizontal="left" wrapText="1"/>
    </xf>
    <xf numFmtId="0" fontId="18" fillId="0" borderId="0" xfId="0" applyFont="1" applyAlignment="1">
      <alignment wrapText="1"/>
    </xf>
    <xf numFmtId="0" fontId="34" fillId="57" borderId="0" xfId="0" applyFont="1" applyFill="1"/>
    <xf numFmtId="0" fontId="18" fillId="0" borderId="0" xfId="0" applyFont="1" applyAlignment="1">
      <alignment horizontal="left" wrapText="1"/>
    </xf>
    <xf numFmtId="0" fontId="18" fillId="0" borderId="0" xfId="0" applyFont="1" applyFill="1" applyAlignment="1"/>
    <xf numFmtId="0" fontId="18" fillId="3" borderId="0" xfId="1" applyFont="1" applyFill="1" applyBorder="1" applyAlignment="1">
      <alignment horizontal="center" vertical="center" wrapText="1"/>
    </xf>
    <xf numFmtId="0" fontId="43" fillId="3" borderId="0" xfId="1" applyFont="1" applyFill="1" applyBorder="1" applyAlignment="1">
      <alignment horizontal="left" vertical="center" wrapText="1"/>
    </xf>
    <xf numFmtId="0" fontId="24" fillId="3" borderId="0" xfId="1" applyFont="1" applyFill="1" applyBorder="1" applyAlignment="1">
      <alignment horizontal="left" vertical="center" wrapText="1"/>
    </xf>
    <xf numFmtId="0" fontId="24" fillId="3" borderId="372" xfId="1" applyFont="1" applyFill="1" applyBorder="1" applyAlignment="1">
      <alignment horizontal="center" vertical="center" wrapText="1"/>
    </xf>
    <xf numFmtId="0" fontId="18" fillId="3" borderId="373" xfId="1" applyFont="1" applyFill="1" applyBorder="1" applyAlignment="1">
      <alignment horizontal="center" vertical="center" wrapText="1"/>
    </xf>
    <xf numFmtId="0" fontId="18" fillId="3" borderId="374" xfId="1" applyFont="1" applyFill="1" applyBorder="1" applyAlignment="1">
      <alignment horizontal="center" vertical="center" wrapText="1"/>
    </xf>
    <xf numFmtId="0" fontId="18" fillId="3" borderId="0" xfId="7" applyFont="1" applyFill="1" applyBorder="1" applyAlignment="1">
      <alignment horizontal="left" vertical="center" wrapText="1"/>
    </xf>
    <xf numFmtId="0" fontId="0" fillId="0" borderId="243" xfId="0" applyBorder="1" applyAlignment="1">
      <alignment wrapText="1"/>
    </xf>
    <xf numFmtId="0" fontId="0" fillId="0" borderId="0" xfId="0" applyBorder="1" applyAlignment="1">
      <alignment wrapText="1"/>
    </xf>
    <xf numFmtId="0" fontId="0" fillId="0" borderId="58" xfId="0" applyBorder="1" applyAlignment="1">
      <alignment wrapText="1"/>
    </xf>
    <xf numFmtId="0" fontId="12" fillId="0" borderId="243" xfId="689"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0" fillId="0" borderId="378" xfId="0" applyBorder="1" applyAlignment="1">
      <alignment horizontal="center"/>
    </xf>
    <xf numFmtId="0" fontId="19" fillId="57" borderId="187" xfId="1" applyFont="1" applyFill="1" applyBorder="1" applyAlignment="1">
      <alignment horizontal="left" vertical="center" wrapText="1"/>
    </xf>
    <xf numFmtId="0" fontId="24" fillId="22" borderId="0" xfId="1" applyFont="1" applyFill="1" applyBorder="1" applyAlignment="1">
      <alignment horizontal="left" vertical="center" wrapText="1"/>
    </xf>
    <xf numFmtId="0" fontId="24" fillId="3" borderId="46" xfId="1" applyFont="1" applyFill="1" applyBorder="1" applyAlignment="1">
      <alignment horizontal="center" vertical="center"/>
    </xf>
    <xf numFmtId="0" fontId="12" fillId="0" borderId="0" xfId="689" applyAlignment="1">
      <alignment horizontal="center" vertical="center"/>
    </xf>
    <xf numFmtId="0" fontId="18" fillId="3" borderId="0" xfId="1" applyFont="1" applyFill="1" applyBorder="1" applyAlignment="1">
      <alignment horizontal="left" vertical="center" wrapText="1"/>
    </xf>
    <xf numFmtId="0" fontId="18" fillId="3" borderId="0" xfId="7" applyFont="1" applyFill="1" applyBorder="1" applyAlignment="1">
      <alignment horizontal="center" vertical="center" wrapText="1"/>
    </xf>
    <xf numFmtId="14" fontId="18" fillId="57" borderId="0" xfId="1" applyNumberFormat="1" applyFont="1" applyFill="1" applyBorder="1" applyAlignment="1">
      <alignment horizontal="left" vertical="top" wrapText="1"/>
    </xf>
    <xf numFmtId="14" fontId="18" fillId="0" borderId="0" xfId="1" applyNumberFormat="1" applyFont="1" applyFill="1" applyBorder="1" applyAlignment="1">
      <alignment horizontal="center"/>
    </xf>
    <xf numFmtId="0" fontId="28" fillId="0" borderId="1" xfId="1" applyFont="1" applyFill="1" applyBorder="1" applyAlignment="1">
      <alignment horizontal="center" wrapText="1"/>
    </xf>
    <xf numFmtId="0" fontId="28" fillId="0" borderId="0" xfId="1" applyFont="1" applyFill="1" applyBorder="1" applyAlignment="1">
      <alignment horizontal="center" wrapText="1"/>
    </xf>
    <xf numFmtId="0" fontId="28" fillId="0" borderId="1" xfId="1" applyFont="1" applyFill="1" applyBorder="1" applyAlignment="1">
      <alignment horizontal="center" vertical="center" wrapText="1"/>
    </xf>
    <xf numFmtId="0" fontId="28" fillId="0" borderId="0" xfId="1" applyFont="1" applyFill="1" applyBorder="1" applyAlignment="1">
      <alignment horizontal="center" vertical="center" wrapText="1"/>
    </xf>
    <xf numFmtId="0" fontId="86" fillId="0" borderId="1" xfId="7" applyFont="1" applyFill="1" applyBorder="1" applyAlignment="1">
      <alignment horizontal="center"/>
    </xf>
    <xf numFmtId="0" fontId="86" fillId="0" borderId="0" xfId="7" applyFont="1" applyFill="1" applyBorder="1" applyAlignment="1">
      <alignment horizontal="center"/>
    </xf>
    <xf numFmtId="14" fontId="18" fillId="0" borderId="1" xfId="7" applyNumberFormat="1" applyFont="1" applyFill="1" applyBorder="1" applyAlignment="1">
      <alignment horizontal="center"/>
    </xf>
    <xf numFmtId="14" fontId="18" fillId="0" borderId="0" xfId="7" applyNumberFormat="1" applyFont="1" applyFill="1" applyBorder="1" applyAlignment="1">
      <alignment horizontal="center"/>
    </xf>
    <xf numFmtId="14" fontId="18" fillId="57" borderId="0" xfId="1" applyNumberFormat="1" applyFont="1" applyFill="1" applyBorder="1" applyAlignment="1">
      <alignment horizontal="center" wrapText="1"/>
    </xf>
    <xf numFmtId="14" fontId="18" fillId="57" borderId="0" xfId="1" applyNumberFormat="1" applyFont="1" applyFill="1" applyBorder="1" applyAlignment="1">
      <alignment horizontal="center"/>
    </xf>
    <xf numFmtId="0" fontId="65" fillId="0" borderId="85" xfId="2" applyFont="1" applyBorder="1" applyAlignment="1" applyProtection="1">
      <alignment horizontal="left"/>
      <protection locked="0"/>
    </xf>
    <xf numFmtId="0" fontId="65" fillId="0" borderId="355" xfId="2" applyFont="1" applyBorder="1" applyAlignment="1" applyProtection="1">
      <alignment horizontal="left"/>
      <protection locked="0"/>
    </xf>
    <xf numFmtId="0" fontId="68" fillId="29" borderId="43" xfId="2" applyFont="1" applyFill="1" applyBorder="1" applyAlignment="1">
      <alignment horizontal="center"/>
    </xf>
    <xf numFmtId="0" fontId="65" fillId="0" borderId="294" xfId="2" applyFont="1" applyBorder="1" applyAlignment="1" applyProtection="1">
      <alignment horizontal="left"/>
      <protection locked="0"/>
    </xf>
    <xf numFmtId="0" fontId="69" fillId="21" borderId="19" xfId="2" applyFont="1" applyFill="1" applyBorder="1" applyAlignment="1">
      <alignment horizontal="left"/>
    </xf>
    <xf numFmtId="0" fontId="69" fillId="21" borderId="356" xfId="2" applyFont="1" applyFill="1" applyBorder="1" applyAlignment="1">
      <alignment horizontal="left"/>
    </xf>
    <xf numFmtId="0" fontId="68" fillId="29" borderId="36" xfId="2" applyFont="1" applyFill="1" applyBorder="1" applyAlignment="1">
      <alignment horizontal="center"/>
    </xf>
    <xf numFmtId="0" fontId="69" fillId="21" borderId="304" xfId="2" applyFont="1" applyFill="1" applyBorder="1" applyAlignment="1">
      <alignment horizontal="left"/>
    </xf>
    <xf numFmtId="0" fontId="19" fillId="3" borderId="241" xfId="2" applyFont="1" applyFill="1" applyBorder="1" applyAlignment="1">
      <alignment horizontal="center"/>
    </xf>
    <xf numFmtId="0" fontId="69" fillId="3" borderId="185" xfId="2" applyFont="1" applyFill="1" applyBorder="1" applyAlignment="1">
      <alignment horizontal="center"/>
    </xf>
    <xf numFmtId="0" fontId="69" fillId="3" borderId="245" xfId="2" applyFont="1" applyFill="1" applyBorder="1" applyAlignment="1">
      <alignment horizontal="center"/>
    </xf>
    <xf numFmtId="0" fontId="69" fillId="3" borderId="246" xfId="2" applyFont="1" applyFill="1" applyBorder="1" applyAlignment="1">
      <alignment horizontal="center"/>
    </xf>
    <xf numFmtId="0" fontId="69" fillId="3" borderId="0" xfId="2" applyFont="1" applyFill="1" applyBorder="1" applyAlignment="1">
      <alignment horizontal="center"/>
    </xf>
    <xf numFmtId="0" fontId="69" fillId="3" borderId="0" xfId="2" applyFont="1" applyFill="1" applyBorder="1" applyAlignment="1">
      <alignment horizontal="center" wrapText="1"/>
    </xf>
    <xf numFmtId="0" fontId="88" fillId="3" borderId="306" xfId="2" applyFont="1" applyFill="1" applyBorder="1" applyAlignment="1">
      <alignment horizontal="center" wrapText="1"/>
    </xf>
    <xf numFmtId="0" fontId="25" fillId="3" borderId="265" xfId="2" applyFont="1" applyFill="1" applyBorder="1" applyAlignment="1">
      <alignment horizontal="center" wrapText="1"/>
    </xf>
    <xf numFmtId="0" fontId="25" fillId="3" borderId="316" xfId="2" applyFont="1" applyFill="1" applyBorder="1" applyAlignment="1">
      <alignment horizontal="center" wrapText="1"/>
    </xf>
    <xf numFmtId="0" fontId="25" fillId="3" borderId="307" xfId="2" applyFont="1" applyFill="1" applyBorder="1" applyAlignment="1">
      <alignment horizontal="center" wrapText="1"/>
    </xf>
    <xf numFmtId="0" fontId="73" fillId="4" borderId="360" xfId="2" applyFont="1" applyFill="1" applyBorder="1" applyAlignment="1">
      <alignment horizontal="center" vertical="center"/>
    </xf>
    <xf numFmtId="0" fontId="73" fillId="4" borderId="361" xfId="2" applyFont="1" applyFill="1" applyBorder="1" applyAlignment="1">
      <alignment horizontal="center" vertical="center"/>
    </xf>
    <xf numFmtId="0" fontId="73" fillId="4" borderId="362" xfId="2" applyFont="1" applyFill="1" applyBorder="1" applyAlignment="1">
      <alignment horizontal="center" vertical="center"/>
    </xf>
    <xf numFmtId="0" fontId="67" fillId="29" borderId="355" xfId="2" applyFont="1" applyFill="1" applyBorder="1" applyAlignment="1">
      <alignment horizontal="center"/>
    </xf>
    <xf numFmtId="0" fontId="67" fillId="29" borderId="364" xfId="2" applyFont="1" applyFill="1" applyBorder="1" applyAlignment="1">
      <alignment horizontal="center"/>
    </xf>
    <xf numFmtId="0" fontId="19" fillId="66" borderId="368" xfId="2" applyFont="1" applyFill="1" applyBorder="1" applyAlignment="1" applyProtection="1">
      <alignment horizontal="center"/>
      <protection locked="0"/>
    </xf>
    <xf numFmtId="0" fontId="19" fillId="66" borderId="369" xfId="2" applyFont="1" applyFill="1" applyBorder="1" applyAlignment="1" applyProtection="1">
      <alignment horizontal="center"/>
      <protection locked="0"/>
    </xf>
    <xf numFmtId="0" fontId="19" fillId="66" borderId="370" xfId="2" applyFont="1" applyFill="1" applyBorder="1" applyAlignment="1" applyProtection="1">
      <alignment horizontal="center"/>
      <protection locked="0"/>
    </xf>
    <xf numFmtId="0" fontId="67" fillId="29" borderId="363" xfId="2" applyFont="1" applyFill="1" applyBorder="1" applyAlignment="1">
      <alignment horizontal="center"/>
    </xf>
    <xf numFmtId="0" fontId="67" fillId="29" borderId="359" xfId="2" applyFont="1" applyFill="1" applyBorder="1" applyAlignment="1">
      <alignment horizontal="center"/>
    </xf>
    <xf numFmtId="0" fontId="67" fillId="29" borderId="340" xfId="2" applyFont="1" applyFill="1" applyBorder="1" applyAlignment="1">
      <alignment horizontal="center"/>
    </xf>
    <xf numFmtId="0" fontId="67" fillId="29" borderId="350" xfId="2" applyFont="1" applyFill="1" applyBorder="1" applyAlignment="1">
      <alignment horizontal="center"/>
    </xf>
    <xf numFmtId="0" fontId="67" fillId="29" borderId="305" xfId="2" applyFont="1" applyFill="1" applyBorder="1" applyAlignment="1">
      <alignment horizontal="center"/>
    </xf>
    <xf numFmtId="0" fontId="67" fillId="29" borderId="38" xfId="2" applyFont="1" applyFill="1" applyBorder="1" applyAlignment="1">
      <alignment horizontal="center"/>
    </xf>
    <xf numFmtId="0" fontId="67" fillId="29" borderId="357" xfId="2" applyFont="1" applyFill="1" applyBorder="1" applyAlignment="1">
      <alignment horizontal="center"/>
    </xf>
    <xf numFmtId="0" fontId="67" fillId="29" borderId="47" xfId="2" applyFont="1" applyFill="1" applyBorder="1" applyAlignment="1">
      <alignment horizontal="center"/>
    </xf>
    <xf numFmtId="0" fontId="67" fillId="29" borderId="297" xfId="2" applyFont="1" applyFill="1" applyBorder="1" applyAlignment="1">
      <alignment horizontal="center"/>
    </xf>
    <xf numFmtId="0" fontId="64" fillId="3" borderId="275" xfId="2" applyFont="1" applyFill="1" applyBorder="1" applyAlignment="1">
      <alignment horizontal="center" vertical="center" wrapText="1"/>
    </xf>
    <xf numFmtId="0" fontId="64" fillId="3" borderId="276" xfId="2" applyFont="1" applyFill="1" applyBorder="1" applyAlignment="1">
      <alignment horizontal="center" vertical="center" wrapText="1"/>
    </xf>
    <xf numFmtId="0" fontId="64" fillId="3" borderId="277" xfId="2" applyFont="1" applyFill="1" applyBorder="1" applyAlignment="1">
      <alignment horizontal="center" vertical="center" wrapText="1"/>
    </xf>
    <xf numFmtId="0" fontId="73" fillId="4" borderId="157" xfId="2" applyFont="1" applyFill="1" applyBorder="1" applyAlignment="1">
      <alignment horizontal="center"/>
    </xf>
    <xf numFmtId="0" fontId="73" fillId="4" borderId="301" xfId="2" applyFont="1" applyFill="1" applyBorder="1" applyAlignment="1">
      <alignment horizontal="center"/>
    </xf>
    <xf numFmtId="0" fontId="73" fillId="4" borderId="302" xfId="2" applyFont="1" applyFill="1" applyBorder="1" applyAlignment="1">
      <alignment horizontal="center"/>
    </xf>
    <xf numFmtId="0" fontId="67" fillId="29" borderId="278" xfId="2" applyFont="1" applyFill="1" applyBorder="1" applyAlignment="1">
      <alignment horizontal="center"/>
    </xf>
    <xf numFmtId="0" fontId="67" fillId="29" borderId="279" xfId="2" applyFont="1" applyFill="1" applyBorder="1" applyAlignment="1">
      <alignment horizontal="center"/>
    </xf>
    <xf numFmtId="0" fontId="67" fillId="29" borderId="251" xfId="2" applyFont="1" applyFill="1" applyBorder="1" applyAlignment="1">
      <alignment horizontal="center"/>
    </xf>
    <xf numFmtId="0" fontId="67" fillId="29" borderId="300" xfId="2" applyFont="1" applyFill="1" applyBorder="1" applyAlignment="1">
      <alignment horizontal="center"/>
    </xf>
    <xf numFmtId="0" fontId="71" fillId="21" borderId="239" xfId="2" applyFont="1" applyFill="1" applyBorder="1" applyAlignment="1">
      <alignment horizontal="center"/>
    </xf>
    <xf numFmtId="0" fontId="71" fillId="21" borderId="75" xfId="2" applyFont="1" applyFill="1" applyBorder="1" applyAlignment="1">
      <alignment horizontal="center"/>
    </xf>
    <xf numFmtId="0" fontId="71" fillId="21" borderId="6" xfId="2" applyFont="1" applyFill="1" applyBorder="1" applyAlignment="1">
      <alignment horizontal="center"/>
    </xf>
    <xf numFmtId="0" fontId="71" fillId="21" borderId="107" xfId="2" applyFont="1" applyFill="1" applyBorder="1" applyAlignment="1">
      <alignment horizontal="center"/>
    </xf>
    <xf numFmtId="0" fontId="71" fillId="21" borderId="296" xfId="2" applyFont="1" applyFill="1" applyBorder="1" applyAlignment="1">
      <alignment horizontal="center"/>
    </xf>
    <xf numFmtId="0" fontId="68" fillId="29" borderId="296" xfId="2" applyFont="1" applyFill="1" applyBorder="1" applyAlignment="1">
      <alignment horizontal="left"/>
    </xf>
    <xf numFmtId="0" fontId="68" fillId="29" borderId="107" xfId="2" applyFont="1" applyFill="1" applyBorder="1" applyAlignment="1">
      <alignment horizontal="left"/>
    </xf>
    <xf numFmtId="0" fontId="68" fillId="29" borderId="296" xfId="2" applyFont="1" applyFill="1" applyBorder="1" applyAlignment="1">
      <alignment horizontal="left" shrinkToFit="1"/>
    </xf>
    <xf numFmtId="0" fontId="68" fillId="29" borderId="106" xfId="2" applyFont="1" applyFill="1" applyBorder="1" applyAlignment="1">
      <alignment horizontal="left" shrinkToFit="1"/>
    </xf>
    <xf numFmtId="0" fontId="67" fillId="29" borderId="311" xfId="2" applyFont="1" applyFill="1" applyBorder="1" applyAlignment="1">
      <alignment horizontal="center"/>
    </xf>
    <xf numFmtId="0" fontId="67" fillId="29" borderId="256" xfId="2" applyFont="1" applyFill="1" applyBorder="1" applyAlignment="1">
      <alignment horizontal="center"/>
    </xf>
    <xf numFmtId="0" fontId="67" fillId="29" borderId="312" xfId="2" applyFont="1" applyFill="1" applyBorder="1" applyAlignment="1">
      <alignment horizontal="center"/>
    </xf>
    <xf numFmtId="0" fontId="64" fillId="3" borderId="77" xfId="8" applyFont="1" applyFill="1" applyBorder="1" applyAlignment="1">
      <alignment horizontal="center" vertical="center"/>
    </xf>
    <xf numFmtId="0" fontId="64" fillId="3" borderId="298" xfId="8" applyFont="1" applyFill="1" applyBorder="1" applyAlignment="1">
      <alignment horizontal="center" vertical="center"/>
    </xf>
    <xf numFmtId="0" fontId="64" fillId="29" borderId="105" xfId="2" applyFont="1" applyFill="1" applyBorder="1" applyAlignment="1">
      <alignment horizontal="center" vertical="center"/>
    </xf>
    <xf numFmtId="0" fontId="64" fillId="29" borderId="285" xfId="2" applyFont="1" applyFill="1" applyBorder="1" applyAlignment="1">
      <alignment horizontal="center" vertical="center"/>
    </xf>
    <xf numFmtId="0" fontId="66" fillId="4" borderId="278" xfId="2" applyFont="1" applyFill="1" applyBorder="1" applyAlignment="1">
      <alignment horizontal="center"/>
    </xf>
    <xf numFmtId="0" fontId="66" fillId="4" borderId="279" xfId="2" applyFont="1" applyFill="1" applyBorder="1" applyAlignment="1">
      <alignment horizontal="center"/>
    </xf>
    <xf numFmtId="0" fontId="66" fillId="4" borderId="280" xfId="2" applyFont="1" applyFill="1" applyBorder="1" applyAlignment="1">
      <alignment horizontal="center"/>
    </xf>
    <xf numFmtId="0" fontId="66" fillId="4" borderId="281" xfId="2" applyFont="1" applyFill="1" applyBorder="1" applyAlignment="1">
      <alignment horizontal="center"/>
    </xf>
    <xf numFmtId="0" fontId="67" fillId="29" borderId="282" xfId="2" applyFont="1" applyFill="1" applyBorder="1" applyAlignment="1">
      <alignment horizontal="center" vertical="center"/>
    </xf>
    <xf numFmtId="0" fontId="67" fillId="29" borderId="238" xfId="2" applyFont="1" applyFill="1" applyBorder="1" applyAlignment="1">
      <alignment horizontal="center" vertical="center"/>
    </xf>
    <xf numFmtId="0" fontId="65" fillId="0" borderId="283" xfId="8" applyFont="1" applyFill="1" applyBorder="1" applyAlignment="1" applyProtection="1">
      <alignment horizontal="center"/>
      <protection locked="0"/>
    </xf>
    <xf numFmtId="0" fontId="65" fillId="0" borderId="264" xfId="8" applyFont="1" applyFill="1" applyBorder="1" applyAlignment="1" applyProtection="1">
      <alignment horizontal="center"/>
      <protection locked="0"/>
    </xf>
    <xf numFmtId="0" fontId="65" fillId="0" borderId="338" xfId="8" applyFont="1" applyFill="1" applyBorder="1" applyAlignment="1" applyProtection="1">
      <alignment horizontal="center"/>
      <protection locked="0"/>
    </xf>
    <xf numFmtId="0" fontId="65" fillId="3" borderId="251" xfId="8" applyFont="1" applyFill="1" applyBorder="1" applyAlignment="1" applyProtection="1">
      <alignment horizontal="center"/>
      <protection locked="0"/>
    </xf>
    <xf numFmtId="0" fontId="65" fillId="3" borderId="284" xfId="8" applyFont="1" applyFill="1" applyBorder="1" applyAlignment="1" applyProtection="1">
      <alignment horizontal="center"/>
      <protection locked="0"/>
    </xf>
    <xf numFmtId="0" fontId="68" fillId="21" borderId="106" xfId="8" applyFont="1" applyFill="1" applyBorder="1" applyAlignment="1">
      <alignment horizontal="center" vertical="top"/>
    </xf>
    <xf numFmtId="0" fontId="68" fillId="21" borderId="347" xfId="8" applyFont="1" applyFill="1" applyBorder="1" applyAlignment="1">
      <alignment horizontal="center" vertical="top"/>
    </xf>
    <xf numFmtId="0" fontId="68" fillId="21" borderId="252" xfId="8" applyFont="1" applyFill="1" applyBorder="1" applyAlignment="1">
      <alignment horizontal="center" vertical="top"/>
    </xf>
    <xf numFmtId="0" fontId="68" fillId="21" borderId="341" xfId="7" applyFont="1" applyFill="1" applyBorder="1" applyAlignment="1">
      <alignment horizontal="center" vertical="top"/>
    </xf>
    <xf numFmtId="0" fontId="68" fillId="21" borderId="285" xfId="7" applyFont="1" applyFill="1" applyBorder="1" applyAlignment="1">
      <alignment horizontal="center" vertical="top"/>
    </xf>
    <xf numFmtId="167" fontId="65" fillId="0" borderId="253" xfId="8" applyNumberFormat="1" applyFont="1" applyBorder="1" applyAlignment="1" applyProtection="1">
      <alignment horizontal="center" shrinkToFit="1"/>
      <protection locked="0"/>
    </xf>
    <xf numFmtId="0" fontId="67" fillId="29" borderId="253" xfId="8" applyFont="1" applyFill="1" applyBorder="1" applyAlignment="1">
      <alignment horizontal="center"/>
    </xf>
    <xf numFmtId="164" fontId="65" fillId="0" borderId="46" xfId="8" applyNumberFormat="1" applyFont="1" applyBorder="1" applyAlignment="1" applyProtection="1">
      <alignment horizontal="center"/>
      <protection locked="0"/>
    </xf>
    <xf numFmtId="18" fontId="65" fillId="0" borderId="42" xfId="8" applyNumberFormat="1" applyFont="1" applyBorder="1" applyAlignment="1" applyProtection="1">
      <alignment horizontal="center" vertical="center"/>
      <protection locked="0"/>
    </xf>
    <xf numFmtId="18" fontId="65" fillId="0" borderId="287" xfId="8" applyNumberFormat="1" applyFont="1" applyBorder="1" applyAlignment="1" applyProtection="1">
      <alignment horizontal="center" vertical="center"/>
      <protection locked="0"/>
    </xf>
    <xf numFmtId="0" fontId="31" fillId="64" borderId="255" xfId="8" applyFont="1" applyFill="1" applyBorder="1" applyAlignment="1">
      <alignment horizontal="center" vertical="top"/>
    </xf>
    <xf numFmtId="0" fontId="68" fillId="64" borderId="256" xfId="8" applyFont="1" applyFill="1" applyBorder="1" applyAlignment="1">
      <alignment horizontal="center" vertical="top"/>
    </xf>
    <xf numFmtId="0" fontId="68" fillId="64" borderId="257" xfId="8" applyFont="1" applyFill="1" applyBorder="1" applyAlignment="1">
      <alignment horizontal="center" vertical="top"/>
    </xf>
    <xf numFmtId="0" fontId="68" fillId="64" borderId="258" xfId="8" applyFont="1" applyFill="1" applyBorder="1" applyAlignment="1">
      <alignment horizontal="center" vertical="top"/>
    </xf>
    <xf numFmtId="0" fontId="68" fillId="64" borderId="259" xfId="8" applyFont="1" applyFill="1" applyBorder="1" applyAlignment="1">
      <alignment horizontal="center" vertical="top"/>
    </xf>
    <xf numFmtId="0" fontId="68" fillId="21" borderId="261" xfId="8" applyFont="1" applyFill="1" applyBorder="1" applyAlignment="1">
      <alignment horizontal="center" vertical="top"/>
    </xf>
    <xf numFmtId="0" fontId="68" fillId="21" borderId="262" xfId="8" applyFont="1" applyFill="1" applyBorder="1" applyAlignment="1">
      <alignment horizontal="center" vertical="top"/>
    </xf>
    <xf numFmtId="0" fontId="68" fillId="21" borderId="263" xfId="8" applyFont="1" applyFill="1" applyBorder="1" applyAlignment="1">
      <alignment horizontal="center" vertical="top"/>
    </xf>
    <xf numFmtId="0" fontId="68" fillId="21" borderId="70" xfId="8" applyFont="1" applyFill="1" applyBorder="1" applyAlignment="1">
      <alignment horizontal="center" vertical="top"/>
    </xf>
    <xf numFmtId="0" fontId="68" fillId="21" borderId="199" xfId="8" applyFont="1" applyFill="1" applyBorder="1" applyAlignment="1">
      <alignment horizontal="center" vertical="top"/>
    </xf>
    <xf numFmtId="0" fontId="68" fillId="21" borderId="348" xfId="8" applyFont="1" applyFill="1" applyBorder="1" applyAlignment="1">
      <alignment horizontal="center" vertical="top"/>
    </xf>
    <xf numFmtId="0" fontId="67" fillId="29" borderId="254" xfId="2" applyFont="1" applyFill="1" applyBorder="1" applyAlignment="1">
      <alignment horizontal="center" vertical="center" wrapText="1"/>
    </xf>
    <xf numFmtId="0" fontId="67" fillId="29" borderId="260" xfId="2" applyFont="1" applyFill="1" applyBorder="1" applyAlignment="1">
      <alignment horizontal="center" vertical="center"/>
    </xf>
    <xf numFmtId="0" fontId="70" fillId="4" borderId="288" xfId="2" applyFont="1" applyFill="1" applyBorder="1" applyAlignment="1">
      <alignment horizontal="center"/>
    </xf>
    <xf numFmtId="0" fontId="70" fillId="4" borderId="83" xfId="2" applyFont="1" applyFill="1" applyBorder="1" applyAlignment="1">
      <alignment horizontal="center"/>
    </xf>
    <xf numFmtId="0" fontId="70" fillId="4" borderId="349" xfId="2" applyFont="1" applyFill="1" applyBorder="1" applyAlignment="1">
      <alignment horizontal="center"/>
    </xf>
    <xf numFmtId="0" fontId="70" fillId="4" borderId="39" xfId="2" applyFont="1" applyFill="1" applyBorder="1" applyAlignment="1">
      <alignment horizontal="center"/>
    </xf>
    <xf numFmtId="0" fontId="70" fillId="4" borderId="289" xfId="2" applyFont="1" applyFill="1" applyBorder="1" applyAlignment="1">
      <alignment horizontal="center"/>
    </xf>
    <xf numFmtId="0" fontId="64" fillId="29" borderId="278" xfId="2" applyFont="1" applyFill="1" applyBorder="1" applyAlignment="1">
      <alignment horizontal="center"/>
    </xf>
    <xf numFmtId="0" fontId="64" fillId="29" borderId="279" xfId="2" applyFont="1" applyFill="1" applyBorder="1" applyAlignment="1">
      <alignment horizontal="center"/>
    </xf>
    <xf numFmtId="0" fontId="64" fillId="29" borderId="250" xfId="2" applyFont="1" applyFill="1" applyBorder="1" applyAlignment="1">
      <alignment horizontal="center"/>
    </xf>
    <xf numFmtId="0" fontId="64" fillId="29" borderId="290" xfId="2" applyFont="1" applyFill="1" applyBorder="1" applyAlignment="1">
      <alignment horizontal="center"/>
    </xf>
    <xf numFmtId="0" fontId="64" fillId="29" borderId="291" xfId="2" applyFont="1" applyFill="1" applyBorder="1" applyAlignment="1">
      <alignment horizontal="center"/>
    </xf>
    <xf numFmtId="0" fontId="64" fillId="29" borderId="292" xfId="2" applyFont="1" applyFill="1" applyBorder="1" applyAlignment="1">
      <alignment horizontal="center"/>
    </xf>
    <xf numFmtId="0" fontId="18" fillId="0" borderId="85" xfId="2" applyFont="1" applyBorder="1" applyAlignment="1" applyProtection="1">
      <alignment horizontal="left"/>
      <protection locked="0"/>
    </xf>
    <xf numFmtId="0" fontId="65" fillId="0" borderId="340" xfId="2" applyFont="1" applyBorder="1" applyAlignment="1" applyProtection="1">
      <alignment horizontal="left"/>
      <protection locked="0"/>
    </xf>
    <xf numFmtId="0" fontId="65" fillId="0" borderId="77" xfId="2" applyFont="1" applyBorder="1" applyAlignment="1" applyProtection="1">
      <alignment horizontal="left"/>
      <protection locked="0"/>
    </xf>
    <xf numFmtId="0" fontId="67" fillId="21" borderId="80" xfId="2" applyFont="1" applyFill="1" applyBorder="1" applyAlignment="1">
      <alignment horizontal="center"/>
    </xf>
    <xf numFmtId="0" fontId="67" fillId="21" borderId="75" xfId="2" applyFont="1" applyFill="1" applyBorder="1" applyAlignment="1">
      <alignment horizontal="center"/>
    </xf>
    <xf numFmtId="0" fontId="18" fillId="0" borderId="340" xfId="8" applyFont="1" applyBorder="1" applyAlignment="1" applyProtection="1">
      <alignment horizontal="left"/>
      <protection locked="0"/>
    </xf>
    <xf numFmtId="0" fontId="65" fillId="0" borderId="350" xfId="8" applyFont="1" applyBorder="1" applyAlignment="1" applyProtection="1">
      <alignment horizontal="left"/>
      <protection locked="0"/>
    </xf>
    <xf numFmtId="0" fontId="65" fillId="0" borderId="365" xfId="8" applyFont="1" applyBorder="1" applyAlignment="1" applyProtection="1">
      <alignment horizontal="left"/>
      <protection locked="0"/>
    </xf>
    <xf numFmtId="0" fontId="68" fillId="3" borderId="272" xfId="2" applyFont="1" applyFill="1" applyBorder="1" applyAlignment="1" applyProtection="1">
      <alignment horizontal="left" vertical="top"/>
      <protection locked="0"/>
    </xf>
    <xf numFmtId="0" fontId="68" fillId="3" borderId="150" xfId="2" applyFont="1" applyFill="1" applyBorder="1" applyAlignment="1" applyProtection="1">
      <alignment horizontal="left" vertical="top"/>
      <protection locked="0"/>
    </xf>
    <xf numFmtId="0" fontId="68" fillId="3" borderId="273" xfId="2" applyFont="1" applyFill="1" applyBorder="1" applyAlignment="1" applyProtection="1">
      <alignment horizontal="left" vertical="top"/>
      <protection locked="0"/>
    </xf>
    <xf numFmtId="0" fontId="68" fillId="3" borderId="317" xfId="2" applyFont="1" applyFill="1" applyBorder="1" applyAlignment="1" applyProtection="1">
      <alignment horizontal="left" vertical="top"/>
      <protection locked="0"/>
    </xf>
    <xf numFmtId="0" fontId="68" fillId="3" borderId="354" xfId="2" applyFont="1" applyFill="1" applyBorder="1" applyAlignment="1" applyProtection="1">
      <alignment horizontal="left" vertical="top"/>
      <protection locked="0"/>
    </xf>
    <xf numFmtId="0" fontId="67" fillId="29" borderId="85" xfId="2" applyFont="1" applyFill="1" applyBorder="1" applyAlignment="1">
      <alignment horizontal="center"/>
    </xf>
    <xf numFmtId="0" fontId="67" fillId="29" borderId="77" xfId="2" applyFont="1" applyFill="1" applyBorder="1" applyAlignment="1">
      <alignment horizontal="center"/>
    </xf>
    <xf numFmtId="0" fontId="68" fillId="29" borderId="239" xfId="2" applyFont="1" applyFill="1" applyBorder="1" applyAlignment="1">
      <alignment horizontal="center"/>
    </xf>
    <xf numFmtId="0" fontId="68" fillId="29" borderId="75" xfId="2" applyFont="1" applyFill="1" applyBorder="1" applyAlignment="1">
      <alignment horizontal="center"/>
    </xf>
    <xf numFmtId="0" fontId="67" fillId="29" borderId="108" xfId="8" applyFont="1" applyFill="1" applyBorder="1" applyAlignment="1">
      <alignment horizontal="center"/>
    </xf>
    <xf numFmtId="0" fontId="67" fillId="29" borderId="295" xfId="8" applyFont="1" applyFill="1" applyBorder="1" applyAlignment="1">
      <alignment horizontal="center"/>
    </xf>
    <xf numFmtId="0" fontId="18" fillId="0" borderId="77" xfId="2" applyFont="1" applyBorder="1" applyAlignment="1" applyProtection="1">
      <alignment horizontal="left"/>
      <protection locked="0"/>
    </xf>
    <xf numFmtId="0" fontId="65" fillId="0" borderId="78" xfId="2" applyFont="1" applyBorder="1" applyAlignment="1" applyProtection="1">
      <alignment horizontal="left"/>
      <protection locked="0"/>
    </xf>
    <xf numFmtId="0" fontId="65" fillId="0" borderId="350" xfId="2" applyFont="1" applyBorder="1" applyAlignment="1" applyProtection="1">
      <alignment horizontal="left"/>
      <protection locked="0"/>
    </xf>
    <xf numFmtId="0" fontId="65" fillId="0" borderId="48" xfId="2" applyFont="1" applyBorder="1" applyAlignment="1" applyProtection="1">
      <alignment horizontal="left"/>
      <protection locked="0"/>
    </xf>
    <xf numFmtId="0" fontId="67" fillId="21" borderId="49" xfId="2" applyFont="1" applyFill="1" applyBorder="1" applyAlignment="1">
      <alignment horizontal="center"/>
    </xf>
    <xf numFmtId="0" fontId="67" fillId="21" borderId="43" xfId="2" applyFont="1" applyFill="1" applyBorder="1" applyAlignment="1">
      <alignment horizontal="center"/>
    </xf>
    <xf numFmtId="0" fontId="71" fillId="21" borderId="49" xfId="2" applyFont="1" applyFill="1" applyBorder="1" applyAlignment="1">
      <alignment horizontal="center"/>
    </xf>
    <xf numFmtId="0" fontId="71" fillId="21" borderId="43" xfId="2" applyFont="1" applyFill="1" applyBorder="1" applyAlignment="1">
      <alignment horizontal="center"/>
    </xf>
    <xf numFmtId="0" fontId="31" fillId="67" borderId="267" xfId="2" applyFont="1" applyFill="1" applyBorder="1" applyAlignment="1">
      <alignment horizontal="left" vertical="center"/>
    </xf>
    <xf numFmtId="0" fontId="68" fillId="67" borderId="268" xfId="2" applyFont="1" applyFill="1" applyBorder="1" applyAlignment="1">
      <alignment horizontal="left" vertical="center"/>
    </xf>
    <xf numFmtId="0" fontId="68" fillId="21" borderId="269" xfId="2" applyFont="1" applyFill="1" applyBorder="1" applyAlignment="1">
      <alignment horizontal="right" vertical="center"/>
    </xf>
    <xf numFmtId="0" fontId="68" fillId="21" borderId="268" xfId="2" applyFont="1" applyFill="1" applyBorder="1" applyAlignment="1">
      <alignment horizontal="right" vertical="center"/>
    </xf>
    <xf numFmtId="0" fontId="73" fillId="4" borderId="306" xfId="2" applyFont="1" applyFill="1" applyBorder="1" applyAlignment="1">
      <alignment horizontal="center"/>
    </xf>
    <xf numFmtId="0" fontId="73" fillId="4" borderId="265" xfId="2" applyFont="1" applyFill="1" applyBorder="1" applyAlignment="1">
      <alignment horizontal="center"/>
    </xf>
    <xf numFmtId="0" fontId="73" fillId="4" borderId="316" xfId="2" applyFont="1" applyFill="1" applyBorder="1" applyAlignment="1">
      <alignment horizontal="center"/>
    </xf>
    <xf numFmtId="0" fontId="73" fillId="4" borderId="307" xfId="2" applyFont="1" applyFill="1" applyBorder="1" applyAlignment="1">
      <alignment horizontal="center"/>
    </xf>
    <xf numFmtId="18" fontId="65" fillId="0" borderId="310" xfId="2" applyNumberFormat="1" applyFont="1" applyBorder="1" applyAlignment="1" applyProtection="1">
      <alignment horizontal="center" vertical="center"/>
      <protection locked="0"/>
    </xf>
    <xf numFmtId="18" fontId="65" fillId="0" borderId="308" xfId="2" applyNumberFormat="1" applyFont="1" applyBorder="1" applyAlignment="1" applyProtection="1">
      <alignment horizontal="center" vertical="center"/>
      <protection locked="0"/>
    </xf>
    <xf numFmtId="0" fontId="68" fillId="68" borderId="322" xfId="2" applyFont="1" applyFill="1" applyBorder="1" applyAlignment="1">
      <alignment horizontal="left" vertical="center"/>
    </xf>
    <xf numFmtId="0" fontId="68" fillId="68" borderId="318" xfId="2" applyFont="1" applyFill="1" applyBorder="1" applyAlignment="1">
      <alignment horizontal="left" vertical="center"/>
    </xf>
    <xf numFmtId="0" fontId="68" fillId="68" borderId="319" xfId="2" applyFont="1" applyFill="1" applyBorder="1" applyAlignment="1">
      <alignment horizontal="left" vertical="center"/>
    </xf>
    <xf numFmtId="0" fontId="68" fillId="68" borderId="320" xfId="2" applyFont="1" applyFill="1" applyBorder="1" applyAlignment="1">
      <alignment horizontal="left" vertical="center"/>
    </xf>
    <xf numFmtId="0" fontId="28" fillId="3" borderId="453" xfId="2" applyFont="1" applyFill="1" applyBorder="1" applyAlignment="1" applyProtection="1">
      <alignment horizontal="center" vertical="center"/>
      <protection locked="0"/>
    </xf>
    <xf numFmtId="0" fontId="28" fillId="3" borderId="150" xfId="2" applyFont="1" applyFill="1" applyBorder="1" applyAlignment="1" applyProtection="1">
      <alignment horizontal="center" vertical="center"/>
      <protection locked="0"/>
    </xf>
    <xf numFmtId="0" fontId="28" fillId="3" borderId="454" xfId="2" applyFont="1" applyFill="1" applyBorder="1" applyAlignment="1" applyProtection="1">
      <alignment horizontal="center" vertical="center"/>
      <protection locked="0"/>
    </xf>
    <xf numFmtId="0" fontId="28" fillId="3" borderId="272" xfId="2" applyFont="1" applyFill="1" applyBorder="1" applyAlignment="1" applyProtection="1">
      <alignment horizontal="center" vertical="center"/>
      <protection locked="0"/>
    </xf>
    <xf numFmtId="18" fontId="74" fillId="0" borderId="150" xfId="2" applyNumberFormat="1" applyFont="1" applyBorder="1" applyAlignment="1" applyProtection="1">
      <alignment horizontal="center" vertical="center"/>
      <protection locked="0"/>
    </xf>
    <xf numFmtId="18" fontId="74" fillId="0" borderId="455" xfId="2" applyNumberFormat="1" applyFont="1" applyBorder="1" applyAlignment="1" applyProtection="1">
      <alignment horizontal="center" vertical="center"/>
      <protection locked="0"/>
    </xf>
    <xf numFmtId="18" fontId="74" fillId="0" borderId="245" xfId="2" applyNumberFormat="1" applyFont="1" applyBorder="1" applyAlignment="1" applyProtection="1">
      <alignment horizontal="center" vertical="center"/>
      <protection locked="0"/>
    </xf>
    <xf numFmtId="18" fontId="74" fillId="0" borderId="456" xfId="2" applyNumberFormat="1" applyFont="1" applyBorder="1" applyAlignment="1" applyProtection="1">
      <alignment horizontal="center" vertical="center"/>
      <protection locked="0"/>
    </xf>
    <xf numFmtId="18" fontId="74" fillId="0" borderId="452" xfId="2" applyNumberFormat="1" applyFont="1" applyBorder="1" applyAlignment="1" applyProtection="1">
      <alignment horizontal="center" vertical="center"/>
      <protection locked="0"/>
    </xf>
    <xf numFmtId="18" fontId="74" fillId="0" borderId="246" xfId="2" applyNumberFormat="1" applyFont="1" applyBorder="1" applyAlignment="1" applyProtection="1">
      <alignment horizontal="center" vertical="center"/>
      <protection locked="0"/>
    </xf>
    <xf numFmtId="0" fontId="31" fillId="3" borderId="376" xfId="2" applyFont="1" applyFill="1" applyBorder="1" applyAlignment="1" applyProtection="1">
      <alignment horizontal="center" vertical="top"/>
      <protection locked="0"/>
    </xf>
    <xf numFmtId="0" fontId="31" fillId="3" borderId="245" xfId="2" applyFont="1" applyFill="1" applyBorder="1" applyAlignment="1" applyProtection="1">
      <alignment horizontal="center" vertical="top"/>
      <protection locked="0"/>
    </xf>
    <xf numFmtId="0" fontId="31" fillId="3" borderId="456" xfId="2" applyFont="1" applyFill="1" applyBorder="1" applyAlignment="1" applyProtection="1">
      <alignment horizontal="center" vertical="top"/>
      <protection locked="0"/>
    </xf>
    <xf numFmtId="0" fontId="31" fillId="3" borderId="226" xfId="2" applyFont="1" applyFill="1" applyBorder="1" applyAlignment="1" applyProtection="1">
      <alignment horizontal="center" vertical="top"/>
      <protection locked="0"/>
    </xf>
    <xf numFmtId="0" fontId="68" fillId="3" borderId="245" xfId="2" applyFont="1" applyFill="1" applyBorder="1" applyAlignment="1" applyProtection="1">
      <alignment horizontal="center" vertical="top"/>
      <protection locked="0"/>
    </xf>
    <xf numFmtId="0" fontId="68" fillId="3" borderId="456" xfId="2" applyFont="1" applyFill="1" applyBorder="1" applyAlignment="1" applyProtection="1">
      <alignment horizontal="center" vertical="top"/>
      <protection locked="0"/>
    </xf>
    <xf numFmtId="0" fontId="18" fillId="0" borderId="161" xfId="1" applyFont="1" applyBorder="1" applyAlignment="1">
      <alignment horizontal="center" shrinkToFit="1"/>
    </xf>
    <xf numFmtId="0" fontId="18" fillId="11" borderId="161" xfId="1" applyFont="1" applyFill="1" applyBorder="1" applyAlignment="1">
      <alignment horizontal="center" shrinkToFit="1"/>
    </xf>
    <xf numFmtId="0" fontId="16" fillId="0" borderId="140" xfId="1" applyFont="1" applyBorder="1" applyAlignment="1" applyProtection="1">
      <alignment horizontal="center" shrinkToFit="1"/>
      <protection locked="0"/>
    </xf>
    <xf numFmtId="0" fontId="16" fillId="11" borderId="140" xfId="1" applyFont="1" applyFill="1" applyBorder="1" applyAlignment="1" applyProtection="1">
      <alignment horizontal="center" shrinkToFit="1"/>
      <protection locked="0"/>
    </xf>
    <xf numFmtId="0" fontId="15" fillId="11" borderId="0" xfId="1" applyFont="1" applyFill="1" applyBorder="1" applyAlignment="1">
      <alignment horizontal="center" vertical="center" shrinkToFit="1"/>
    </xf>
    <xf numFmtId="0" fontId="15" fillId="11" borderId="46" xfId="1" applyFont="1" applyFill="1" applyBorder="1" applyAlignment="1">
      <alignment horizontal="center" vertical="center" shrinkToFit="1"/>
    </xf>
    <xf numFmtId="0" fontId="14" fillId="0" borderId="225" xfId="1" applyFont="1" applyFill="1" applyBorder="1" applyAlignment="1" applyProtection="1">
      <alignment horizontal="center" shrinkToFit="1"/>
      <protection locked="0"/>
    </xf>
    <xf numFmtId="0" fontId="18" fillId="0" borderId="46" xfId="1" applyFont="1" applyFill="1" applyBorder="1" applyAlignment="1">
      <alignment horizontal="center" shrinkToFit="1"/>
    </xf>
    <xf numFmtId="0" fontId="14" fillId="0" borderId="140" xfId="1" applyFont="1" applyFill="1" applyBorder="1" applyAlignment="1" applyProtection="1">
      <alignment horizontal="center" shrinkToFit="1"/>
      <protection locked="0"/>
    </xf>
    <xf numFmtId="0" fontId="18" fillId="0" borderId="161" xfId="1" applyFont="1" applyFill="1" applyBorder="1" applyAlignment="1">
      <alignment horizontal="center" shrinkToFit="1"/>
    </xf>
    <xf numFmtId="0" fontId="15" fillId="20" borderId="0" xfId="7" applyFont="1" applyFill="1" applyBorder="1" applyAlignment="1">
      <alignment horizontal="center" vertical="center" shrinkToFit="1"/>
    </xf>
    <xf numFmtId="0" fontId="14" fillId="0" borderId="171" xfId="0" applyFont="1" applyFill="1" applyBorder="1" applyAlignment="1" applyProtection="1">
      <alignment horizontal="center" shrinkToFit="1"/>
      <protection locked="0"/>
    </xf>
    <xf numFmtId="167" fontId="16" fillId="20" borderId="171" xfId="0" applyNumberFormat="1" applyFont="1" applyFill="1" applyBorder="1" applyAlignment="1">
      <alignment horizontal="center" shrinkToFit="1"/>
    </xf>
    <xf numFmtId="0" fontId="16" fillId="0" borderId="171" xfId="0" applyFont="1" applyFill="1" applyBorder="1" applyAlignment="1" applyProtection="1">
      <alignment horizontal="center" shrinkToFit="1"/>
      <protection locked="0"/>
    </xf>
    <xf numFmtId="0" fontId="18" fillId="0" borderId="0" xfId="7" applyFont="1" applyFill="1" applyBorder="1" applyAlignment="1">
      <alignment horizontal="center" vertical="center" shrinkToFit="1"/>
    </xf>
    <xf numFmtId="0" fontId="18" fillId="20" borderId="150" xfId="7" applyFont="1" applyFill="1" applyBorder="1" applyAlignment="1">
      <alignment horizontal="center" vertical="center" shrinkToFit="1"/>
    </xf>
    <xf numFmtId="0" fontId="18" fillId="0" borderId="0" xfId="7" applyFont="1" applyFill="1" applyBorder="1" applyAlignment="1">
      <alignment horizontal="center" vertical="top" shrinkToFit="1"/>
    </xf>
    <xf numFmtId="0" fontId="18" fillId="0" borderId="150" xfId="7" applyFont="1" applyFill="1" applyBorder="1" applyAlignment="1">
      <alignment horizontal="center" vertical="center" shrinkToFit="1"/>
    </xf>
    <xf numFmtId="0" fontId="18" fillId="10" borderId="155" xfId="0" applyFont="1" applyFill="1" applyBorder="1" applyAlignment="1">
      <alignment horizontal="center" vertical="center"/>
    </xf>
    <xf numFmtId="0" fontId="18" fillId="10" borderId="0" xfId="0" applyFont="1" applyFill="1" applyBorder="1" applyAlignment="1">
      <alignment horizontal="center" vertical="center"/>
    </xf>
    <xf numFmtId="0" fontId="18" fillId="10" borderId="58" xfId="0" applyFont="1" applyFill="1" applyBorder="1" applyAlignment="1">
      <alignment horizontal="center" vertical="center"/>
    </xf>
    <xf numFmtId="0" fontId="29" fillId="21" borderId="135" xfId="7" applyFont="1" applyFill="1" applyBorder="1" applyAlignment="1">
      <alignment horizontal="center" vertical="center" wrapText="1" shrinkToFit="1"/>
    </xf>
    <xf numFmtId="0" fontId="29" fillId="21" borderId="64" xfId="7" applyFont="1" applyFill="1" applyBorder="1" applyAlignment="1">
      <alignment horizontal="center" vertical="center" wrapText="1" shrinkToFit="1"/>
    </xf>
    <xf numFmtId="0" fontId="16" fillId="0" borderId="135" xfId="0" applyFont="1" applyBorder="1" applyAlignment="1">
      <alignment horizontal="center" vertical="center"/>
    </xf>
    <xf numFmtId="0" fontId="16" fillId="0" borderId="57" xfId="0" applyFont="1" applyBorder="1" applyAlignment="1">
      <alignment horizontal="center" vertical="center"/>
    </xf>
    <xf numFmtId="0" fontId="18" fillId="0" borderId="183" xfId="0" applyFont="1" applyBorder="1" applyAlignment="1">
      <alignment horizontal="center" vertical="center"/>
    </xf>
    <xf numFmtId="0" fontId="18" fillId="0" borderId="178" xfId="0" applyFont="1" applyBorder="1" applyAlignment="1">
      <alignment horizontal="center" vertical="center"/>
    </xf>
    <xf numFmtId="0" fontId="18" fillId="0" borderId="179" xfId="0" applyFont="1" applyBorder="1" applyAlignment="1">
      <alignment horizontal="center" vertical="center"/>
    </xf>
    <xf numFmtId="0" fontId="16" fillId="0" borderId="267" xfId="0" applyFont="1" applyBorder="1" applyAlignment="1">
      <alignment horizontal="center" vertical="center"/>
    </xf>
    <xf numFmtId="0" fontId="16" fillId="0" borderId="333" xfId="0" applyFont="1" applyBorder="1" applyAlignment="1">
      <alignment horizontal="center" vertical="center"/>
    </xf>
    <xf numFmtId="0" fontId="29" fillId="21" borderId="345" xfId="7" applyFont="1" applyFill="1" applyBorder="1" applyAlignment="1">
      <alignment horizontal="center" vertical="center" wrapText="1" shrinkToFit="1"/>
    </xf>
    <xf numFmtId="0" fontId="29" fillId="21" borderId="379" xfId="7" applyFont="1" applyFill="1" applyBorder="1" applyAlignment="1">
      <alignment horizontal="center" vertical="center" wrapText="1" shrinkToFit="1"/>
    </xf>
    <xf numFmtId="0" fontId="20" fillId="8" borderId="0" xfId="0" applyFont="1" applyFill="1" applyBorder="1" applyAlignment="1">
      <alignment horizontal="center" vertical="center"/>
    </xf>
    <xf numFmtId="0" fontId="20" fillId="8" borderId="318" xfId="0" applyFont="1" applyFill="1" applyBorder="1" applyAlignment="1">
      <alignment horizontal="center" vertical="center"/>
    </xf>
    <xf numFmtId="0" fontId="16" fillId="20" borderId="135" xfId="0" applyFont="1" applyFill="1" applyBorder="1" applyAlignment="1">
      <alignment horizontal="center" vertical="center"/>
    </xf>
    <xf numFmtId="0" fontId="16" fillId="20" borderId="57" xfId="0" applyFont="1" applyFill="1" applyBorder="1" applyAlignment="1">
      <alignment horizontal="center" vertical="center"/>
    </xf>
    <xf numFmtId="0" fontId="18" fillId="0" borderId="155" xfId="0" applyFont="1" applyBorder="1" applyAlignment="1">
      <alignment horizontal="center" vertical="center"/>
    </xf>
    <xf numFmtId="0" fontId="18" fillId="0" borderId="0" xfId="0" applyFont="1" applyBorder="1" applyAlignment="1">
      <alignment horizontal="center" vertical="center"/>
    </xf>
    <xf numFmtId="0" fontId="18" fillId="0" borderId="58" xfId="0" applyFont="1" applyBorder="1" applyAlignment="1">
      <alignment horizontal="center" vertical="center"/>
    </xf>
    <xf numFmtId="0" fontId="29" fillId="22" borderId="133" xfId="7" applyFont="1" applyFill="1" applyBorder="1" applyAlignment="1">
      <alignment horizontal="center" vertical="center" wrapText="1" shrinkToFit="1"/>
    </xf>
    <xf numFmtId="0" fontId="29" fillId="22" borderId="65" xfId="7" applyFont="1" applyFill="1" applyBorder="1" applyAlignment="1">
      <alignment horizontal="center" vertical="center" wrapText="1" shrinkToFit="1"/>
    </xf>
    <xf numFmtId="0" fontId="29" fillId="21" borderId="143" xfId="7" applyFont="1" applyFill="1" applyBorder="1" applyAlignment="1">
      <alignment horizontal="center" vertical="center" wrapText="1" shrinkToFit="1"/>
    </xf>
    <xf numFmtId="0" fontId="29" fillId="21" borderId="121" xfId="7" applyFont="1" applyFill="1" applyBorder="1" applyAlignment="1">
      <alignment horizontal="center" vertical="center" wrapText="1" shrinkToFit="1"/>
    </xf>
    <xf numFmtId="0" fontId="29" fillId="22" borderId="137" xfId="7" applyFont="1" applyFill="1" applyBorder="1" applyAlignment="1">
      <alignment horizontal="center" vertical="center" wrapText="1" shrinkToFit="1"/>
    </xf>
    <xf numFmtId="0" fontId="29" fillId="22" borderId="138" xfId="7" applyFont="1" applyFill="1" applyBorder="1" applyAlignment="1">
      <alignment horizontal="center" vertical="center" wrapText="1" shrinkToFit="1"/>
    </xf>
    <xf numFmtId="0" fontId="16" fillId="20" borderId="267" xfId="0" applyFont="1" applyFill="1" applyBorder="1" applyAlignment="1">
      <alignment horizontal="center" vertical="center"/>
    </xf>
    <xf numFmtId="0" fontId="29" fillId="22" borderId="387" xfId="7" applyFont="1" applyFill="1" applyBorder="1" applyAlignment="1">
      <alignment horizontal="center" vertical="center" wrapText="1" shrinkToFit="1"/>
    </xf>
    <xf numFmtId="0" fontId="29" fillId="22" borderId="379" xfId="7" applyFont="1" applyFill="1" applyBorder="1" applyAlignment="1">
      <alignment horizontal="center" vertical="center" wrapText="1" shrinkToFit="1"/>
    </xf>
    <xf numFmtId="0" fontId="29" fillId="21" borderId="158" xfId="7" applyFont="1" applyFill="1" applyBorder="1" applyAlignment="1">
      <alignment horizontal="center" vertical="center" wrapText="1" shrinkToFit="1"/>
    </xf>
    <xf numFmtId="0" fontId="29" fillId="21" borderId="388" xfId="7" applyFont="1" applyFill="1" applyBorder="1" applyAlignment="1">
      <alignment horizontal="center" vertical="center" wrapText="1" shrinkToFit="1"/>
    </xf>
    <xf numFmtId="0" fontId="16" fillId="20" borderId="333" xfId="0" applyFont="1" applyFill="1" applyBorder="1" applyAlignment="1">
      <alignment horizontal="center" vertical="center"/>
    </xf>
    <xf numFmtId="0" fontId="16" fillId="20" borderId="151" xfId="0" applyFont="1" applyFill="1" applyBorder="1" applyAlignment="1">
      <alignment horizontal="center" vertical="center"/>
    </xf>
    <xf numFmtId="0" fontId="29" fillId="22" borderId="155" xfId="7" applyFont="1" applyFill="1" applyBorder="1" applyAlignment="1">
      <alignment horizontal="center" vertical="center" wrapText="1" shrinkToFit="1"/>
    </xf>
    <xf numFmtId="0" fontId="18" fillId="10" borderId="375" xfId="0" applyFont="1" applyFill="1" applyBorder="1" applyAlignment="1">
      <alignment horizontal="center" vertical="center"/>
    </xf>
    <xf numFmtId="0" fontId="29" fillId="22" borderId="157" xfId="7" applyFont="1" applyFill="1" applyBorder="1" applyAlignment="1">
      <alignment horizontal="center" vertical="center" wrapText="1" shrinkToFit="1"/>
    </xf>
    <xf numFmtId="0" fontId="16" fillId="20" borderId="243" xfId="0" applyFont="1" applyFill="1" applyBorder="1" applyAlignment="1">
      <alignment horizontal="center" vertical="center"/>
    </xf>
    <xf numFmtId="0" fontId="29" fillId="22" borderId="344" xfId="7" applyFont="1" applyFill="1" applyBorder="1" applyAlignment="1">
      <alignment horizontal="center" vertical="center" wrapText="1" shrinkToFit="1"/>
    </xf>
    <xf numFmtId="0" fontId="24" fillId="21" borderId="183" xfId="7" applyFont="1" applyFill="1" applyBorder="1" applyAlignment="1">
      <alignment horizontal="center" vertical="top" shrinkToFit="1"/>
    </xf>
    <xf numFmtId="0" fontId="24" fillId="21" borderId="179" xfId="7" applyFont="1" applyFill="1" applyBorder="1" applyAlignment="1">
      <alignment horizontal="center" vertical="top" shrinkToFit="1"/>
    </xf>
    <xf numFmtId="0" fontId="24" fillId="21" borderId="267" xfId="7" applyFont="1" applyFill="1" applyBorder="1" applyAlignment="1">
      <alignment horizontal="center" vertical="top" shrinkToFit="1"/>
    </xf>
    <xf numFmtId="0" fontId="24" fillId="21" borderId="271" xfId="7" applyFont="1" applyFill="1" applyBorder="1" applyAlignment="1">
      <alignment horizontal="center" vertical="top" shrinkToFit="1"/>
    </xf>
    <xf numFmtId="0" fontId="18" fillId="25" borderId="179" xfId="0" applyFont="1" applyFill="1" applyBorder="1" applyAlignment="1">
      <alignment horizontal="center" vertical="center"/>
    </xf>
    <xf numFmtId="0" fontId="18" fillId="25" borderId="186" xfId="0" applyFont="1" applyFill="1" applyBorder="1" applyAlignment="1">
      <alignment horizontal="center" vertical="center"/>
    </xf>
    <xf numFmtId="0" fontId="18" fillId="10" borderId="184" xfId="0" applyFont="1" applyFill="1" applyBorder="1" applyAlignment="1">
      <alignment horizontal="center" vertical="center"/>
    </xf>
    <xf numFmtId="0" fontId="18" fillId="10" borderId="185" xfId="0" applyFont="1" applyFill="1" applyBorder="1" applyAlignment="1">
      <alignment horizontal="center" vertical="center"/>
    </xf>
    <xf numFmtId="0" fontId="18" fillId="10" borderId="186" xfId="0" applyFont="1" applyFill="1" applyBorder="1" applyAlignment="1">
      <alignment horizontal="center" vertical="center"/>
    </xf>
    <xf numFmtId="0" fontId="18" fillId="25" borderId="270" xfId="0" applyFont="1" applyFill="1" applyBorder="1" applyAlignment="1">
      <alignment horizontal="center" vertical="center"/>
    </xf>
    <xf numFmtId="0" fontId="18" fillId="25" borderId="245" xfId="0" applyFont="1" applyFill="1" applyBorder="1" applyAlignment="1">
      <alignment horizontal="center" vertical="center"/>
    </xf>
    <xf numFmtId="0" fontId="18" fillId="25" borderId="178" xfId="0" applyFont="1" applyFill="1" applyBorder="1" applyAlignment="1">
      <alignment horizontal="center" vertical="center"/>
    </xf>
    <xf numFmtId="0" fontId="18" fillId="25" borderId="185" xfId="0" applyFont="1" applyFill="1" applyBorder="1" applyAlignment="1">
      <alignment horizontal="center" vertical="center"/>
    </xf>
    <xf numFmtId="0" fontId="18" fillId="0" borderId="375" xfId="0" applyFont="1" applyBorder="1" applyAlignment="1">
      <alignment horizontal="center" vertical="center"/>
    </xf>
    <xf numFmtId="0" fontId="18" fillId="25" borderId="135" xfId="0" applyFont="1" applyFill="1" applyBorder="1" applyAlignment="1">
      <alignment horizontal="center" vertical="center"/>
    </xf>
    <xf numFmtId="0" fontId="18" fillId="25" borderId="57" xfId="0" applyFont="1" applyFill="1" applyBorder="1" applyAlignment="1">
      <alignment horizontal="center" vertical="center"/>
    </xf>
    <xf numFmtId="0" fontId="20" fillId="8" borderId="178" xfId="0" applyFont="1" applyFill="1" applyBorder="1" applyAlignment="1">
      <alignment horizontal="center" vertical="center"/>
    </xf>
    <xf numFmtId="0" fontId="20" fillId="8" borderId="179" xfId="0" applyFont="1" applyFill="1" applyBorder="1" applyAlignment="1">
      <alignment horizontal="center" vertical="center"/>
    </xf>
    <xf numFmtId="0" fontId="20" fillId="8" borderId="185" xfId="0" applyFont="1" applyFill="1" applyBorder="1" applyAlignment="1">
      <alignment horizontal="center" vertical="center"/>
    </xf>
    <xf numFmtId="0" fontId="20" fillId="8" borderId="186" xfId="0" applyFont="1" applyFill="1" applyBorder="1" applyAlignment="1">
      <alignment horizontal="center" vertical="center"/>
    </xf>
    <xf numFmtId="0" fontId="20" fillId="8" borderId="173" xfId="0" applyFont="1" applyFill="1" applyBorder="1" applyAlignment="1">
      <alignment horizontal="center"/>
    </xf>
    <xf numFmtId="0" fontId="20" fillId="8" borderId="174" xfId="0" applyFont="1" applyFill="1" applyBorder="1" applyAlignment="1">
      <alignment horizontal="center"/>
    </xf>
    <xf numFmtId="0" fontId="20" fillId="8" borderId="175" xfId="0" applyFont="1" applyFill="1" applyBorder="1" applyAlignment="1">
      <alignment horizontal="center"/>
    </xf>
    <xf numFmtId="0" fontId="20" fillId="8" borderId="176" xfId="0" applyFont="1" applyFill="1" applyBorder="1" applyAlignment="1">
      <alignment horizontal="center"/>
    </xf>
    <xf numFmtId="167" fontId="16" fillId="0" borderId="335" xfId="0" applyNumberFormat="1" applyFont="1" applyFill="1" applyBorder="1" applyAlignment="1">
      <alignment horizontal="center" shrinkToFit="1"/>
    </xf>
    <xf numFmtId="0" fontId="18" fillId="0" borderId="245" xfId="0" applyFont="1" applyFill="1" applyBorder="1" applyAlignment="1">
      <alignment horizontal="center" vertical="center"/>
    </xf>
    <xf numFmtId="0" fontId="15" fillId="15" borderId="0" xfId="0" applyFont="1" applyFill="1" applyBorder="1" applyAlignment="1">
      <alignment horizontal="center" vertical="center" shrinkToFit="1"/>
    </xf>
    <xf numFmtId="0" fontId="15" fillId="15" borderId="245" xfId="0" applyFont="1" applyFill="1" applyBorder="1" applyAlignment="1">
      <alignment horizontal="center" vertical="center" shrinkToFit="1"/>
    </xf>
    <xf numFmtId="0" fontId="23" fillId="0" borderId="178" xfId="1" applyFont="1" applyFill="1" applyBorder="1" applyAlignment="1">
      <alignment wrapText="1"/>
    </xf>
    <xf numFmtId="0" fontId="23" fillId="0" borderId="178" xfId="1" applyFont="1" applyFill="1" applyBorder="1" applyAlignment="1"/>
    <xf numFmtId="0" fontId="20" fillId="8" borderId="178" xfId="0" applyFont="1" applyFill="1" applyBorder="1" applyAlignment="1">
      <alignment horizontal="center"/>
    </xf>
    <xf numFmtId="0" fontId="20" fillId="8" borderId="179" xfId="0" applyFont="1" applyFill="1" applyBorder="1" applyAlignment="1">
      <alignment horizontal="center"/>
    </xf>
    <xf numFmtId="0" fontId="14" fillId="0" borderId="335" xfId="0" applyFont="1" applyFill="1" applyBorder="1" applyAlignment="1">
      <alignment horizontal="center" shrinkToFit="1"/>
    </xf>
    <xf numFmtId="167" fontId="16" fillId="15" borderId="335" xfId="0" applyNumberFormat="1" applyFont="1" applyFill="1" applyBorder="1" applyAlignment="1">
      <alignment horizontal="center" shrinkToFit="1"/>
    </xf>
    <xf numFmtId="0" fontId="18" fillId="0" borderId="339" xfId="0" applyFont="1" applyFill="1" applyBorder="1" applyAlignment="1">
      <alignment horizontal="center" vertical="center"/>
    </xf>
    <xf numFmtId="0" fontId="18" fillId="15" borderId="339" xfId="0" applyFont="1" applyFill="1" applyBorder="1" applyAlignment="1">
      <alignment horizontal="center" vertical="center"/>
    </xf>
    <xf numFmtId="0" fontId="14" fillId="0" borderId="354" xfId="0" applyFont="1" applyFill="1" applyBorder="1" applyAlignment="1">
      <alignment horizontal="center"/>
    </xf>
    <xf numFmtId="0" fontId="20" fillId="8" borderId="396" xfId="0" applyFont="1" applyFill="1" applyBorder="1" applyAlignment="1">
      <alignment horizontal="center"/>
    </xf>
    <xf numFmtId="0" fontId="20" fillId="8" borderId="270" xfId="0" applyFont="1" applyFill="1" applyBorder="1" applyAlignment="1">
      <alignment horizontal="center"/>
    </xf>
    <xf numFmtId="0" fontId="20" fillId="8" borderId="374" xfId="0" applyFont="1" applyFill="1" applyBorder="1" applyAlignment="1">
      <alignment horizontal="center"/>
    </xf>
    <xf numFmtId="0" fontId="20" fillId="30" borderId="245" xfId="0" applyFont="1" applyFill="1" applyBorder="1" applyAlignment="1">
      <alignment horizontal="center" vertical="center"/>
    </xf>
    <xf numFmtId="0" fontId="15" fillId="69" borderId="0" xfId="0" applyFont="1" applyFill="1" applyBorder="1" applyAlignment="1">
      <alignment horizontal="center" vertical="center" shrinkToFit="1"/>
    </xf>
    <xf numFmtId="0" fontId="15" fillId="69" borderId="245" xfId="0" applyFont="1" applyFill="1" applyBorder="1" applyAlignment="1">
      <alignment horizontal="center" vertical="center" shrinkToFit="1"/>
    </xf>
    <xf numFmtId="167" fontId="16" fillId="69" borderId="354" xfId="0" applyNumberFormat="1" applyFont="1" applyFill="1" applyBorder="1" applyAlignment="1">
      <alignment horizontal="center" shrinkToFit="1"/>
    </xf>
    <xf numFmtId="0" fontId="76" fillId="0" borderId="354" xfId="7" applyFont="1" applyFill="1" applyBorder="1" applyAlignment="1">
      <alignment horizontal="center" vertical="center" shrinkToFit="1"/>
    </xf>
    <xf numFmtId="0" fontId="17" fillId="30" borderId="0" xfId="7" applyFont="1" applyFill="1" applyBorder="1" applyAlignment="1">
      <alignment horizontal="center" vertical="center" shrinkToFit="1"/>
    </xf>
    <xf numFmtId="0" fontId="18" fillId="69" borderId="245" xfId="0" applyFont="1" applyFill="1" applyBorder="1" applyAlignment="1">
      <alignment horizontal="center" vertical="center"/>
    </xf>
    <xf numFmtId="0" fontId="61" fillId="20" borderId="400" xfId="0" applyFont="1" applyFill="1" applyBorder="1" applyAlignment="1">
      <alignment horizontal="center" vertical="center" shrinkToFit="1"/>
    </xf>
    <xf numFmtId="0" fontId="61" fillId="20" borderId="408" xfId="0" applyFont="1" applyFill="1" applyBorder="1" applyAlignment="1">
      <alignment horizontal="center" vertical="center" shrinkToFit="1"/>
    </xf>
    <xf numFmtId="0" fontId="61" fillId="25" borderId="400" xfId="0" applyFont="1" applyFill="1" applyBorder="1" applyAlignment="1">
      <alignment horizontal="center" vertical="center" shrinkToFit="1"/>
    </xf>
    <xf numFmtId="0" fontId="61" fillId="25" borderId="408" xfId="0" applyFont="1" applyFill="1" applyBorder="1" applyAlignment="1">
      <alignment horizontal="center" vertical="center" shrinkToFit="1"/>
    </xf>
    <xf numFmtId="0" fontId="18" fillId="69" borderId="339" xfId="0" applyFont="1" applyFill="1" applyBorder="1" applyAlignment="1">
      <alignment horizontal="center" vertical="center"/>
    </xf>
    <xf numFmtId="0" fontId="23" fillId="0" borderId="270" xfId="0" applyFont="1" applyFill="1" applyBorder="1" applyAlignment="1">
      <alignment horizontal="left" vertical="top" wrapText="1"/>
    </xf>
    <xf numFmtId="0" fontId="23" fillId="0" borderId="0" xfId="0" applyFont="1" applyFill="1" applyBorder="1" applyAlignment="1">
      <alignment horizontal="left" vertical="top" wrapText="1"/>
    </xf>
    <xf numFmtId="0" fontId="76" fillId="8" borderId="0" xfId="0" applyFont="1" applyFill="1" applyBorder="1" applyAlignment="1">
      <alignment horizontal="right" vertical="center"/>
    </xf>
    <xf numFmtId="0" fontId="53" fillId="0" borderId="257" xfId="0" applyFont="1" applyBorder="1" applyAlignment="1" applyProtection="1">
      <alignment vertical="center" wrapText="1"/>
      <protection locked="0"/>
    </xf>
    <xf numFmtId="0" fontId="53" fillId="0" borderId="259" xfId="0" applyFont="1" applyBorder="1" applyAlignment="1" applyProtection="1">
      <alignment vertical="center" wrapText="1"/>
      <protection locked="0"/>
    </xf>
    <xf numFmtId="0" fontId="16" fillId="0" borderId="0" xfId="7" applyFont="1" applyAlignment="1">
      <alignment horizontal="left" wrapText="1"/>
    </xf>
    <xf numFmtId="0" fontId="51" fillId="0" borderId="0" xfId="0" applyFont="1" applyAlignment="1">
      <alignment horizontal="left" wrapText="1"/>
    </xf>
    <xf numFmtId="0" fontId="36" fillId="0" borderId="62" xfId="7" applyFont="1" applyBorder="1" applyAlignment="1" applyProtection="1">
      <alignment horizontal="center" vertical="center" wrapText="1"/>
      <protection locked="0"/>
    </xf>
    <xf numFmtId="0" fontId="36" fillId="0" borderId="63" xfId="7" applyFont="1" applyBorder="1" applyAlignment="1" applyProtection="1">
      <alignment horizontal="center" vertical="center" wrapText="1"/>
      <protection locked="0"/>
    </xf>
    <xf numFmtId="0" fontId="36" fillId="0" borderId="116" xfId="7" applyFont="1" applyBorder="1" applyAlignment="1" applyProtection="1">
      <alignment horizontal="center" vertical="center" wrapText="1"/>
      <protection locked="0"/>
    </xf>
    <xf numFmtId="0" fontId="36" fillId="0" borderId="117" xfId="7" applyFont="1" applyBorder="1" applyAlignment="1" applyProtection="1">
      <alignment horizontal="center" vertical="center" wrapText="1"/>
      <protection locked="0"/>
    </xf>
    <xf numFmtId="0" fontId="52" fillId="0" borderId="0" xfId="7" applyFont="1" applyBorder="1" applyAlignment="1">
      <alignment horizontal="left" vertical="center" wrapText="1"/>
    </xf>
    <xf numFmtId="0" fontId="3" fillId="0" borderId="0" xfId="0" applyFont="1" applyBorder="1" applyAlignment="1">
      <alignment vertical="center" wrapText="1"/>
    </xf>
    <xf numFmtId="0" fontId="25" fillId="0" borderId="115" xfId="7" applyFont="1" applyBorder="1" applyAlignment="1" applyProtection="1">
      <alignment vertical="top" wrapText="1"/>
      <protection locked="0"/>
    </xf>
    <xf numFmtId="0" fontId="25" fillId="0" borderId="116" xfId="7" applyFont="1" applyBorder="1" applyAlignment="1" applyProtection="1">
      <alignment vertical="top" wrapText="1"/>
      <protection locked="0"/>
    </xf>
    <xf numFmtId="0" fontId="25" fillId="0" borderId="117" xfId="7" applyFont="1" applyBorder="1" applyAlignment="1" applyProtection="1">
      <alignment vertical="top" wrapText="1"/>
      <protection locked="0"/>
    </xf>
    <xf numFmtId="0" fontId="36" fillId="0" borderId="50" xfId="7" applyFont="1" applyBorder="1" applyAlignment="1" applyProtection="1">
      <alignment vertical="center" wrapText="1"/>
      <protection locked="0"/>
    </xf>
    <xf numFmtId="0" fontId="36" fillId="0" borderId="51" xfId="7" applyFont="1" applyBorder="1" applyAlignment="1" applyProtection="1">
      <alignment vertical="center" wrapText="1"/>
      <protection locked="0"/>
    </xf>
    <xf numFmtId="0" fontId="36" fillId="0" borderId="323" xfId="7" applyFont="1" applyBorder="1" applyAlignment="1" applyProtection="1">
      <alignment vertical="center" wrapText="1"/>
      <protection locked="0"/>
    </xf>
    <xf numFmtId="0" fontId="53" fillId="0" borderId="62" xfId="0" applyFont="1" applyBorder="1" applyAlignment="1" applyProtection="1">
      <alignment vertical="center" wrapText="1"/>
      <protection locked="0"/>
    </xf>
    <xf numFmtId="0" fontId="53" fillId="0" borderId="63" xfId="0" applyFont="1" applyBorder="1" applyAlignment="1" applyProtection="1">
      <alignment vertical="center" wrapText="1"/>
      <protection locked="0"/>
    </xf>
    <xf numFmtId="0" fontId="53" fillId="0" borderId="232" xfId="0" applyFont="1" applyBorder="1" applyAlignment="1" applyProtection="1">
      <alignment vertical="center" wrapText="1"/>
      <protection locked="0"/>
    </xf>
    <xf numFmtId="0" fontId="53" fillId="0" borderId="244" xfId="0" applyFont="1" applyBorder="1" applyAlignment="1" applyProtection="1">
      <alignment vertical="center" wrapText="1"/>
      <protection locked="0"/>
    </xf>
    <xf numFmtId="0" fontId="54" fillId="0" borderId="232" xfId="0" applyFont="1" applyBorder="1" applyAlignment="1" applyProtection="1">
      <alignment horizontal="center" vertical="center" wrapText="1"/>
      <protection locked="0"/>
    </xf>
    <xf numFmtId="0" fontId="54" fillId="0" borderId="244" xfId="0" applyFont="1" applyBorder="1" applyAlignment="1" applyProtection="1">
      <alignment horizontal="center" vertical="center" wrapText="1"/>
      <protection locked="0"/>
    </xf>
    <xf numFmtId="0" fontId="55" fillId="0" borderId="232" xfId="0" applyFont="1" applyBorder="1" applyAlignment="1" applyProtection="1">
      <alignment vertical="center" wrapText="1"/>
      <protection locked="0"/>
    </xf>
    <xf numFmtId="0" fontId="52" fillId="0" borderId="50" xfId="7" applyFont="1" applyBorder="1" applyAlignment="1" applyProtection="1">
      <alignment vertical="center" wrapText="1"/>
      <protection locked="0"/>
    </xf>
    <xf numFmtId="0" fontId="52" fillId="0" borderId="51" xfId="7" applyFont="1" applyBorder="1" applyAlignment="1" applyProtection="1">
      <alignment vertical="center" wrapText="1"/>
      <protection locked="0"/>
    </xf>
    <xf numFmtId="0" fontId="52" fillId="0" borderId="323" xfId="7" applyFont="1" applyBorder="1" applyAlignment="1" applyProtection="1">
      <alignment vertical="center" wrapText="1"/>
      <protection locked="0"/>
    </xf>
    <xf numFmtId="0" fontId="22" fillId="4" borderId="33" xfId="1" applyFont="1" applyFill="1" applyBorder="1" applyAlignment="1">
      <alignment horizontal="center" vertical="center" textRotation="90" wrapText="1"/>
    </xf>
    <xf numFmtId="0" fontId="22" fillId="4" borderId="35" xfId="1" applyFont="1" applyFill="1" applyBorder="1" applyAlignment="1">
      <alignment horizontal="center" vertical="center" textRotation="90" wrapText="1"/>
    </xf>
    <xf numFmtId="0" fontId="37" fillId="0" borderId="0" xfId="1" applyFont="1" applyBorder="1" applyAlignment="1">
      <alignment horizontal="center" vertical="center"/>
    </xf>
    <xf numFmtId="0" fontId="18" fillId="0" borderId="0" xfId="1" applyFont="1" applyBorder="1" applyAlignment="1">
      <alignment horizontal="center"/>
    </xf>
    <xf numFmtId="167" fontId="18" fillId="0" borderId="46" xfId="1" applyNumberFormat="1" applyFont="1" applyBorder="1" applyAlignment="1">
      <alignment horizontal="center"/>
    </xf>
    <xf numFmtId="167" fontId="18" fillId="0" borderId="342" xfId="1" applyNumberFormat="1" applyFont="1" applyBorder="1" applyAlignment="1">
      <alignment horizontal="center"/>
    </xf>
    <xf numFmtId="0" fontId="22" fillId="4" borderId="34" xfId="1" applyFont="1" applyFill="1" applyBorder="1" applyAlignment="1">
      <alignment horizontal="center"/>
    </xf>
    <xf numFmtId="0" fontId="21" fillId="4" borderId="34" xfId="1" applyFont="1" applyFill="1" applyBorder="1" applyAlignment="1">
      <alignment horizontal="center"/>
    </xf>
    <xf numFmtId="0" fontId="21" fillId="4" borderId="391" xfId="1" applyFont="1" applyFill="1" applyBorder="1" applyAlignment="1">
      <alignment horizontal="center"/>
    </xf>
    <xf numFmtId="0" fontId="21" fillId="4" borderId="95" xfId="1" applyFont="1" applyFill="1" applyBorder="1" applyAlignment="1">
      <alignment horizontal="center"/>
    </xf>
    <xf numFmtId="0" fontId="23" fillId="31" borderId="103" xfId="7" applyFont="1" applyFill="1" applyBorder="1" applyAlignment="1">
      <alignment horizontal="center"/>
    </xf>
    <xf numFmtId="0" fontId="23" fillId="31" borderId="53" xfId="7" applyFont="1" applyFill="1" applyBorder="1" applyAlignment="1">
      <alignment horizontal="center"/>
    </xf>
    <xf numFmtId="0" fontId="23" fillId="31" borderId="84" xfId="7" applyFont="1" applyFill="1" applyBorder="1" applyAlignment="1">
      <alignment horizontal="center"/>
    </xf>
    <xf numFmtId="0" fontId="23" fillId="31" borderId="79" xfId="7" applyFont="1" applyFill="1" applyBorder="1" applyAlignment="1">
      <alignment horizontal="center"/>
    </xf>
    <xf numFmtId="0" fontId="23" fillId="31" borderId="37" xfId="7" applyFont="1" applyFill="1" applyBorder="1" applyAlignment="1">
      <alignment horizontal="center"/>
    </xf>
    <xf numFmtId="0" fontId="23" fillId="31" borderId="11" xfId="7" applyFont="1" applyFill="1" applyBorder="1" applyAlignment="1">
      <alignment horizontal="center"/>
    </xf>
    <xf numFmtId="0" fontId="23" fillId="31" borderId="22" xfId="1" applyFont="1" applyFill="1" applyBorder="1" applyAlignment="1">
      <alignment horizontal="center" vertical="center"/>
    </xf>
    <xf numFmtId="0" fontId="23" fillId="31" borderId="33" xfId="1" applyFont="1" applyFill="1" applyBorder="1" applyAlignment="1">
      <alignment horizontal="center" vertical="center"/>
    </xf>
    <xf numFmtId="0" fontId="23" fillId="31" borderId="35" xfId="1" applyFont="1" applyFill="1" applyBorder="1" applyAlignment="1">
      <alignment horizontal="center" vertical="center"/>
    </xf>
    <xf numFmtId="167" fontId="23" fillId="0" borderId="88" xfId="7" applyNumberFormat="1" applyFont="1" applyFill="1" applyBorder="1" applyAlignment="1">
      <alignment horizontal="center" vertical="center"/>
    </xf>
    <xf numFmtId="0" fontId="28" fillId="0" borderId="204" xfId="7" applyFont="1" applyFill="1" applyBorder="1" applyAlignment="1">
      <alignment horizontal="center" vertical="center"/>
    </xf>
    <xf numFmtId="0" fontId="23" fillId="0" borderId="188" xfId="7" applyFont="1" applyFill="1" applyBorder="1" applyAlignment="1">
      <alignment horizontal="center" vertical="center" shrinkToFit="1"/>
    </xf>
    <xf numFmtId="0" fontId="29" fillId="22" borderId="95" xfId="7" applyFont="1" applyFill="1" applyBorder="1" applyAlignment="1">
      <alignment horizontal="center" vertical="center" wrapText="1"/>
    </xf>
    <xf numFmtId="0" fontId="29" fillId="22" borderId="88" xfId="7" applyFont="1" applyFill="1" applyBorder="1" applyAlignment="1">
      <alignment horizontal="center" vertical="center"/>
    </xf>
    <xf numFmtId="0" fontId="29" fillId="22" borderId="204" xfId="7" applyFont="1" applyFill="1" applyBorder="1" applyAlignment="1">
      <alignment horizontal="center" vertical="center"/>
    </xf>
    <xf numFmtId="0" fontId="29" fillId="22" borderId="188" xfId="7" applyFont="1" applyFill="1" applyBorder="1" applyAlignment="1">
      <alignment horizontal="center" vertical="center"/>
    </xf>
    <xf numFmtId="0" fontId="24" fillId="22" borderId="88" xfId="7" applyFont="1" applyFill="1" applyBorder="1" applyAlignment="1">
      <alignment horizontal="center" vertical="center"/>
    </xf>
    <xf numFmtId="0" fontId="24" fillId="22" borderId="188" xfId="7" applyFont="1" applyFill="1" applyBorder="1" applyAlignment="1">
      <alignment horizontal="center" vertical="center"/>
    </xf>
    <xf numFmtId="0" fontId="18" fillId="21" borderId="77" xfId="7" applyFont="1" applyFill="1" applyBorder="1" applyAlignment="1">
      <alignment horizontal="center" vertical="center" wrapText="1"/>
    </xf>
    <xf numFmtId="0" fontId="18" fillId="21" borderId="48" xfId="7" applyFont="1" applyFill="1" applyBorder="1" applyAlignment="1">
      <alignment horizontal="center" vertical="center" wrapText="1"/>
    </xf>
    <xf numFmtId="0" fontId="18" fillId="0" borderId="77" xfId="7" applyFont="1" applyFill="1" applyBorder="1" applyAlignment="1">
      <alignment horizontal="center" vertical="center" wrapText="1"/>
    </xf>
    <xf numFmtId="0" fontId="18" fillId="0" borderId="48" xfId="7" applyFont="1" applyFill="1" applyBorder="1" applyAlignment="1">
      <alignment horizontal="center" vertical="center" wrapText="1"/>
    </xf>
    <xf numFmtId="0" fontId="39" fillId="4" borderId="98" xfId="7" applyFont="1" applyFill="1" applyBorder="1" applyAlignment="1">
      <alignment horizontal="center"/>
    </xf>
    <xf numFmtId="0" fontId="39" fillId="4" borderId="94" xfId="7" applyFont="1" applyFill="1" applyBorder="1" applyAlignment="1">
      <alignment horizontal="center"/>
    </xf>
    <xf numFmtId="0" fontId="18" fillId="21" borderId="224" xfId="7" applyFont="1" applyFill="1" applyBorder="1" applyAlignment="1">
      <alignment horizontal="center" vertical="center" wrapText="1"/>
    </xf>
    <xf numFmtId="0" fontId="56" fillId="60" borderId="103" xfId="7" applyFont="1" applyFill="1" applyBorder="1" applyAlignment="1">
      <alignment horizontal="center" vertical="top" wrapText="1"/>
    </xf>
    <xf numFmtId="0" fontId="56" fillId="60" borderId="2" xfId="7" applyFont="1" applyFill="1" applyBorder="1" applyAlignment="1">
      <alignment horizontal="center" vertical="top" wrapText="1"/>
    </xf>
    <xf numFmtId="0" fontId="30" fillId="4" borderId="187" xfId="7" applyFont="1" applyFill="1" applyBorder="1" applyAlignment="1">
      <alignment horizontal="center" textRotation="90" wrapText="1"/>
    </xf>
    <xf numFmtId="0" fontId="30" fillId="4" borderId="0" xfId="7" applyFont="1" applyFill="1" applyBorder="1" applyAlignment="1">
      <alignment horizontal="center" textRotation="90" wrapText="1"/>
    </xf>
    <xf numFmtId="0" fontId="30" fillId="4" borderId="46"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21" fillId="4" borderId="1" xfId="7" applyFont="1" applyFill="1" applyBorder="1" applyAlignment="1">
      <alignment horizontal="center" textRotation="90" wrapText="1"/>
    </xf>
    <xf numFmtId="0" fontId="21" fillId="4" borderId="40" xfId="7" applyFont="1" applyFill="1" applyBorder="1" applyAlignment="1">
      <alignment horizontal="center" textRotation="90" wrapText="1"/>
    </xf>
    <xf numFmtId="0" fontId="56" fillId="21" borderId="119" xfId="7" applyFont="1" applyFill="1" applyBorder="1" applyAlignment="1">
      <alignment horizontal="center" vertical="top" wrapText="1"/>
    </xf>
    <xf numFmtId="0" fontId="56" fillId="21" borderId="36" xfId="7" applyFont="1" applyFill="1" applyBorder="1" applyAlignment="1">
      <alignment horizontal="center" vertical="top" wrapText="1"/>
    </xf>
    <xf numFmtId="0" fontId="18" fillId="31" borderId="39" xfId="7" applyFont="1" applyFill="1" applyBorder="1" applyAlignment="1">
      <alignment horizontal="center" vertical="center" wrapText="1"/>
    </xf>
    <xf numFmtId="0" fontId="18" fillId="31" borderId="92" xfId="7" applyFont="1" applyFill="1" applyBorder="1" applyAlignment="1">
      <alignment horizontal="center" vertical="center" wrapText="1"/>
    </xf>
    <xf numFmtId="0" fontId="21" fillId="4" borderId="92" xfId="7" applyFont="1" applyFill="1" applyBorder="1" applyAlignment="1">
      <alignment horizontal="center" vertical="center"/>
    </xf>
    <xf numFmtId="0" fontId="23" fillId="31" borderId="88" xfId="7" applyFont="1" applyFill="1" applyBorder="1" applyAlignment="1">
      <alignment horizontal="center" vertical="center"/>
    </xf>
    <xf numFmtId="0" fontId="23" fillId="31" borderId="204" xfId="7" applyFont="1" applyFill="1" applyBorder="1" applyAlignment="1">
      <alignment horizontal="center" vertical="center"/>
    </xf>
    <xf numFmtId="0" fontId="31" fillId="31" borderId="204" xfId="7" applyFont="1" applyFill="1" applyBorder="1" applyAlignment="1">
      <alignment horizontal="center" vertical="center" wrapText="1"/>
    </xf>
    <xf numFmtId="0" fontId="31" fillId="31" borderId="188" xfId="7" applyFont="1" applyFill="1" applyBorder="1" applyAlignment="1">
      <alignment horizontal="center" vertical="center" wrapText="1"/>
    </xf>
    <xf numFmtId="0" fontId="18" fillId="21" borderId="187" xfId="7" applyFont="1" applyFill="1" applyBorder="1" applyAlignment="1">
      <alignment horizontal="right" vertical="center"/>
    </xf>
    <xf numFmtId="2" fontId="18" fillId="21" borderId="187" xfId="7" applyNumberFormat="1" applyFont="1" applyFill="1" applyBorder="1" applyAlignment="1">
      <alignment horizontal="left" vertical="center"/>
    </xf>
    <xf numFmtId="0" fontId="18" fillId="21" borderId="89" xfId="7" applyFont="1" applyFill="1" applyBorder="1" applyAlignment="1">
      <alignment horizontal="right" vertical="center" wrapText="1"/>
    </xf>
    <xf numFmtId="166" fontId="24" fillId="21" borderId="204" xfId="7" applyNumberFormat="1" applyFont="1" applyFill="1" applyBorder="1" applyAlignment="1">
      <alignment horizontal="center" vertical="center"/>
    </xf>
    <xf numFmtId="9" fontId="18" fillId="21" borderId="88" xfId="7" applyNumberFormat="1" applyFont="1" applyFill="1" applyBorder="1" applyAlignment="1">
      <alignment horizontal="center" vertical="center"/>
    </xf>
    <xf numFmtId="0" fontId="18" fillId="21" borderId="187" xfId="7" applyFont="1" applyFill="1" applyBorder="1" applyAlignment="1">
      <alignment horizontal="center" vertical="center" wrapText="1"/>
    </xf>
    <xf numFmtId="0" fontId="18" fillId="21" borderId="94" xfId="7" applyFont="1" applyFill="1" applyBorder="1" applyAlignment="1">
      <alignment horizontal="center" vertical="center" wrapText="1"/>
    </xf>
    <xf numFmtId="0" fontId="18" fillId="21" borderId="46" xfId="7" applyFont="1" applyFill="1" applyBorder="1" applyAlignment="1">
      <alignment horizontal="center" vertical="center" wrapText="1"/>
    </xf>
    <xf numFmtId="0" fontId="18" fillId="21" borderId="40" xfId="7" applyFont="1" applyFill="1" applyBorder="1" applyAlignment="1">
      <alignment horizontal="center" vertical="center" wrapText="1"/>
    </xf>
    <xf numFmtId="0" fontId="18" fillId="21" borderId="46" xfId="7" applyFont="1" applyFill="1" applyBorder="1" applyAlignment="1">
      <alignment horizontal="right" vertical="center"/>
    </xf>
    <xf numFmtId="2" fontId="18" fillId="21" borderId="46" xfId="7" applyNumberFormat="1" applyFont="1" applyFill="1" applyBorder="1" applyAlignment="1">
      <alignment horizontal="left" vertical="center"/>
    </xf>
    <xf numFmtId="0" fontId="24" fillId="21" borderId="346" xfId="7" applyFont="1" applyFill="1" applyBorder="1" applyAlignment="1">
      <alignment horizontal="center" vertical="center"/>
    </xf>
    <xf numFmtId="0" fontId="24" fillId="21" borderId="40" xfId="7" applyFont="1" applyFill="1" applyBorder="1" applyAlignment="1">
      <alignment horizontal="center" vertical="center"/>
    </xf>
    <xf numFmtId="0" fontId="15" fillId="11" borderId="233" xfId="1" applyFont="1" applyFill="1" applyBorder="1" applyAlignment="1">
      <alignment horizontal="center" vertical="center" shrinkToFit="1"/>
    </xf>
    <xf numFmtId="0" fontId="15" fillId="11" borderId="234" xfId="1" applyFont="1" applyFill="1" applyBorder="1" applyAlignment="1">
      <alignment horizontal="center" vertical="center" shrinkToFit="1"/>
    </xf>
    <xf numFmtId="0" fontId="15" fillId="11" borderId="236" xfId="1" applyFont="1" applyFill="1" applyBorder="1" applyAlignment="1">
      <alignment horizontal="center" vertical="center" shrinkToFit="1"/>
    </xf>
    <xf numFmtId="49" fontId="14" fillId="12" borderId="232" xfId="1" applyNumberFormat="1" applyFont="1" applyFill="1" applyBorder="1" applyAlignment="1" applyProtection="1">
      <alignment horizontal="center" wrapText="1"/>
      <protection locked="0"/>
    </xf>
    <xf numFmtId="49" fontId="14" fillId="12" borderId="244" xfId="1" applyNumberFormat="1" applyFont="1" applyFill="1" applyBorder="1" applyAlignment="1" applyProtection="1">
      <alignment horizontal="center" wrapText="1"/>
      <protection locked="0"/>
    </xf>
    <xf numFmtId="49" fontId="14" fillId="0" borderId="232" xfId="1" applyNumberFormat="1" applyFont="1" applyBorder="1" applyAlignment="1" applyProtection="1">
      <alignment horizontal="center" wrapText="1"/>
      <protection locked="0"/>
    </xf>
    <xf numFmtId="49" fontId="14" fillId="0" borderId="244" xfId="1" applyNumberFormat="1" applyFont="1" applyBorder="1" applyAlignment="1" applyProtection="1">
      <alignment horizontal="center" wrapText="1"/>
      <protection locked="0"/>
    </xf>
    <xf numFmtId="0" fontId="17" fillId="19" borderId="235" xfId="1" applyFont="1" applyFill="1" applyBorder="1" applyAlignment="1">
      <alignment horizontal="center" vertical="center" shrinkToFit="1"/>
    </xf>
    <xf numFmtId="0" fontId="17" fillId="19" borderId="237" xfId="1" applyFont="1" applyFill="1" applyBorder="1" applyAlignment="1">
      <alignment horizontal="center" vertical="center" shrinkToFit="1"/>
    </xf>
    <xf numFmtId="49" fontId="14" fillId="12" borderId="248" xfId="1" applyNumberFormat="1" applyFont="1" applyFill="1" applyBorder="1" applyAlignment="1" applyProtection="1">
      <alignment horizontal="center" wrapText="1"/>
      <protection locked="0"/>
    </xf>
    <xf numFmtId="49" fontId="14" fillId="12" borderId="247" xfId="1" applyNumberFormat="1" applyFont="1" applyFill="1" applyBorder="1" applyAlignment="1" applyProtection="1">
      <alignment horizontal="center" wrapText="1"/>
      <protection locked="0"/>
    </xf>
    <xf numFmtId="0" fontId="0" fillId="0" borderId="245" xfId="0" applyBorder="1" applyAlignment="1">
      <alignment horizontal="center"/>
    </xf>
    <xf numFmtId="0" fontId="0" fillId="0" borderId="246" xfId="0" applyBorder="1" applyAlignment="1">
      <alignment horizontal="center"/>
    </xf>
    <xf numFmtId="0" fontId="18" fillId="69" borderId="61" xfId="0" applyFont="1" applyFill="1" applyBorder="1" applyAlignment="1">
      <alignment horizontal="center" vertical="center" wrapText="1"/>
    </xf>
    <xf numFmtId="0" fontId="18" fillId="69" borderId="62" xfId="0" applyFont="1" applyFill="1" applyBorder="1" applyAlignment="1">
      <alignment horizontal="center" vertical="center" wrapText="1"/>
    </xf>
    <xf numFmtId="0" fontId="18" fillId="69" borderId="327" xfId="0" applyFont="1" applyFill="1" applyBorder="1" applyAlignment="1">
      <alignment horizontal="center" vertical="center" wrapText="1"/>
    </xf>
    <xf numFmtId="0" fontId="18" fillId="69" borderId="325" xfId="0" applyFont="1" applyFill="1" applyBorder="1" applyAlignment="1">
      <alignment horizontal="center" vertical="center" wrapText="1"/>
    </xf>
    <xf numFmtId="0" fontId="18" fillId="69" borderId="63" xfId="0" applyFont="1" applyFill="1" applyBorder="1" applyAlignment="1">
      <alignment horizontal="center" vertical="center" wrapText="1"/>
    </xf>
    <xf numFmtId="0" fontId="18" fillId="69" borderId="326" xfId="0" applyFont="1" applyFill="1" applyBorder="1" applyAlignment="1">
      <alignment horizontal="center" vertical="center" wrapText="1"/>
    </xf>
    <xf numFmtId="0" fontId="16" fillId="0" borderId="62" xfId="0" applyFont="1" applyBorder="1" applyAlignment="1">
      <alignment shrinkToFit="1"/>
    </xf>
    <xf numFmtId="0" fontId="18" fillId="0" borderId="232" xfId="0" applyFont="1" applyBorder="1" applyAlignment="1">
      <alignment horizontal="center" wrapText="1"/>
    </xf>
    <xf numFmtId="0" fontId="18" fillId="0" borderId="244" xfId="0" applyFont="1" applyBorder="1" applyAlignment="1">
      <alignment horizontal="center" wrapText="1"/>
    </xf>
    <xf numFmtId="0" fontId="18" fillId="0" borderId="325" xfId="0" applyFont="1" applyBorder="1" applyAlignment="1">
      <alignment horizontal="center" wrapText="1"/>
    </xf>
    <xf numFmtId="0" fontId="18" fillId="0" borderId="326" xfId="0" applyFont="1" applyBorder="1" applyAlignment="1">
      <alignment horizontal="center" wrapText="1"/>
    </xf>
    <xf numFmtId="0" fontId="18" fillId="0" borderId="72" xfId="0" applyFont="1" applyBorder="1" applyAlignment="1">
      <alignment horizontal="center" wrapText="1"/>
    </xf>
    <xf numFmtId="0" fontId="18" fillId="0" borderId="328" xfId="0" applyFont="1" applyBorder="1" applyAlignment="1">
      <alignment horizontal="center" wrapText="1"/>
    </xf>
    <xf numFmtId="167" fontId="16" fillId="9" borderId="317" xfId="0" applyNumberFormat="1" applyFont="1" applyFill="1" applyBorder="1" applyAlignment="1">
      <alignment horizontal="center" shrinkToFit="1"/>
    </xf>
    <xf numFmtId="0" fontId="16" fillId="0" borderId="317" xfId="0" applyFont="1" applyBorder="1" applyAlignment="1">
      <alignment horizontal="center" shrinkToFit="1"/>
    </xf>
    <xf numFmtId="0" fontId="15" fillId="9" borderId="0" xfId="0" applyFont="1" applyFill="1" applyAlignment="1">
      <alignment horizontal="left" vertical="center" shrinkToFit="1"/>
    </xf>
    <xf numFmtId="0" fontId="18" fillId="9" borderId="150" xfId="0" applyFont="1" applyFill="1" applyBorder="1" applyAlignment="1">
      <alignment horizontal="center" shrinkToFit="1"/>
    </xf>
    <xf numFmtId="0" fontId="16" fillId="0" borderId="150" xfId="0" applyFont="1" applyBorder="1" applyAlignment="1">
      <alignment horizontal="center" vertical="top" shrinkToFit="1"/>
    </xf>
    <xf numFmtId="0" fontId="16" fillId="0" borderId="0" xfId="0" applyFont="1" applyBorder="1" applyAlignment="1">
      <alignment horizontal="center" vertical="top" shrinkToFit="1"/>
    </xf>
    <xf numFmtId="0" fontId="26" fillId="30" borderId="0" xfId="0" applyFont="1" applyFill="1" applyBorder="1" applyAlignment="1">
      <alignment horizontal="center" shrinkToFit="1"/>
    </xf>
    <xf numFmtId="0" fontId="16" fillId="0" borderId="166" xfId="0" applyFont="1" applyBorder="1" applyAlignment="1">
      <alignment shrinkToFit="1"/>
    </xf>
    <xf numFmtId="0" fontId="18" fillId="0" borderId="50" xfId="0" applyFont="1" applyBorder="1" applyAlignment="1">
      <alignment horizontal="center" wrapText="1"/>
    </xf>
    <xf numFmtId="0" fontId="18" fillId="0" borderId="51" xfId="0" applyFont="1" applyBorder="1" applyAlignment="1">
      <alignment horizontal="center" wrapText="1"/>
    </xf>
    <xf numFmtId="0" fontId="18" fillId="0" borderId="52" xfId="0" applyFont="1" applyBorder="1" applyAlignment="1">
      <alignment horizontal="center" wrapText="1"/>
    </xf>
    <xf numFmtId="0" fontId="18" fillId="0" borderId="329" xfId="0" applyFont="1" applyBorder="1" applyAlignment="1">
      <alignment horizontal="center" wrapText="1"/>
    </xf>
    <xf numFmtId="0" fontId="18" fillId="0" borderId="332" xfId="0" applyFont="1" applyBorder="1" applyAlignment="1">
      <alignment horizontal="center" wrapText="1"/>
    </xf>
    <xf numFmtId="0" fontId="21" fillId="4" borderId="148" xfId="1" applyFont="1" applyFill="1" applyBorder="1" applyAlignment="1">
      <alignment horizontal="center" vertical="center"/>
    </xf>
    <xf numFmtId="0" fontId="21" fillId="4" borderId="149" xfId="1" applyFont="1" applyFill="1" applyBorder="1" applyAlignment="1">
      <alignment horizontal="center" vertical="center"/>
    </xf>
    <xf numFmtId="0" fontId="18" fillId="0" borderId="124" xfId="1" applyFont="1" applyFill="1" applyBorder="1" applyAlignment="1">
      <alignment horizontal="center" vertical="center"/>
    </xf>
    <xf numFmtId="0" fontId="16" fillId="0" borderId="140" xfId="1" applyFont="1" applyBorder="1" applyAlignment="1">
      <alignment horizontal="center" shrinkToFit="1"/>
    </xf>
    <xf numFmtId="0" fontId="18" fillId="0" borderId="150" xfId="1" applyFont="1" applyBorder="1" applyAlignment="1">
      <alignment horizontal="center" shrinkToFit="1"/>
    </xf>
    <xf numFmtId="0" fontId="15" fillId="20" borderId="0" xfId="1" applyFont="1" applyFill="1" applyAlignment="1">
      <alignment horizontal="center" vertical="center" shrinkToFit="1"/>
    </xf>
    <xf numFmtId="0" fontId="15" fillId="20" borderId="73" xfId="1" applyFont="1" applyFill="1" applyBorder="1" applyAlignment="1">
      <alignment horizontal="center" vertical="center" shrinkToFit="1"/>
    </xf>
    <xf numFmtId="0" fontId="15" fillId="20" borderId="185" xfId="1" applyFont="1" applyFill="1" applyBorder="1" applyAlignment="1">
      <alignment horizontal="center" vertical="center" shrinkToFit="1"/>
    </xf>
    <xf numFmtId="0" fontId="14" fillId="0" borderId="225" xfId="1" applyFont="1" applyFill="1" applyBorder="1" applyAlignment="1">
      <alignment horizontal="center" shrinkToFit="1"/>
    </xf>
    <xf numFmtId="167" fontId="16" fillId="20" borderId="225" xfId="1" applyNumberFormat="1" applyFont="1" applyFill="1" applyBorder="1" applyAlignment="1">
      <alignment horizontal="center" shrinkToFit="1"/>
    </xf>
    <xf numFmtId="14" fontId="18" fillId="0" borderId="185" xfId="1" applyNumberFormat="1" applyFont="1" applyFill="1" applyBorder="1" applyAlignment="1">
      <alignment horizontal="center" shrinkToFit="1"/>
    </xf>
    <xf numFmtId="0" fontId="18" fillId="20" borderId="185" xfId="1" applyFont="1" applyFill="1" applyBorder="1" applyAlignment="1">
      <alignment horizontal="center" shrinkToFit="1"/>
    </xf>
    <xf numFmtId="14" fontId="18" fillId="0" borderId="60" xfId="1" applyNumberFormat="1" applyFont="1" applyFill="1" applyBorder="1" applyAlignment="1">
      <alignment horizontal="center" shrinkToFit="1"/>
    </xf>
    <xf numFmtId="167" fontId="16" fillId="20" borderId="140" xfId="1" applyNumberFormat="1" applyFont="1" applyFill="1" applyBorder="1" applyAlignment="1">
      <alignment horizontal="center" shrinkToFit="1"/>
    </xf>
    <xf numFmtId="0" fontId="18" fillId="20" borderId="60" xfId="1" applyFont="1" applyFill="1" applyBorder="1" applyAlignment="1">
      <alignment horizontal="center" shrinkToFit="1"/>
    </xf>
    <xf numFmtId="0" fontId="15" fillId="0" borderId="0" xfId="1" applyFont="1" applyBorder="1" applyAlignment="1">
      <alignment horizontal="center"/>
    </xf>
    <xf numFmtId="0" fontId="28" fillId="0" borderId="0" xfId="1" applyFont="1" applyAlignment="1">
      <alignment horizontal="center"/>
    </xf>
    <xf numFmtId="0" fontId="15" fillId="0" borderId="270" xfId="1" applyFont="1" applyBorder="1" applyAlignment="1">
      <alignment horizontal="center"/>
    </xf>
    <xf numFmtId="0" fontId="28" fillId="0" borderId="0" xfId="1" applyFont="1" applyBorder="1" applyAlignment="1">
      <alignment horizontal="center" shrinkToFit="1"/>
    </xf>
    <xf numFmtId="0" fontId="18" fillId="0" borderId="16" xfId="1" applyFont="1" applyBorder="1" applyAlignment="1">
      <alignment vertical="center"/>
    </xf>
    <xf numFmtId="49" fontId="18" fillId="0" borderId="54" xfId="1" applyNumberFormat="1" applyFont="1" applyBorder="1" applyAlignment="1">
      <alignment horizontal="center" vertical="center"/>
    </xf>
    <xf numFmtId="49" fontId="18" fillId="0" borderId="55" xfId="1" applyNumberFormat="1" applyFont="1" applyBorder="1" applyAlignment="1">
      <alignment horizontal="center" vertical="center"/>
    </xf>
    <xf numFmtId="49" fontId="18" fillId="0" borderId="56" xfId="1" applyNumberFormat="1" applyFont="1" applyBorder="1" applyAlignment="1">
      <alignment horizontal="center" vertical="center"/>
    </xf>
    <xf numFmtId="0" fontId="18" fillId="0" borderId="34" xfId="1" applyFont="1" applyBorder="1" applyAlignment="1">
      <alignment horizontal="center" vertical="center" wrapText="1"/>
    </xf>
    <xf numFmtId="0" fontId="18" fillId="0" borderId="5" xfId="1" applyFont="1" applyBorder="1" applyAlignment="1">
      <alignment vertical="center"/>
    </xf>
    <xf numFmtId="0" fontId="18" fillId="0" borderId="26" xfId="1" applyFont="1" applyBorder="1" applyAlignment="1">
      <alignment horizontal="center"/>
    </xf>
    <xf numFmtId="0" fontId="18" fillId="0" borderId="187" xfId="1" applyFont="1" applyBorder="1" applyAlignment="1">
      <alignment horizontal="center"/>
    </xf>
    <xf numFmtId="0" fontId="21" fillId="4" borderId="131" xfId="1" applyFont="1" applyFill="1" applyBorder="1" applyAlignment="1">
      <alignment horizontal="center" vertical="center"/>
    </xf>
    <xf numFmtId="0" fontId="18" fillId="0" borderId="10" xfId="1" applyFont="1" applyBorder="1" applyAlignment="1">
      <alignment vertical="center"/>
    </xf>
    <xf numFmtId="0" fontId="21" fillId="4" borderId="0" xfId="1" applyFont="1" applyFill="1" applyBorder="1" applyAlignment="1">
      <alignment horizontal="center" vertical="center"/>
    </xf>
    <xf numFmtId="0" fontId="21" fillId="4" borderId="1" xfId="1" applyFont="1" applyFill="1" applyBorder="1" applyAlignment="1">
      <alignment horizontal="center" vertical="center"/>
    </xf>
    <xf numFmtId="0" fontId="18" fillId="0" borderId="197" xfId="1" applyFont="1" applyBorder="1" applyAlignment="1">
      <alignment vertical="center"/>
    </xf>
    <xf numFmtId="0" fontId="18" fillId="0" borderId="81" xfId="1" applyFont="1" applyBorder="1" applyAlignment="1">
      <alignment vertical="center"/>
    </xf>
    <xf numFmtId="0" fontId="18" fillId="0" borderId="198" xfId="1" applyFont="1" applyBorder="1" applyAlignment="1">
      <alignment vertical="center"/>
    </xf>
    <xf numFmtId="49" fontId="18" fillId="18" borderId="191" xfId="1" applyNumberFormat="1" applyFont="1" applyFill="1" applyBorder="1" applyAlignment="1">
      <alignment horizontal="center" vertical="center"/>
    </xf>
    <xf numFmtId="49" fontId="18" fillId="18" borderId="192" xfId="1" applyNumberFormat="1" applyFont="1" applyFill="1" applyBorder="1" applyAlignment="1">
      <alignment horizontal="center" vertical="center"/>
    </xf>
    <xf numFmtId="0" fontId="18" fillId="21" borderId="195" xfId="1" applyFont="1" applyFill="1" applyBorder="1" applyAlignment="1">
      <alignment vertical="center"/>
    </xf>
    <xf numFmtId="0" fontId="18" fillId="21" borderId="193" xfId="1" applyFont="1" applyFill="1" applyBorder="1" applyAlignment="1">
      <alignment vertical="center"/>
    </xf>
    <xf numFmtId="0" fontId="18" fillId="21" borderId="196" xfId="1" applyFont="1" applyFill="1" applyBorder="1" applyAlignment="1">
      <alignment vertical="center"/>
    </xf>
    <xf numFmtId="0" fontId="15" fillId="9" borderId="0" xfId="1" applyFont="1" applyFill="1" applyBorder="1" applyAlignment="1">
      <alignment horizontal="center" vertical="center" shrinkToFit="1"/>
    </xf>
    <xf numFmtId="167" fontId="16" fillId="9" borderId="0" xfId="1" applyNumberFormat="1" applyFont="1" applyFill="1" applyAlignment="1">
      <alignment horizontal="center" shrinkToFit="1"/>
    </xf>
    <xf numFmtId="167" fontId="16" fillId="9" borderId="32" xfId="1" applyNumberFormat="1" applyFont="1" applyFill="1" applyBorder="1" applyAlignment="1">
      <alignment horizontal="center" shrinkToFit="1"/>
    </xf>
    <xf numFmtId="0" fontId="18" fillId="0" borderId="0" xfId="1" applyFont="1" applyBorder="1" applyAlignment="1">
      <alignment horizontal="right" vertical="center" shrinkToFit="1"/>
    </xf>
    <xf numFmtId="0" fontId="21" fillId="4" borderId="41" xfId="1" applyFont="1" applyFill="1" applyBorder="1" applyAlignment="1">
      <alignment horizontal="center" vertical="center"/>
    </xf>
    <xf numFmtId="0" fontId="18" fillId="0" borderId="30" xfId="1" applyFont="1" applyBorder="1" applyAlignment="1">
      <alignment vertical="center"/>
    </xf>
    <xf numFmtId="0" fontId="17" fillId="30" borderId="0" xfId="1" applyFont="1" applyFill="1" applyBorder="1" applyAlignment="1">
      <alignment horizontal="center" vertical="center" shrinkToFit="1"/>
    </xf>
    <xf numFmtId="0" fontId="18" fillId="0" borderId="188" xfId="1" applyFont="1" applyBorder="1" applyAlignment="1">
      <alignment horizontal="center" vertical="center" wrapText="1"/>
    </xf>
    <xf numFmtId="0" fontId="21" fillId="4" borderId="150" xfId="1" applyFont="1" applyFill="1" applyBorder="1" applyAlignment="1">
      <alignment horizontal="center" vertical="center"/>
    </xf>
    <xf numFmtId="0" fontId="18" fillId="0" borderId="0" xfId="1" applyFont="1" applyAlignment="1">
      <alignment horizontal="center" shrinkToFit="1"/>
    </xf>
    <xf numFmtId="0" fontId="18" fillId="0" borderId="32" xfId="1" applyFont="1" applyBorder="1" applyAlignment="1">
      <alignment horizontal="center" shrinkToFit="1"/>
    </xf>
    <xf numFmtId="0" fontId="18" fillId="0" borderId="193" xfId="1" applyFont="1" applyFill="1" applyBorder="1" applyAlignment="1">
      <alignment horizontal="center" vertical="top" shrinkToFit="1"/>
    </xf>
    <xf numFmtId="0" fontId="18" fillId="9" borderId="0" xfId="1" applyFont="1" applyFill="1" applyBorder="1" applyAlignment="1">
      <alignment horizontal="center" vertical="center" shrinkToFit="1"/>
    </xf>
    <xf numFmtId="0" fontId="18" fillId="9" borderId="32" xfId="1" applyFont="1" applyFill="1" applyBorder="1" applyAlignment="1">
      <alignment horizontal="center" vertical="center" shrinkToFit="1"/>
    </xf>
    <xf numFmtId="0" fontId="18" fillId="0" borderId="31" xfId="1" applyFont="1" applyBorder="1" applyAlignment="1">
      <alignment vertical="center"/>
    </xf>
    <xf numFmtId="0" fontId="18" fillId="0" borderId="32" xfId="1" applyFont="1" applyBorder="1" applyAlignment="1">
      <alignment vertical="center"/>
    </xf>
    <xf numFmtId="0" fontId="18" fillId="0" borderId="194" xfId="1" applyFont="1" applyBorder="1" applyAlignment="1">
      <alignment vertical="center"/>
    </xf>
    <xf numFmtId="49" fontId="18" fillId="18" borderId="189" xfId="1" applyNumberFormat="1" applyFont="1" applyFill="1" applyBorder="1" applyAlignment="1">
      <alignment horizontal="center" vertical="center"/>
    </xf>
    <xf numFmtId="49" fontId="18" fillId="18" borderId="190" xfId="1" applyNumberFormat="1" applyFont="1" applyFill="1" applyBorder="1" applyAlignment="1">
      <alignment horizontal="center" vertical="center"/>
    </xf>
    <xf numFmtId="0" fontId="18" fillId="21" borderId="70" xfId="1" applyFont="1" applyFill="1" applyBorder="1" applyAlignment="1">
      <alignment vertical="center"/>
    </xf>
    <xf numFmtId="0" fontId="18" fillId="21" borderId="199" xfId="1" applyFont="1" applyFill="1" applyBorder="1" applyAlignment="1">
      <alignment vertical="center"/>
    </xf>
    <xf numFmtId="0" fontId="18" fillId="21" borderId="200" xfId="1" applyFont="1" applyFill="1" applyBorder="1" applyAlignment="1">
      <alignment vertical="center"/>
    </xf>
    <xf numFmtId="0" fontId="18" fillId="0" borderId="0" xfId="1" applyFont="1" applyBorder="1" applyAlignment="1">
      <alignment horizontal="center" shrinkToFit="1"/>
    </xf>
    <xf numFmtId="0" fontId="18" fillId="9" borderId="225" xfId="1" applyFont="1" applyFill="1" applyBorder="1" applyAlignment="1">
      <alignment horizontal="center" vertical="center" shrinkToFit="1"/>
    </xf>
    <xf numFmtId="0" fontId="1" fillId="0" borderId="433" xfId="688" applyBorder="1"/>
    <xf numFmtId="0" fontId="1" fillId="0" borderId="434" xfId="688" applyBorder="1"/>
    <xf numFmtId="0" fontId="1" fillId="0" borderId="435" xfId="688" applyBorder="1"/>
    <xf numFmtId="0" fontId="78" fillId="0" borderId="372" xfId="688" applyFont="1" applyBorder="1" applyAlignment="1">
      <alignment shrinkToFit="1"/>
    </xf>
    <xf numFmtId="0" fontId="78" fillId="0" borderId="270" xfId="688" applyFont="1" applyBorder="1" applyAlignment="1">
      <alignment shrinkToFit="1"/>
    </xf>
    <xf numFmtId="0" fontId="78" fillId="0" borderId="421" xfId="688" applyFont="1" applyBorder="1" applyAlignment="1">
      <alignment shrinkToFit="1"/>
    </xf>
    <xf numFmtId="0" fontId="78" fillId="0" borderId="335" xfId="688" applyFont="1" applyBorder="1" applyAlignment="1">
      <alignment shrinkToFit="1"/>
    </xf>
    <xf numFmtId="0" fontId="1" fillId="0" borderId="419" xfId="688" applyFont="1" applyBorder="1"/>
    <xf numFmtId="0" fontId="1" fillId="0" borderId="420" xfId="688" applyFont="1" applyBorder="1"/>
    <xf numFmtId="0" fontId="1" fillId="0" borderId="419" xfId="688" applyBorder="1"/>
    <xf numFmtId="0" fontId="1" fillId="0" borderId="420" xfId="688" applyBorder="1"/>
    <xf numFmtId="0" fontId="1" fillId="0" borderId="424" xfId="688" applyFont="1" applyBorder="1" applyAlignment="1">
      <alignment wrapText="1"/>
    </xf>
    <xf numFmtId="0" fontId="1" fillId="0" borderId="425" xfId="688" applyFont="1" applyBorder="1" applyAlignment="1">
      <alignment wrapText="1"/>
    </xf>
    <xf numFmtId="0" fontId="1" fillId="0" borderId="426" xfId="688" applyFont="1" applyBorder="1" applyAlignment="1">
      <alignment wrapText="1"/>
    </xf>
    <xf numFmtId="0" fontId="1" fillId="0" borderId="427" xfId="688" applyFont="1" applyBorder="1" applyAlignment="1">
      <alignment wrapText="1"/>
    </xf>
    <xf numFmtId="0" fontId="79" fillId="8" borderId="398" xfId="688" applyFont="1" applyFill="1" applyBorder="1"/>
    <xf numFmtId="0" fontId="79" fillId="8" borderId="270" xfId="688" applyFont="1" applyFill="1" applyBorder="1"/>
    <xf numFmtId="0" fontId="79" fillId="8" borderId="374" xfId="688" applyFont="1" applyFill="1" applyBorder="1"/>
    <xf numFmtId="0" fontId="1" fillId="0" borderId="416" xfId="688" applyBorder="1"/>
    <xf numFmtId="0" fontId="1" fillId="0" borderId="417" xfId="688" applyBorder="1"/>
    <xf numFmtId="0" fontId="1" fillId="0" borderId="418" xfId="688" applyBorder="1"/>
    <xf numFmtId="0" fontId="1" fillId="0" borderId="436" xfId="688" applyBorder="1"/>
    <xf numFmtId="0" fontId="1" fillId="0" borderId="437" xfId="688" applyBorder="1"/>
    <xf numFmtId="0" fontId="1" fillId="0" borderId="438" xfId="688" applyBorder="1"/>
    <xf numFmtId="0" fontId="81" fillId="0" borderId="368" xfId="688" applyFont="1" applyBorder="1" applyAlignment="1">
      <alignment vertical="top"/>
    </xf>
    <xf numFmtId="0" fontId="81" fillId="0" borderId="369" xfId="688" applyFont="1" applyBorder="1" applyAlignment="1">
      <alignment vertical="top"/>
    </xf>
    <xf numFmtId="0" fontId="81" fillId="0" borderId="370" xfId="688" applyFont="1" applyBorder="1" applyAlignment="1">
      <alignment vertical="top"/>
    </xf>
    <xf numFmtId="0" fontId="1" fillId="0" borderId="431" xfId="688" applyFont="1" applyBorder="1" applyAlignment="1">
      <alignment wrapText="1"/>
    </xf>
    <xf numFmtId="0" fontId="1" fillId="0" borderId="439" xfId="688" applyFont="1" applyBorder="1" applyAlignment="1">
      <alignment wrapText="1"/>
    </xf>
    <xf numFmtId="0" fontId="1" fillId="0" borderId="441" xfId="688" applyBorder="1"/>
    <xf numFmtId="0" fontId="1" fillId="0" borderId="442" xfId="688" applyBorder="1"/>
    <xf numFmtId="0" fontId="1" fillId="0" borderId="443" xfId="688" applyBorder="1"/>
    <xf numFmtId="0" fontId="16" fillId="0" borderId="441" xfId="0" applyFont="1" applyBorder="1" applyAlignment="1">
      <alignment vertical="center"/>
    </xf>
    <xf numFmtId="0" fontId="16" fillId="0" borderId="444" xfId="0" applyFont="1" applyBorder="1" applyAlignment="1">
      <alignment vertical="center"/>
    </xf>
    <xf numFmtId="0" fontId="16" fillId="0" borderId="445" xfId="0" applyFont="1" applyBorder="1" applyAlignment="1">
      <alignment vertical="center"/>
    </xf>
    <xf numFmtId="0" fontId="16" fillId="0" borderId="443" xfId="0" applyFont="1" applyBorder="1" applyAlignment="1">
      <alignment vertical="center"/>
    </xf>
    <xf numFmtId="0" fontId="29" fillId="0" borderId="0" xfId="0" applyFont="1" applyAlignment="1">
      <alignment horizontal="center"/>
    </xf>
    <xf numFmtId="0" fontId="23" fillId="0" borderId="0" xfId="0" applyFont="1" applyAlignment="1">
      <alignment horizontal="left"/>
    </xf>
    <xf numFmtId="0" fontId="23" fillId="0" borderId="0" xfId="0" applyFont="1"/>
    <xf numFmtId="0" fontId="15" fillId="0" borderId="0" xfId="0" applyFont="1" applyBorder="1" applyAlignment="1">
      <alignment wrapText="1"/>
    </xf>
    <xf numFmtId="0" fontId="16" fillId="0" borderId="431" xfId="0" applyFont="1" applyBorder="1" applyAlignment="1">
      <alignment horizontal="center" vertical="center"/>
    </xf>
    <xf numFmtId="0" fontId="16" fillId="0" borderId="449" xfId="0" applyFont="1" applyBorder="1" applyAlignment="1">
      <alignment horizontal="center" vertical="center"/>
    </xf>
    <xf numFmtId="0" fontId="16" fillId="0" borderId="450" xfId="0" applyFont="1" applyBorder="1" applyAlignment="1">
      <alignment horizontal="center" vertical="center"/>
    </xf>
    <xf numFmtId="0" fontId="16" fillId="0" borderId="451" xfId="0" applyFont="1" applyBorder="1" applyAlignment="1">
      <alignment horizontal="center" vertical="center"/>
    </xf>
    <xf numFmtId="0" fontId="16" fillId="0" borderId="433" xfId="0" applyFont="1" applyBorder="1" applyAlignment="1">
      <alignment vertical="center"/>
    </xf>
    <xf numFmtId="0" fontId="16" fillId="0" borderId="432" xfId="0" applyFont="1" applyBorder="1" applyAlignment="1">
      <alignment vertical="center"/>
    </xf>
    <xf numFmtId="0" fontId="16" fillId="0" borderId="446" xfId="0" applyFont="1" applyBorder="1" applyAlignment="1">
      <alignment vertical="center"/>
    </xf>
    <xf numFmtId="0" fontId="16" fillId="0" borderId="435" xfId="0" applyFont="1" applyBorder="1" applyAlignment="1">
      <alignment vertical="center"/>
    </xf>
    <xf numFmtId="0" fontId="15" fillId="0" borderId="0" xfId="0" applyFont="1"/>
    <xf numFmtId="0" fontId="16" fillId="0" borderId="327" xfId="0" applyFont="1" applyBorder="1" applyAlignment="1">
      <alignment horizontal="center" vertical="center"/>
    </xf>
    <xf numFmtId="0" fontId="16" fillId="0" borderId="447" xfId="0" applyFont="1" applyBorder="1" applyAlignment="1">
      <alignment horizontal="center" vertical="center"/>
    </xf>
    <xf numFmtId="0" fontId="16" fillId="0" borderId="448" xfId="0" applyFont="1" applyBorder="1" applyAlignment="1">
      <alignment horizontal="center" vertical="center"/>
    </xf>
    <xf numFmtId="0" fontId="16" fillId="0" borderId="440" xfId="0" applyFont="1" applyBorder="1" applyAlignment="1">
      <alignment horizontal="center" vertical="center"/>
    </xf>
    <xf numFmtId="0" fontId="21" fillId="4" borderId="0" xfId="1" applyFont="1" applyFill="1" applyBorder="1" applyAlignment="1">
      <alignment horizontal="center"/>
    </xf>
    <xf numFmtId="0" fontId="18" fillId="34" borderId="0" xfId="7" applyFont="1" applyFill="1" applyBorder="1" applyAlignment="1">
      <alignment horizontal="center" vertical="center"/>
    </xf>
    <xf numFmtId="49" fontId="18" fillId="34" borderId="0" xfId="7" applyNumberFormat="1" applyFont="1" applyFill="1" applyBorder="1" applyAlignment="1">
      <alignment horizontal="center" vertical="center"/>
    </xf>
    <xf numFmtId="0" fontId="18" fillId="34" borderId="0" xfId="7" applyFont="1" applyFill="1" applyBorder="1" applyAlignment="1">
      <alignment vertical="center"/>
    </xf>
    <xf numFmtId="0" fontId="18" fillId="61" borderId="0" xfId="7" applyFont="1" applyFill="1" applyBorder="1" applyAlignment="1">
      <alignment horizontal="center" vertical="center" wrapText="1"/>
    </xf>
    <xf numFmtId="0" fontId="18" fillId="34" borderId="0" xfId="7" applyFont="1" applyFill="1" applyBorder="1" applyAlignment="1">
      <alignment horizontal="center" vertical="center" wrapText="1"/>
    </xf>
    <xf numFmtId="0" fontId="24" fillId="7" borderId="0" xfId="7" applyFont="1" applyFill="1" applyBorder="1" applyAlignment="1">
      <alignment horizontal="center" vertical="center"/>
    </xf>
    <xf numFmtId="0" fontId="18" fillId="0" borderId="0" xfId="7" applyFont="1" applyBorder="1" applyAlignment="1">
      <alignment horizontal="center" vertical="center"/>
    </xf>
    <xf numFmtId="49" fontId="18" fillId="0" borderId="0" xfId="7" applyNumberFormat="1" applyFont="1" applyBorder="1" applyAlignment="1">
      <alignment horizontal="center" vertical="center"/>
    </xf>
    <xf numFmtId="0" fontId="18" fillId="0" borderId="0" xfId="7" applyFont="1" applyBorder="1" applyAlignment="1">
      <alignment vertical="center"/>
    </xf>
    <xf numFmtId="0" fontId="18" fillId="49" borderId="165" xfId="7" applyFont="1" applyFill="1" applyBorder="1" applyAlignment="1">
      <alignment horizontal="center" wrapText="1"/>
    </xf>
    <xf numFmtId="0" fontId="18" fillId="48" borderId="0" xfId="7" applyFont="1" applyFill="1" applyBorder="1" applyAlignment="1">
      <alignment horizontal="center"/>
    </xf>
    <xf numFmtId="0" fontId="24" fillId="32" borderId="0" xfId="1" applyFont="1" applyFill="1" applyBorder="1" applyAlignment="1">
      <alignment horizontal="center" vertical="center" wrapText="1"/>
    </xf>
    <xf numFmtId="0" fontId="18" fillId="37" borderId="0" xfId="1" applyFont="1" applyFill="1" applyBorder="1" applyAlignment="1">
      <alignment horizontal="center" vertical="center"/>
    </xf>
    <xf numFmtId="0" fontId="45" fillId="57" borderId="0" xfId="0" applyFont="1" applyFill="1" applyAlignment="1">
      <alignment horizontal="left"/>
    </xf>
    <xf numFmtId="0" fontId="18" fillId="57" borderId="0" xfId="0" applyFont="1" applyFill="1" applyAlignment="1">
      <alignment horizontal="left"/>
    </xf>
    <xf numFmtId="0" fontId="18" fillId="57" borderId="0" xfId="0" applyFont="1" applyFill="1" applyAlignment="1">
      <alignment horizontal="left" wrapText="1"/>
    </xf>
    <xf numFmtId="0" fontId="18" fillId="57" borderId="0" xfId="0" applyFont="1" applyFill="1" applyAlignment="1">
      <alignment wrapText="1"/>
    </xf>
    <xf numFmtId="0" fontId="24" fillId="57" borderId="0" xfId="0" applyFont="1" applyFill="1" applyAlignment="1">
      <alignment horizontal="left"/>
    </xf>
    <xf numFmtId="0" fontId="34" fillId="57" borderId="0" xfId="0" applyFont="1" applyFill="1" applyAlignment="1">
      <alignment horizontal="left"/>
    </xf>
    <xf numFmtId="0" fontId="27" fillId="57" borderId="0" xfId="0" applyFont="1" applyFill="1" applyAlignment="1">
      <alignment horizontal="left"/>
    </xf>
    <xf numFmtId="0" fontId="0" fillId="57" borderId="0" xfId="0" applyFill="1" applyAlignment="1">
      <alignment horizontal="left"/>
    </xf>
    <xf numFmtId="0" fontId="46" fillId="57" borderId="0" xfId="0" applyFont="1" applyFill="1" applyAlignment="1">
      <alignment horizontal="left"/>
    </xf>
    <xf numFmtId="0" fontId="18" fillId="0" borderId="0" xfId="0" applyFont="1" applyAlignment="1">
      <alignment horizontal="left" wrapText="1"/>
    </xf>
    <xf numFmtId="0" fontId="24" fillId="0" borderId="0" xfId="0" applyFont="1" applyAlignment="1">
      <alignment horizontal="left"/>
    </xf>
    <xf numFmtId="0" fontId="42" fillId="0" borderId="0" xfId="0" applyFont="1" applyAlignment="1">
      <alignment horizontal="left"/>
    </xf>
    <xf numFmtId="0" fontId="18" fillId="0" borderId="0" xfId="0" applyFont="1" applyAlignment="1">
      <alignment horizontal="left"/>
    </xf>
    <xf numFmtId="0" fontId="27" fillId="0" borderId="0" xfId="0" applyFont="1" applyAlignment="1">
      <alignment horizontal="left"/>
    </xf>
    <xf numFmtId="0" fontId="27" fillId="0" borderId="0" xfId="0" applyFont="1" applyAlignment="1">
      <alignment horizontal="left" vertical="top" wrapText="1"/>
    </xf>
    <xf numFmtId="0" fontId="18" fillId="0" borderId="0" xfId="0" applyFont="1" applyAlignment="1">
      <alignment horizontal="left" vertical="top" wrapText="1"/>
    </xf>
    <xf numFmtId="15" fontId="42" fillId="0" borderId="0" xfId="0" applyNumberFormat="1" applyFont="1" applyAlignment="1">
      <alignment horizontal="left"/>
    </xf>
    <xf numFmtId="0" fontId="18" fillId="0" borderId="0" xfId="0" applyFont="1" applyAlignment="1">
      <alignment vertical="top" wrapText="1"/>
    </xf>
    <xf numFmtId="0" fontId="18" fillId="0" borderId="0" xfId="0" applyFont="1" applyAlignment="1">
      <alignment wrapText="1"/>
    </xf>
    <xf numFmtId="17" fontId="42" fillId="0" borderId="0" xfId="0" applyNumberFormat="1" applyFont="1" applyAlignment="1">
      <alignment horizontal="left"/>
    </xf>
    <xf numFmtId="14" fontId="27" fillId="0" borderId="0" xfId="0" applyNumberFormat="1" applyFont="1" applyAlignment="1">
      <alignment horizontal="center"/>
    </xf>
    <xf numFmtId="0" fontId="43" fillId="0" borderId="0" xfId="0" applyFont="1" applyAlignment="1">
      <alignment horizontal="left" vertical="center"/>
    </xf>
    <xf numFmtId="0" fontId="27" fillId="0" borderId="0" xfId="0" applyFont="1" applyAlignment="1">
      <alignment horizontal="left" wrapText="1"/>
    </xf>
    <xf numFmtId="0" fontId="27" fillId="0" borderId="0" xfId="0" applyFont="1" applyAlignment="1">
      <alignment horizontal="left" vertical="center" wrapText="1"/>
    </xf>
    <xf numFmtId="0" fontId="18" fillId="0" borderId="0" xfId="0" applyFont="1" applyAlignment="1">
      <alignment horizontal="left" vertical="center" wrapText="1"/>
    </xf>
    <xf numFmtId="15" fontId="24" fillId="0" borderId="0" xfId="0" applyNumberFormat="1" applyFont="1" applyAlignment="1">
      <alignment horizontal="left"/>
    </xf>
    <xf numFmtId="49" fontId="90" fillId="3" borderId="76" xfId="1" applyNumberFormat="1" applyFont="true" applyFill="1" applyBorder="1" applyAlignment="1" applyProtection="1">
      <alignment horizontal="center" wrapText="1" shrinkToFit="1"/>
      <protection locked="0"/>
    </xf>
    <xf numFmtId="0" fontId="90" fillId="3" borderId="77" xfId="8" applyFont="true" applyFill="1" applyBorder="1" applyAlignment="1" applyProtection="1">
      <alignment horizontal="left"/>
      <protection locked="0"/>
    </xf>
  </cellXfs>
  <cellStyles count="690">
    <cellStyle name="ContentsHyperlink" xfId="413"/>
    <cellStyle name="Excel Built-in Normal" xfId="1"/>
    <cellStyle name="Excel Built-in Normal 2" xfId="7"/>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4" builtinId="9" hidden="1"/>
    <cellStyle name="Followed Hyperlink" xfId="415"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9" builtinId="8"/>
    <cellStyle name="Normal" xfId="0" builtinId="0"/>
    <cellStyle name="Normal 10" xfId="687"/>
    <cellStyle name="Normal 10 2" xfId="688"/>
    <cellStyle name="Normal 2" xfId="2"/>
    <cellStyle name="Normal 2 2" xfId="8"/>
    <cellStyle name="Normal 3" xfId="3"/>
    <cellStyle name="Normal 3 2" xfId="9"/>
    <cellStyle name="Normal 4" xfId="4"/>
    <cellStyle name="Normal 4 2" xfId="10"/>
    <cellStyle name="Normal 5" xfId="6"/>
    <cellStyle name="Normal 6" xfId="5"/>
    <cellStyle name="Normal 7" xfId="11"/>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BEB2D1C0-ECEA-4FD3-BDD9-9060F72E0652}"/>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statsbook/" TargetMode="External" Type="http://schemas.openxmlformats.org/officeDocument/2006/relationships/hyperlink"/><Relationship Id="rId2" Target="https://resources.wftda.org/competition/wftda-competition-and-rankings/"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 Id="rId5" Target="../drawings/drawing3.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A1:CQ165"/>
  <sheetViews>
    <sheetView zoomScaleNormal="100" workbookViewId="0">
      <selection activeCell="O31" sqref="O31"/>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54" t="s">
        <v>168</v>
      </c>
      <c r="B1" s="954"/>
      <c r="C1" s="954"/>
      <c r="D1" s="954"/>
      <c r="E1" s="954"/>
      <c r="F1" s="954"/>
      <c r="G1" s="954"/>
      <c r="H1" s="954"/>
      <c r="I1" s="954"/>
      <c r="J1" s="954"/>
      <c r="K1" s="955"/>
    </row>
    <row r="2" spans="1:95" ht="18" customHeight="1" x14ac:dyDescent="0.2">
      <c r="A2" s="956" t="s">
        <v>302</v>
      </c>
      <c r="B2" s="956"/>
      <c r="C2" s="956"/>
      <c r="D2" s="956"/>
      <c r="E2" s="956"/>
      <c r="F2" s="956"/>
      <c r="G2" s="956"/>
      <c r="H2" s="956"/>
      <c r="I2" s="956"/>
      <c r="J2" s="956"/>
      <c r="K2" s="957"/>
    </row>
    <row r="3" spans="1:95" ht="15.75" customHeight="1" x14ac:dyDescent="0.2">
      <c r="A3" s="958" t="s">
        <v>564</v>
      </c>
      <c r="B3" s="958"/>
      <c r="C3" s="958"/>
      <c r="D3" s="958"/>
      <c r="E3" s="958"/>
      <c r="F3" s="958"/>
      <c r="G3" s="958"/>
      <c r="H3" s="958"/>
      <c r="I3" s="958"/>
      <c r="J3" s="958"/>
      <c r="K3" s="959"/>
    </row>
    <row r="4" spans="1:95" ht="15.75" customHeight="1" x14ac:dyDescent="0.2">
      <c r="A4" s="960" t="s">
        <v>575</v>
      </c>
      <c r="B4" s="960"/>
      <c r="C4" s="960"/>
      <c r="D4" s="960"/>
      <c r="E4" s="960"/>
      <c r="F4" s="960"/>
      <c r="G4" s="960"/>
      <c r="H4" s="960"/>
      <c r="I4" s="960"/>
      <c r="J4" s="960"/>
      <c r="K4" s="961"/>
    </row>
    <row r="5" spans="1:95" ht="15.75" customHeight="1" x14ac:dyDescent="0.2">
      <c r="A5" s="953"/>
      <c r="B5" s="953"/>
      <c r="C5" s="953"/>
      <c r="D5" s="953"/>
      <c r="E5" s="953"/>
      <c r="F5" s="953"/>
      <c r="G5" s="953"/>
      <c r="H5" s="953"/>
      <c r="I5" s="953"/>
      <c r="J5" s="953"/>
      <c r="K5" s="953"/>
    </row>
    <row r="6" spans="1:95" ht="25.5" customHeight="1" x14ac:dyDescent="0.2">
      <c r="A6" s="962" t="s">
        <v>565</v>
      </c>
      <c r="B6" s="963"/>
      <c r="C6" s="963"/>
      <c r="D6" s="963"/>
      <c r="E6" s="963"/>
      <c r="F6" s="963"/>
      <c r="G6" s="963"/>
      <c r="H6" s="963"/>
      <c r="I6" s="963"/>
      <c r="J6" s="963"/>
      <c r="K6" s="963"/>
    </row>
    <row r="7" spans="1:95" ht="24" customHeight="1" x14ac:dyDescent="0.2">
      <c r="A7" s="183"/>
      <c r="B7" s="183"/>
      <c r="C7" s="183"/>
      <c r="D7" s="183"/>
      <c r="E7" s="183"/>
      <c r="F7" s="183"/>
      <c r="G7" s="183"/>
      <c r="H7" s="183"/>
      <c r="I7" s="183"/>
      <c r="J7" s="183"/>
      <c r="K7" s="183"/>
    </row>
    <row r="8" spans="1:95" ht="52.5" customHeight="1" x14ac:dyDescent="0.2">
      <c r="A8" s="952" t="s">
        <v>304</v>
      </c>
      <c r="B8" s="952"/>
      <c r="C8" s="952"/>
      <c r="D8" s="952"/>
      <c r="E8" s="952"/>
      <c r="F8" s="952"/>
      <c r="G8" s="952"/>
      <c r="H8" s="952"/>
      <c r="I8" s="952"/>
      <c r="J8" s="952"/>
      <c r="K8" s="952"/>
    </row>
    <row r="9" spans="1:95" s="7" customFormat="1" ht="9" customHeight="1" thickBot="1" x14ac:dyDescent="0.25">
      <c r="A9" s="184"/>
      <c r="B9" s="184"/>
      <c r="C9" s="184"/>
      <c r="D9" s="184"/>
      <c r="E9" s="184"/>
      <c r="F9" s="184"/>
      <c r="G9" s="184"/>
      <c r="H9" s="184"/>
      <c r="I9" s="184"/>
      <c r="J9" s="184"/>
      <c r="K9" s="184"/>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33" t="s">
        <v>376</v>
      </c>
      <c r="B10" s="934"/>
      <c r="C10" s="934"/>
      <c r="D10" s="934"/>
      <c r="E10" s="934"/>
      <c r="F10" s="934"/>
      <c r="G10" s="934"/>
      <c r="H10" s="934"/>
      <c r="I10" s="934"/>
      <c r="J10" s="934"/>
      <c r="K10" s="935"/>
    </row>
    <row r="11" spans="1:95" ht="27" customHeight="1" x14ac:dyDescent="0.2">
      <c r="A11" s="937" t="s">
        <v>403</v>
      </c>
      <c r="B11" s="938"/>
      <c r="C11" s="938"/>
      <c r="D11" s="938"/>
      <c r="E11" s="938"/>
      <c r="F11" s="938"/>
      <c r="G11" s="938"/>
      <c r="H11" s="938"/>
      <c r="I11" s="938"/>
      <c r="J11" s="938"/>
      <c r="K11" s="939"/>
    </row>
    <row r="12" spans="1:95" x14ac:dyDescent="0.2">
      <c r="A12" s="940" t="s">
        <v>546</v>
      </c>
      <c r="B12" s="941"/>
      <c r="C12" s="941"/>
      <c r="D12" s="941"/>
      <c r="E12" s="941"/>
      <c r="F12" s="941"/>
      <c r="G12" s="941"/>
      <c r="H12" s="941"/>
      <c r="I12" s="941"/>
      <c r="J12" s="941"/>
      <c r="K12" s="942"/>
      <c r="L12" s="585"/>
    </row>
    <row r="13" spans="1:95" ht="15" customHeight="1" thickBot="1" x14ac:dyDescent="0.25">
      <c r="A13" s="943"/>
      <c r="B13" s="944"/>
      <c r="C13" s="944"/>
      <c r="D13" s="944"/>
      <c r="E13" s="944"/>
      <c r="F13" s="944"/>
      <c r="G13" s="944"/>
      <c r="H13" s="944"/>
      <c r="I13" s="944"/>
      <c r="J13" s="944"/>
      <c r="K13" s="945"/>
    </row>
    <row r="14" spans="1:95" ht="15" customHeight="1" x14ac:dyDescent="0.2">
      <c r="A14" s="931" t="s">
        <v>169</v>
      </c>
      <c r="B14" s="931"/>
      <c r="C14" s="931"/>
      <c r="D14" s="931"/>
      <c r="E14" s="931"/>
      <c r="F14" s="931"/>
      <c r="G14" s="931"/>
      <c r="H14" s="931"/>
      <c r="I14" s="931"/>
      <c r="J14" s="931"/>
      <c r="K14" s="931"/>
    </row>
    <row r="15" spans="1:95" ht="15" customHeight="1" x14ac:dyDescent="0.2">
      <c r="A15" s="914"/>
      <c r="B15" s="915"/>
      <c r="C15" s="915"/>
      <c r="D15" s="915"/>
      <c r="E15" s="915"/>
      <c r="F15" s="915"/>
      <c r="G15" s="915"/>
      <c r="H15" s="915"/>
      <c r="I15" s="915"/>
      <c r="J15" s="915"/>
      <c r="K15" s="915"/>
    </row>
    <row r="16" spans="1:95" ht="15" customHeight="1" x14ac:dyDescent="0.2">
      <c r="A16" s="930" t="s">
        <v>377</v>
      </c>
      <c r="B16" s="930"/>
      <c r="C16" s="930"/>
      <c r="D16" s="930"/>
      <c r="E16" s="930"/>
      <c r="F16" s="930"/>
      <c r="G16" s="930"/>
      <c r="H16" s="930"/>
      <c r="I16" s="930"/>
      <c r="J16" s="930"/>
      <c r="K16" s="930"/>
    </row>
    <row r="17" spans="1:11" ht="15" customHeight="1" x14ac:dyDescent="0.2">
      <c r="A17" s="949" t="s">
        <v>547</v>
      </c>
      <c r="B17" s="949"/>
      <c r="C17" s="949"/>
      <c r="D17" s="949"/>
      <c r="E17" s="949"/>
      <c r="F17" s="949"/>
      <c r="G17" s="949"/>
      <c r="H17" s="949"/>
      <c r="I17" s="949"/>
      <c r="J17" s="949"/>
      <c r="K17" s="949"/>
    </row>
    <row r="18" spans="1:11" ht="15" customHeight="1" x14ac:dyDescent="0.2">
      <c r="A18" s="916"/>
      <c r="B18" s="916"/>
      <c r="C18" s="916"/>
      <c r="D18" s="916"/>
      <c r="E18" s="916"/>
      <c r="F18" s="916"/>
      <c r="G18" s="916"/>
      <c r="H18" s="916"/>
      <c r="I18" s="916"/>
      <c r="J18" s="916"/>
      <c r="K18" s="916"/>
    </row>
    <row r="19" spans="1:11" ht="15" customHeight="1" x14ac:dyDescent="0.2">
      <c r="A19" s="932" t="s">
        <v>375</v>
      </c>
      <c r="B19" s="932"/>
      <c r="C19" s="932"/>
      <c r="D19" s="932"/>
      <c r="E19" s="932"/>
      <c r="F19" s="932"/>
      <c r="G19" s="932"/>
      <c r="H19" s="932"/>
      <c r="I19" s="932"/>
      <c r="J19" s="932"/>
      <c r="K19" s="932"/>
    </row>
    <row r="20" spans="1:11" ht="15" customHeight="1" x14ac:dyDescent="0.2">
      <c r="A20" s="936" t="s">
        <v>528</v>
      </c>
      <c r="B20" s="936"/>
      <c r="C20" s="936"/>
      <c r="D20" s="936"/>
      <c r="E20" s="936"/>
      <c r="F20" s="936"/>
      <c r="G20" s="936"/>
      <c r="H20" s="936"/>
      <c r="I20" s="936"/>
      <c r="J20" s="936"/>
      <c r="K20" s="936"/>
    </row>
    <row r="21" spans="1:11" ht="15" customHeight="1" x14ac:dyDescent="0.2">
      <c r="A21" s="917"/>
      <c r="B21" s="918" t="s">
        <v>548</v>
      </c>
      <c r="C21" s="918"/>
      <c r="D21" s="918"/>
      <c r="E21" s="918"/>
      <c r="F21" s="918"/>
      <c r="G21" s="918"/>
      <c r="H21" s="918"/>
      <c r="I21" s="918"/>
      <c r="J21" s="917"/>
      <c r="K21" s="919"/>
    </row>
    <row r="22" spans="1:11" ht="15" customHeight="1" x14ac:dyDescent="0.2">
      <c r="A22" s="936" t="s">
        <v>529</v>
      </c>
      <c r="B22" s="936"/>
      <c r="C22" s="936"/>
      <c r="D22" s="936"/>
      <c r="E22" s="936"/>
      <c r="F22" s="936"/>
      <c r="G22" s="936"/>
      <c r="H22" s="936"/>
      <c r="I22" s="936"/>
      <c r="J22" s="936"/>
      <c r="K22" s="936"/>
    </row>
    <row r="23" spans="1:11" ht="15" customHeight="1" x14ac:dyDescent="0.2">
      <c r="A23" s="917"/>
      <c r="B23" s="936" t="s">
        <v>549</v>
      </c>
      <c r="C23" s="936"/>
      <c r="D23" s="936"/>
      <c r="E23" s="936"/>
      <c r="F23" s="936"/>
      <c r="G23" s="936"/>
      <c r="H23" s="936"/>
      <c r="I23" s="936"/>
      <c r="J23" s="936"/>
      <c r="K23" s="936"/>
    </row>
    <row r="24" spans="1:11" ht="15" customHeight="1" x14ac:dyDescent="0.2">
      <c r="A24" s="913"/>
      <c r="B24" s="913"/>
      <c r="C24" s="913"/>
      <c r="D24" s="913"/>
      <c r="E24" s="913"/>
      <c r="F24" s="913"/>
      <c r="G24" s="913"/>
      <c r="H24" s="913"/>
      <c r="I24" s="913"/>
      <c r="J24" s="913"/>
      <c r="K24" s="913"/>
    </row>
    <row r="25" spans="1:11" ht="15" customHeight="1" x14ac:dyDescent="0.2">
      <c r="A25" s="914" t="s">
        <v>530</v>
      </c>
      <c r="B25" s="915"/>
      <c r="C25" s="915"/>
      <c r="D25" s="915"/>
      <c r="E25" s="915"/>
      <c r="F25" s="915"/>
      <c r="G25" s="915"/>
      <c r="H25" s="915"/>
      <c r="I25" s="915"/>
      <c r="J25" s="915"/>
      <c r="K25" s="915"/>
    </row>
    <row r="26" spans="1:11" ht="15" customHeight="1" x14ac:dyDescent="0.2">
      <c r="A26" s="6"/>
      <c r="B26" s="914" t="s">
        <v>531</v>
      </c>
      <c r="C26" s="915"/>
      <c r="D26" s="915"/>
      <c r="E26" s="915"/>
      <c r="F26" s="915"/>
      <c r="G26" s="915"/>
      <c r="H26" s="915"/>
      <c r="I26" s="915"/>
      <c r="J26" s="915"/>
      <c r="K26" s="915"/>
    </row>
    <row r="27" spans="1:11" ht="30" customHeight="1" x14ac:dyDescent="0.2">
      <c r="A27" s="914"/>
      <c r="B27" s="950" t="s">
        <v>532</v>
      </c>
      <c r="C27" s="950"/>
      <c r="D27" s="950"/>
      <c r="E27" s="950"/>
      <c r="F27" s="950"/>
      <c r="G27" s="950"/>
      <c r="H27" s="950"/>
      <c r="I27" s="950"/>
      <c r="J27" s="950"/>
      <c r="K27" s="950"/>
    </row>
    <row r="28" spans="1:11" ht="15" customHeight="1" x14ac:dyDescent="0.2">
      <c r="A28" s="914"/>
      <c r="B28" s="920" t="s">
        <v>550</v>
      </c>
      <c r="C28" s="915"/>
      <c r="D28" s="915"/>
      <c r="E28" s="915"/>
      <c r="F28" s="915"/>
      <c r="G28" s="915"/>
      <c r="H28" s="915"/>
      <c r="I28" s="915"/>
      <c r="J28" s="915"/>
      <c r="K28" s="915"/>
    </row>
    <row r="29" spans="1:11" ht="39.75" customHeight="1" x14ac:dyDescent="0.2">
      <c r="A29" s="914"/>
      <c r="B29" s="950" t="s">
        <v>551</v>
      </c>
      <c r="C29" s="950"/>
      <c r="D29" s="950"/>
      <c r="E29" s="950"/>
      <c r="F29" s="950"/>
      <c r="G29" s="950"/>
      <c r="H29" s="950"/>
      <c r="I29" s="950"/>
      <c r="J29" s="950"/>
      <c r="K29" s="950"/>
    </row>
    <row r="30" spans="1:11" ht="80.25" customHeight="1" x14ac:dyDescent="0.2">
      <c r="A30" s="914"/>
      <c r="B30" s="950" t="s">
        <v>552</v>
      </c>
      <c r="C30" s="950"/>
      <c r="D30" s="950"/>
      <c r="E30" s="950"/>
      <c r="F30" s="950"/>
      <c r="G30" s="950"/>
      <c r="H30" s="950"/>
      <c r="I30" s="950"/>
      <c r="J30" s="950"/>
      <c r="K30" s="950"/>
    </row>
    <row r="31" spans="1:11" ht="15" customHeight="1" x14ac:dyDescent="0.2">
      <c r="A31" s="914"/>
      <c r="B31" s="913"/>
      <c r="C31" s="913"/>
      <c r="D31" s="913"/>
      <c r="E31" s="913"/>
      <c r="F31" s="913"/>
      <c r="G31" s="913"/>
      <c r="H31" s="913"/>
      <c r="I31" s="913"/>
      <c r="J31" s="913"/>
      <c r="K31" s="913"/>
    </row>
    <row r="32" spans="1:11" ht="15" customHeight="1" x14ac:dyDescent="0.2">
      <c r="A32" s="914"/>
      <c r="B32" s="914" t="s">
        <v>533</v>
      </c>
      <c r="C32" s="913"/>
      <c r="D32" s="913"/>
      <c r="E32" s="913"/>
      <c r="F32" s="913"/>
      <c r="G32" s="913"/>
      <c r="H32" s="913"/>
      <c r="I32" s="913"/>
      <c r="J32" s="913"/>
      <c r="K32" s="913"/>
    </row>
    <row r="33" spans="1:11" ht="15" customHeight="1" x14ac:dyDescent="0.2">
      <c r="A33" s="914"/>
      <c r="B33" s="951" t="s">
        <v>576</v>
      </c>
      <c r="C33" s="951"/>
      <c r="D33" s="951"/>
      <c r="E33" s="951"/>
      <c r="F33" s="951"/>
      <c r="G33" s="951"/>
      <c r="H33" s="951"/>
      <c r="I33" s="951"/>
      <c r="J33" s="951"/>
      <c r="K33" s="951"/>
    </row>
    <row r="34" spans="1:11" ht="15" customHeight="1" x14ac:dyDescent="0.2">
      <c r="A34" s="921"/>
      <c r="B34" s="951"/>
      <c r="C34" s="951"/>
      <c r="D34" s="951"/>
      <c r="E34" s="951"/>
      <c r="F34" s="951"/>
      <c r="G34" s="951"/>
      <c r="H34" s="951"/>
      <c r="I34" s="951"/>
      <c r="J34" s="951"/>
      <c r="K34" s="951"/>
    </row>
    <row r="35" spans="1:11" ht="47.65" customHeight="1" x14ac:dyDescent="0.2">
      <c r="A35" s="947" t="s">
        <v>320</v>
      </c>
      <c r="B35" s="947"/>
      <c r="C35" s="947"/>
      <c r="D35" s="947"/>
      <c r="E35" s="947"/>
      <c r="F35" s="947"/>
      <c r="G35" s="947"/>
      <c r="H35" s="947"/>
      <c r="I35" s="947"/>
      <c r="J35" s="947"/>
      <c r="K35" s="947"/>
    </row>
    <row r="36" spans="1:11" ht="47.65" customHeight="1" thickBot="1" x14ac:dyDescent="0.25">
      <c r="A36" s="948" t="s">
        <v>132</v>
      </c>
      <c r="B36" s="948"/>
      <c r="C36" s="948"/>
      <c r="D36" s="948"/>
      <c r="E36" s="948"/>
      <c r="F36" s="948"/>
      <c r="G36" s="948"/>
      <c r="H36" s="948"/>
      <c r="I36" s="948"/>
      <c r="J36" s="948"/>
      <c r="K36" s="948"/>
    </row>
    <row r="37" spans="1:11" ht="67.900000000000006" customHeight="1" x14ac:dyDescent="0.2">
      <c r="A37" s="946" t="s">
        <v>257</v>
      </c>
      <c r="B37" s="946"/>
      <c r="C37" s="946"/>
      <c r="D37" s="946"/>
      <c r="E37" s="946"/>
      <c r="F37" s="946"/>
      <c r="G37" s="946"/>
      <c r="H37" s="946"/>
      <c r="I37" s="946"/>
      <c r="J37" s="946"/>
      <c r="K37" s="946"/>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A8:K8"/>
    <mergeCell ref="A5:K5"/>
    <mergeCell ref="A1:K1"/>
    <mergeCell ref="A2:K2"/>
    <mergeCell ref="A3:K3"/>
    <mergeCell ref="A4:K4"/>
    <mergeCell ref="A6:K6"/>
    <mergeCell ref="A37:K37"/>
    <mergeCell ref="A35:K35"/>
    <mergeCell ref="A36:K36"/>
    <mergeCell ref="B23:K23"/>
    <mergeCell ref="A17:K17"/>
    <mergeCell ref="B27:K27"/>
    <mergeCell ref="B30:K30"/>
    <mergeCell ref="B29:K29"/>
    <mergeCell ref="B33:K34"/>
    <mergeCell ref="A16:K16"/>
    <mergeCell ref="A14:K14"/>
    <mergeCell ref="A19:K19"/>
    <mergeCell ref="A10:K10"/>
    <mergeCell ref="A22:K22"/>
    <mergeCell ref="A20:K20"/>
    <mergeCell ref="A11:K11"/>
    <mergeCell ref="A12:K12"/>
    <mergeCell ref="A13:K13"/>
  </mergeCells>
  <phoneticPr fontId="9" type="noConversion"/>
  <hyperlinks>
    <hyperlink ref="A17" r:id="rId1"/>
    <hyperlink ref="A12" r:id="rId2"/>
  </hyperlinks>
  <pageMargins left="0.75" right="0.75" top="0.5" bottom="0.5" header="0.5" footer="0.3"/>
  <pageSetup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zoomScaleNormal="100" zoomScaleSheetLayoutView="100" workbookViewId="0">
      <selection activeCell="A45" sqref="A45:C45"/>
    </sheetView>
  </sheetViews>
  <sheetFormatPr defaultColWidth="8.7109375" defaultRowHeight="12.75" x14ac:dyDescent="0.2"/>
  <cols>
    <col min="1" max="1" customWidth="true" style="651" width="12.7109375" collapsed="false"/>
    <col min="2" max="3" customWidth="true" style="651" width="11.7109375" collapsed="false"/>
    <col min="4" max="4" customWidth="true" style="651" width="9.42578125" collapsed="false"/>
    <col min="5" max="5" customWidth="true" hidden="true" style="651" width="9.42578125" collapsed="false"/>
    <col min="6" max="6" customWidth="true" style="651" width="5.7109375" collapsed="false"/>
    <col min="7" max="7" customWidth="true" style="651" width="4.7109375" collapsed="false"/>
    <col min="8" max="8" customWidth="true" style="651" width="8.7109375" collapsed="false"/>
    <col min="9" max="10" customWidth="true" style="651" width="11.7109375" collapsed="false"/>
    <col min="11" max="11" customWidth="true" style="651" width="9.42578125" collapsed="false"/>
    <col min="12" max="12" customWidth="true" style="651" width="4.42578125" collapsed="false"/>
    <col min="13" max="13" customWidth="true" style="651" width="6.140625" collapsed="false"/>
    <col min="14" max="14" customWidth="true" style="650" width="8.7109375" collapsed="false"/>
    <col min="15" max="15" customWidth="true" style="650" width="11.0" collapsed="false"/>
    <col min="16" max="180" customWidth="true" style="650" width="8.7109375" collapsed="false"/>
    <col min="181" max="257" customWidth="true" style="651" width="11.42578125" collapsed="false"/>
    <col min="258" max="16384" style="651" width="8.7109375" collapsed="false"/>
  </cols>
  <sheetData>
    <row r="1" spans="1:257" s="648" customFormat="1" ht="18.399999999999999" customHeight="1" thickBot="1" x14ac:dyDescent="0.25">
      <c r="A1" s="999" t="s">
        <v>301</v>
      </c>
      <c r="B1" s="1000"/>
      <c r="C1" s="1000"/>
      <c r="D1" s="1000"/>
      <c r="E1" s="1000"/>
      <c r="F1" s="1000"/>
      <c r="G1" s="1000"/>
      <c r="H1" s="1000"/>
      <c r="I1" s="1000"/>
      <c r="J1" s="1000"/>
      <c r="K1" s="1000"/>
      <c r="L1" s="1000"/>
      <c r="M1" s="1001"/>
      <c r="FY1" s="649"/>
      <c r="FZ1" s="649"/>
      <c r="GA1" s="649"/>
      <c r="GB1" s="649"/>
      <c r="GC1" s="649"/>
      <c r="GD1" s="649"/>
      <c r="GE1" s="649"/>
      <c r="GF1" s="649"/>
      <c r="GG1" s="649"/>
      <c r="GH1" s="649"/>
      <c r="GI1" s="649"/>
      <c r="GJ1" s="649"/>
      <c r="GK1" s="649"/>
      <c r="GL1" s="649"/>
      <c r="GM1" s="649"/>
      <c r="GN1" s="649"/>
      <c r="GO1" s="649"/>
      <c r="GP1" s="649"/>
      <c r="GQ1" s="649"/>
      <c r="GR1" s="649"/>
      <c r="GS1" s="649"/>
      <c r="GT1" s="649"/>
      <c r="GU1" s="649"/>
      <c r="GV1" s="649"/>
      <c r="GW1" s="649"/>
      <c r="GX1" s="649"/>
      <c r="GY1" s="649"/>
      <c r="GZ1" s="649"/>
      <c r="HA1" s="649"/>
      <c r="HB1" s="649"/>
      <c r="HC1" s="649"/>
      <c r="HD1" s="649"/>
      <c r="HE1" s="649"/>
      <c r="HF1" s="649"/>
      <c r="HG1" s="649"/>
      <c r="HH1" s="649"/>
      <c r="HI1" s="649"/>
      <c r="HJ1" s="649"/>
      <c r="HK1" s="649"/>
      <c r="HL1" s="649"/>
      <c r="HM1" s="649"/>
      <c r="HN1" s="649"/>
      <c r="HO1" s="649"/>
      <c r="HP1" s="649"/>
      <c r="HQ1" s="649"/>
      <c r="HR1" s="649"/>
      <c r="HS1" s="649"/>
      <c r="HT1" s="649"/>
      <c r="HU1" s="649"/>
      <c r="HV1" s="649"/>
      <c r="HW1" s="649"/>
      <c r="HX1" s="649"/>
      <c r="HY1" s="649"/>
      <c r="HZ1" s="649"/>
      <c r="IA1" s="649"/>
      <c r="IB1" s="649"/>
      <c r="IC1" s="649"/>
      <c r="ID1" s="649"/>
      <c r="IE1" s="649"/>
      <c r="IF1" s="649"/>
      <c r="IG1" s="649"/>
      <c r="IH1" s="649"/>
      <c r="II1" s="649"/>
      <c r="IJ1" s="649"/>
      <c r="IK1" s="649"/>
      <c r="IL1" s="649"/>
      <c r="IM1" s="649"/>
      <c r="IN1" s="649"/>
      <c r="IO1" s="649"/>
      <c r="IP1" s="649"/>
      <c r="IQ1" s="649"/>
      <c r="IR1" s="649"/>
      <c r="IS1" s="649"/>
      <c r="IT1" s="649"/>
      <c r="IU1" s="649"/>
      <c r="IV1" s="649"/>
      <c r="IW1" s="649"/>
    </row>
    <row r="2" spans="1:257" ht="12.75" customHeight="1" thickBot="1" x14ac:dyDescent="0.25">
      <c r="A2" s="1025" t="s">
        <v>275</v>
      </c>
      <c r="B2" s="1026"/>
      <c r="C2" s="1026"/>
      <c r="D2" s="1026"/>
      <c r="E2" s="1026"/>
      <c r="F2" s="1026"/>
      <c r="G2" s="1026"/>
      <c r="H2" s="1026"/>
      <c r="I2" s="1027"/>
      <c r="J2" s="1027"/>
      <c r="K2" s="1027"/>
      <c r="L2" s="1026"/>
      <c r="M2" s="1028"/>
    </row>
    <row r="3" spans="1:257" ht="14.25" customHeight="1" thickBot="1" x14ac:dyDescent="0.25">
      <c r="A3" s="1029" t="s">
        <v>133</v>
      </c>
      <c r="B3" s="1031" t="s">
        <v>582</v>
      </c>
      <c r="C3" s="1031"/>
      <c r="D3" s="1031"/>
      <c r="E3" s="1031"/>
      <c r="F3" s="1031"/>
      <c r="G3" s="1031"/>
      <c r="H3" s="1032"/>
      <c r="I3" s="1033" t="s">
        <v>583</v>
      </c>
      <c r="J3" s="1033"/>
      <c r="K3" s="652" t="s">
        <v>584</v>
      </c>
      <c r="L3" s="1034" t="s">
        <v>585</v>
      </c>
      <c r="M3" s="1035"/>
    </row>
    <row r="4" spans="1:257" s="654" customFormat="1" ht="12.75" customHeight="1" thickBot="1" x14ac:dyDescent="0.25">
      <c r="A4" s="1030"/>
      <c r="B4" s="1036" t="s">
        <v>364</v>
      </c>
      <c r="C4" s="1036"/>
      <c r="D4" s="1036"/>
      <c r="E4" s="1037"/>
      <c r="F4" s="1036"/>
      <c r="G4" s="1036"/>
      <c r="H4" s="1036"/>
      <c r="I4" s="1038" t="s">
        <v>365</v>
      </c>
      <c r="J4" s="1038"/>
      <c r="K4" s="653" t="s">
        <v>134</v>
      </c>
      <c r="L4" s="1039" t="s">
        <v>346</v>
      </c>
      <c r="M4" s="1040"/>
      <c r="FY4" s="655"/>
      <c r="FZ4" s="655"/>
      <c r="GA4" s="655"/>
      <c r="GB4" s="655"/>
      <c r="GC4" s="655"/>
      <c r="GD4" s="655"/>
      <c r="GE4" s="655"/>
      <c r="GF4" s="655"/>
      <c r="GG4" s="655"/>
      <c r="GH4" s="655"/>
      <c r="GI4" s="655"/>
      <c r="GJ4" s="655"/>
      <c r="GK4" s="655"/>
      <c r="GL4" s="655"/>
      <c r="GM4" s="655"/>
      <c r="GN4" s="655"/>
      <c r="GO4" s="655"/>
      <c r="GP4" s="655"/>
      <c r="GQ4" s="655"/>
      <c r="GR4" s="655"/>
      <c r="GS4" s="655"/>
      <c r="GT4" s="655"/>
      <c r="GU4" s="655"/>
      <c r="GV4" s="655"/>
      <c r="GW4" s="655"/>
      <c r="GX4" s="655"/>
      <c r="GY4" s="655"/>
      <c r="GZ4" s="655"/>
      <c r="HA4" s="655"/>
      <c r="HB4" s="655"/>
      <c r="HC4" s="655"/>
      <c r="HD4" s="655"/>
      <c r="HE4" s="655"/>
      <c r="HF4" s="655"/>
      <c r="HG4" s="655"/>
      <c r="HH4" s="655"/>
      <c r="HI4" s="655"/>
      <c r="HJ4" s="655"/>
      <c r="HK4" s="655"/>
      <c r="HL4" s="655"/>
      <c r="HM4" s="655"/>
      <c r="HN4" s="655"/>
      <c r="HO4" s="655"/>
      <c r="HP4" s="655"/>
      <c r="HQ4" s="655"/>
      <c r="HR4" s="655"/>
      <c r="HS4" s="655"/>
      <c r="HT4" s="655"/>
      <c r="HU4" s="655"/>
      <c r="HV4" s="655"/>
      <c r="HW4" s="655"/>
      <c r="HX4" s="655"/>
      <c r="HY4" s="655"/>
      <c r="HZ4" s="655"/>
      <c r="IA4" s="655"/>
      <c r="IB4" s="655"/>
      <c r="IC4" s="655"/>
      <c r="ID4" s="655"/>
      <c r="IE4" s="655"/>
      <c r="IF4" s="655"/>
      <c r="IG4" s="655"/>
      <c r="IH4" s="655"/>
      <c r="II4" s="655"/>
      <c r="IJ4" s="655"/>
      <c r="IK4" s="655"/>
      <c r="IL4" s="655"/>
      <c r="IM4" s="655"/>
      <c r="IN4" s="655"/>
      <c r="IO4" s="655"/>
      <c r="IP4" s="655"/>
      <c r="IQ4" s="655"/>
      <c r="IR4" s="655"/>
      <c r="IS4" s="655"/>
      <c r="IT4" s="655"/>
      <c r="IU4" s="655"/>
      <c r="IV4" s="655"/>
      <c r="IW4" s="655"/>
    </row>
    <row r="5" spans="1:257" s="654" customFormat="1" ht="12.75" customHeight="1" x14ac:dyDescent="0.2">
      <c r="A5" s="1057" t="s">
        <v>347</v>
      </c>
      <c r="B5" s="1046" t="s">
        <v>586</v>
      </c>
      <c r="C5" s="1047"/>
      <c r="D5" s="1047"/>
      <c r="E5" s="1047"/>
      <c r="F5" s="1047"/>
      <c r="G5" s="1047"/>
      <c r="H5" s="1047"/>
      <c r="I5" s="1048" t="s">
        <v>587</v>
      </c>
      <c r="J5" s="1049"/>
      <c r="K5" s="1049"/>
      <c r="L5" s="1049"/>
      <c r="M5" s="1050"/>
      <c r="FY5" s="655"/>
      <c r="FZ5" s="655"/>
      <c r="GA5" s="655"/>
      <c r="GB5" s="655"/>
      <c r="GC5" s="655"/>
      <c r="GD5" s="655"/>
      <c r="GE5" s="655"/>
      <c r="GF5" s="655"/>
      <c r="GG5" s="655"/>
      <c r="GH5" s="655"/>
      <c r="GI5" s="655"/>
      <c r="GJ5" s="655"/>
      <c r="GK5" s="655"/>
      <c r="GL5" s="655"/>
      <c r="GM5" s="655"/>
      <c r="GN5" s="655"/>
      <c r="GO5" s="655"/>
      <c r="GP5" s="655"/>
      <c r="GQ5" s="655"/>
      <c r="GR5" s="655"/>
      <c r="GS5" s="655"/>
      <c r="GT5" s="655"/>
      <c r="GU5" s="655"/>
      <c r="GV5" s="655"/>
      <c r="GW5" s="655"/>
      <c r="GX5" s="655"/>
      <c r="GY5" s="655"/>
      <c r="GZ5" s="655"/>
      <c r="HA5" s="655"/>
      <c r="HB5" s="655"/>
      <c r="HC5" s="655"/>
      <c r="HD5" s="655"/>
      <c r="HE5" s="655"/>
      <c r="HF5" s="655"/>
      <c r="HG5" s="655"/>
      <c r="HH5" s="655"/>
      <c r="HI5" s="655"/>
      <c r="HJ5" s="655"/>
      <c r="HK5" s="655"/>
      <c r="HL5" s="655"/>
      <c r="HM5" s="655"/>
      <c r="HN5" s="655"/>
      <c r="HO5" s="655"/>
      <c r="HP5" s="655"/>
      <c r="HQ5" s="655"/>
      <c r="HR5" s="655"/>
      <c r="HS5" s="655"/>
      <c r="HT5" s="655"/>
      <c r="HU5" s="655"/>
      <c r="HV5" s="655"/>
      <c r="HW5" s="655"/>
      <c r="HX5" s="655"/>
      <c r="HY5" s="655"/>
      <c r="HZ5" s="655"/>
      <c r="IA5" s="655"/>
      <c r="IB5" s="655"/>
      <c r="IC5" s="655"/>
      <c r="ID5" s="655"/>
      <c r="IE5" s="655"/>
      <c r="IF5" s="655"/>
      <c r="IG5" s="655"/>
      <c r="IH5" s="655"/>
      <c r="II5" s="655"/>
      <c r="IJ5" s="655"/>
      <c r="IK5" s="655"/>
      <c r="IL5" s="655"/>
      <c r="IM5" s="655"/>
      <c r="IN5" s="655"/>
      <c r="IO5" s="655"/>
      <c r="IP5" s="655"/>
      <c r="IQ5" s="655"/>
      <c r="IR5" s="655"/>
      <c r="IS5" s="655"/>
      <c r="IT5" s="655"/>
      <c r="IU5" s="655"/>
      <c r="IV5" s="655"/>
      <c r="IW5" s="655"/>
    </row>
    <row r="6" spans="1:257" s="654" customFormat="1" ht="12.75" customHeight="1" thickBot="1" x14ac:dyDescent="0.25">
      <c r="A6" s="1058"/>
      <c r="B6" s="1054" t="s">
        <v>363</v>
      </c>
      <c r="C6" s="1055"/>
      <c r="D6" s="1055"/>
      <c r="E6" s="1056"/>
      <c r="F6" s="1055"/>
      <c r="G6" s="1055"/>
      <c r="H6" s="1055"/>
      <c r="I6" s="1051" t="s">
        <v>366</v>
      </c>
      <c r="J6" s="1052"/>
      <c r="K6" s="1052"/>
      <c r="L6" s="1052"/>
      <c r="M6" s="1053"/>
      <c r="FY6" s="655"/>
      <c r="FZ6" s="655"/>
      <c r="GA6" s="655"/>
      <c r="GB6" s="655"/>
      <c r="GC6" s="655"/>
      <c r="GD6" s="655"/>
      <c r="GE6" s="655"/>
      <c r="GF6" s="655"/>
      <c r="GG6" s="655"/>
      <c r="GH6" s="655"/>
      <c r="GI6" s="655"/>
      <c r="GJ6" s="655"/>
      <c r="GK6" s="655"/>
      <c r="GL6" s="655"/>
      <c r="GM6" s="655"/>
      <c r="GN6" s="655"/>
      <c r="GO6" s="655"/>
      <c r="GP6" s="655"/>
      <c r="GQ6" s="655"/>
      <c r="GR6" s="655"/>
      <c r="GS6" s="655"/>
      <c r="GT6" s="655"/>
      <c r="GU6" s="655"/>
      <c r="GV6" s="655"/>
      <c r="GW6" s="655"/>
      <c r="GX6" s="655"/>
      <c r="GY6" s="655"/>
      <c r="GZ6" s="655"/>
      <c r="HA6" s="655"/>
      <c r="HB6" s="655"/>
      <c r="HC6" s="655"/>
      <c r="HD6" s="655"/>
      <c r="HE6" s="655"/>
      <c r="HF6" s="655"/>
      <c r="HG6" s="655"/>
      <c r="HH6" s="655"/>
      <c r="HI6" s="655"/>
      <c r="HJ6" s="655"/>
      <c r="HK6" s="655"/>
      <c r="HL6" s="655"/>
      <c r="HM6" s="655"/>
      <c r="HN6" s="655"/>
      <c r="HO6" s="655"/>
      <c r="HP6" s="655"/>
      <c r="HQ6" s="655"/>
      <c r="HR6" s="655"/>
      <c r="HS6" s="655"/>
      <c r="HT6" s="655"/>
      <c r="HU6" s="655"/>
      <c r="HV6" s="655"/>
      <c r="HW6" s="655"/>
      <c r="HX6" s="655"/>
      <c r="HY6" s="655"/>
      <c r="HZ6" s="655"/>
      <c r="IA6" s="655"/>
      <c r="IB6" s="655"/>
      <c r="IC6" s="655"/>
      <c r="ID6" s="655"/>
      <c r="IE6" s="655"/>
      <c r="IF6" s="655"/>
      <c r="IG6" s="655"/>
      <c r="IH6" s="655"/>
      <c r="II6" s="655"/>
      <c r="IJ6" s="655"/>
      <c r="IK6" s="655"/>
      <c r="IL6" s="655"/>
      <c r="IM6" s="655"/>
      <c r="IN6" s="655"/>
      <c r="IO6" s="655"/>
      <c r="IP6" s="655"/>
      <c r="IQ6" s="655"/>
      <c r="IR6" s="655"/>
      <c r="IS6" s="655"/>
      <c r="IT6" s="655"/>
      <c r="IU6" s="655"/>
      <c r="IV6" s="655"/>
      <c r="IW6" s="655"/>
    </row>
    <row r="7" spans="1:257" s="658" customFormat="1" ht="14.25" customHeight="1" thickBot="1" x14ac:dyDescent="0.25">
      <c r="A7" s="656" t="s">
        <v>135</v>
      </c>
      <c r="B7" s="1041" t="n">
        <v>45963.0</v>
      </c>
      <c r="C7" s="1041"/>
      <c r="D7" s="1041"/>
      <c r="E7" s="1041"/>
      <c r="F7" s="1041"/>
      <c r="G7" s="1042" t="s">
        <v>136</v>
      </c>
      <c r="H7" s="1042"/>
      <c r="I7" s="1043" t="n">
        <v>45963.510416666664</v>
      </c>
      <c r="J7" s="1043"/>
      <c r="K7" s="657" t="s">
        <v>349</v>
      </c>
      <c r="L7" s="1044" t="s">
        <v>588</v>
      </c>
      <c r="M7" s="1045"/>
      <c r="FY7" s="659"/>
      <c r="FZ7" s="659"/>
      <c r="GA7" s="659"/>
      <c r="GB7" s="659"/>
      <c r="GC7" s="659"/>
      <c r="GD7" s="659"/>
      <c r="GE7" s="659"/>
      <c r="GF7" s="659"/>
      <c r="GG7" s="659"/>
      <c r="GH7" s="659"/>
      <c r="GI7" s="659"/>
      <c r="GJ7" s="659"/>
      <c r="GK7" s="659"/>
      <c r="GL7" s="659"/>
      <c r="GM7" s="659"/>
      <c r="GN7" s="659"/>
      <c r="GO7" s="659"/>
      <c r="GP7" s="659"/>
      <c r="GQ7" s="659"/>
      <c r="GR7" s="659"/>
      <c r="GS7" s="659"/>
      <c r="GT7" s="659"/>
      <c r="GU7" s="659"/>
      <c r="GV7" s="659"/>
      <c r="GW7" s="659"/>
      <c r="GX7" s="659"/>
      <c r="GY7" s="659"/>
      <c r="GZ7" s="659"/>
      <c r="HA7" s="659"/>
      <c r="HB7" s="659"/>
      <c r="HC7" s="659"/>
      <c r="HD7" s="659"/>
      <c r="HE7" s="659"/>
      <c r="HF7" s="659"/>
      <c r="HG7" s="659"/>
      <c r="HH7" s="659"/>
      <c r="HI7" s="659"/>
      <c r="HJ7" s="659"/>
      <c r="HK7" s="659"/>
      <c r="HL7" s="659"/>
      <c r="HM7" s="659"/>
      <c r="HN7" s="659"/>
      <c r="HO7" s="659"/>
      <c r="HP7" s="659"/>
      <c r="HQ7" s="659"/>
      <c r="HR7" s="659"/>
      <c r="HS7" s="659"/>
      <c r="HT7" s="659"/>
      <c r="HU7" s="659"/>
      <c r="HV7" s="659"/>
      <c r="HW7" s="659"/>
      <c r="HX7" s="659"/>
      <c r="HY7" s="659"/>
      <c r="HZ7" s="659"/>
      <c r="IA7" s="659"/>
      <c r="IB7" s="659"/>
      <c r="IC7" s="659"/>
      <c r="ID7" s="659"/>
      <c r="IE7" s="659"/>
      <c r="IF7" s="659"/>
      <c r="IG7" s="659"/>
      <c r="IH7" s="659"/>
      <c r="II7" s="659"/>
      <c r="IJ7" s="659"/>
      <c r="IK7" s="659"/>
      <c r="IL7" s="659"/>
      <c r="IM7" s="659"/>
      <c r="IN7" s="659"/>
      <c r="IO7" s="659"/>
      <c r="IP7" s="659"/>
      <c r="IQ7" s="659"/>
      <c r="IR7" s="659"/>
      <c r="IS7" s="659"/>
      <c r="IT7" s="659"/>
      <c r="IU7" s="659"/>
      <c r="IV7" s="659"/>
      <c r="IW7" s="659"/>
    </row>
    <row r="8" spans="1:257" ht="13.5" thickBot="1" x14ac:dyDescent="0.25">
      <c r="A8" s="1059" t="s">
        <v>355</v>
      </c>
      <c r="B8" s="1060"/>
      <c r="C8" s="1060"/>
      <c r="D8" s="1060"/>
      <c r="E8" s="1061"/>
      <c r="F8" s="1060"/>
      <c r="G8" s="1062"/>
      <c r="H8" s="1062"/>
      <c r="I8" s="1062"/>
      <c r="J8" s="1062"/>
      <c r="K8" s="1062"/>
      <c r="L8" s="1062"/>
      <c r="M8" s="1063"/>
    </row>
    <row r="9" spans="1:257" ht="13.5" customHeight="1" x14ac:dyDescent="0.2">
      <c r="A9" s="1064" t="s">
        <v>137</v>
      </c>
      <c r="B9" s="1065"/>
      <c r="C9" s="1065"/>
      <c r="D9" s="1065"/>
      <c r="E9" s="1066"/>
      <c r="F9" s="1066"/>
      <c r="G9" s="1067" t="s">
        <v>138</v>
      </c>
      <c r="H9" s="1068"/>
      <c r="I9" s="1068"/>
      <c r="J9" s="1068"/>
      <c r="K9" s="1068"/>
      <c r="L9" s="1068"/>
      <c r="M9" s="1069"/>
    </row>
    <row r="10" spans="1:257" ht="16.899999999999999" customHeight="1" x14ac:dyDescent="0.2">
      <c r="A10" s="660" t="s">
        <v>139</v>
      </c>
      <c r="B10" s="1070" t="s">
        <v>608</v>
      </c>
      <c r="C10" s="964"/>
      <c r="D10" s="964"/>
      <c r="E10" s="1071"/>
      <c r="F10" s="1072"/>
      <c r="G10" s="1073" t="s">
        <v>139</v>
      </c>
      <c r="H10" s="1074"/>
      <c r="I10" s="1075" t="s">
        <v>610</v>
      </c>
      <c r="J10" s="1076"/>
      <c r="K10" s="1076"/>
      <c r="L10" s="1076"/>
      <c r="M10" s="1077"/>
    </row>
    <row r="11" spans="1:257" ht="16.899999999999999" customHeight="1" x14ac:dyDescent="0.2">
      <c r="A11" s="661" t="s">
        <v>140</v>
      </c>
      <c r="B11" s="1070" t="s">
        <v>608</v>
      </c>
      <c r="C11" s="964"/>
      <c r="D11" s="964"/>
      <c r="E11" s="1071"/>
      <c r="F11" s="1072"/>
      <c r="G11" s="1073" t="s">
        <v>140</v>
      </c>
      <c r="H11" s="1074"/>
      <c r="I11" s="1075" t="s">
        <v>610</v>
      </c>
      <c r="J11" s="1076"/>
      <c r="K11" s="1076"/>
      <c r="L11" s="1076"/>
      <c r="M11" s="1077"/>
    </row>
    <row r="12" spans="1:257" ht="16.899999999999999" customHeight="1" x14ac:dyDescent="0.2">
      <c r="A12" s="662" t="s">
        <v>348</v>
      </c>
      <c r="B12" s="1089" t="s">
        <v>609</v>
      </c>
      <c r="C12" s="1090"/>
      <c r="D12" s="1090"/>
      <c r="E12" s="1091"/>
      <c r="F12" s="1092"/>
      <c r="G12" s="1093" t="s">
        <v>348</v>
      </c>
      <c r="H12" s="1094"/>
      <c r="I12" s="1075" t="s">
        <v>611</v>
      </c>
      <c r="J12" s="1076"/>
      <c r="K12" s="1076"/>
      <c r="L12" s="1076"/>
      <c r="M12" s="1077"/>
    </row>
    <row r="13" spans="1:257" ht="16.899999999999999" customHeight="1" x14ac:dyDescent="0.2">
      <c r="A13" s="663" t="s">
        <v>141</v>
      </c>
      <c r="B13" s="664" t="s">
        <v>361</v>
      </c>
      <c r="C13" s="1083" t="s">
        <v>362</v>
      </c>
      <c r="D13" s="1083"/>
      <c r="E13" s="992"/>
      <c r="F13" s="1084"/>
      <c r="G13" s="1085" t="s">
        <v>141</v>
      </c>
      <c r="H13" s="1086"/>
      <c r="I13" s="665" t="s">
        <v>361</v>
      </c>
      <c r="J13" s="1087" t="s">
        <v>362</v>
      </c>
      <c r="K13" s="1087"/>
      <c r="L13" s="1087"/>
      <c r="M13" s="1088"/>
    </row>
    <row r="14" spans="1:257" ht="16.899999999999999" customHeight="1" x14ac:dyDescent="0.2">
      <c r="A14" s="666">
        <v>1</v>
      </c>
      <c r="B14" s="743" t="s">
        <v>635</v>
      </c>
      <c r="C14" s="667" t="s">
        <v>636</v>
      </c>
      <c r="D14" s="668"/>
      <c r="E14" s="669"/>
      <c r="F14" s="670"/>
      <c r="G14" s="1095">
        <v>1</v>
      </c>
      <c r="H14" s="1096"/>
      <c r="I14" s="773" t="s">
        <v>613</v>
      </c>
      <c r="J14" s="671" t="s">
        <v>614</v>
      </c>
      <c r="K14" s="672"/>
      <c r="L14" s="672"/>
      <c r="M14" s="673"/>
    </row>
    <row r="15" spans="1:257" ht="16.899999999999999" customHeight="1" x14ac:dyDescent="0.2">
      <c r="A15" s="666">
        <v>2</v>
      </c>
      <c r="B15" s="743" t="s">
        <v>637</v>
      </c>
      <c r="C15" s="667" t="s">
        <v>638</v>
      </c>
      <c r="D15" s="668"/>
      <c r="E15" s="669"/>
      <c r="F15" s="670"/>
      <c r="G15" s="1095">
        <v>2</v>
      </c>
      <c r="H15" s="1096"/>
      <c r="I15" s="774" t="s">
        <v>615</v>
      </c>
      <c r="J15" s="671" t="s">
        <v>616</v>
      </c>
      <c r="K15" s="672"/>
      <c r="L15" s="672"/>
      <c r="M15" s="673"/>
    </row>
    <row r="16" spans="1:257" ht="16.899999999999999" customHeight="1" x14ac:dyDescent="0.2">
      <c r="A16" s="666">
        <v>3</v>
      </c>
      <c r="B16" s="743" t="s">
        <v>639</v>
      </c>
      <c r="C16" s="667" t="s">
        <v>640</v>
      </c>
      <c r="D16" s="668"/>
      <c r="E16" s="669"/>
      <c r="F16" s="670"/>
      <c r="G16" s="1009">
        <v>3</v>
      </c>
      <c r="H16" s="1010"/>
      <c r="I16" s="773" t="s">
        <v>617</v>
      </c>
      <c r="J16" s="671" t="s">
        <v>618</v>
      </c>
      <c r="K16" s="672"/>
      <c r="L16" s="672"/>
      <c r="M16" s="673"/>
    </row>
    <row r="17" spans="1:18" ht="16.899999999999999" customHeight="1" x14ac:dyDescent="0.2">
      <c r="A17" s="666">
        <v>4</v>
      </c>
      <c r="B17" s="743" t="s">
        <v>641</v>
      </c>
      <c r="C17" s="667" t="s">
        <v>642</v>
      </c>
      <c r="D17" s="668"/>
      <c r="E17" s="669"/>
      <c r="F17" s="670"/>
      <c r="G17" s="1009">
        <v>4</v>
      </c>
      <c r="H17" s="1010"/>
      <c r="I17" s="774" t="s">
        <v>620</v>
      </c>
      <c r="J17" s="671" t="s">
        <v>621</v>
      </c>
      <c r="K17" s="672"/>
      <c r="L17" s="672"/>
      <c r="M17" s="673"/>
    </row>
    <row r="18" spans="1:18" ht="16.899999999999999" customHeight="1" x14ac:dyDescent="0.2">
      <c r="A18" s="666">
        <v>5</v>
      </c>
      <c r="B18" s="743" t="s">
        <v>643</v>
      </c>
      <c r="C18" s="667" t="s">
        <v>644</v>
      </c>
      <c r="D18" s="668"/>
      <c r="E18" s="669"/>
      <c r="F18" s="670"/>
      <c r="G18" s="1009">
        <v>5</v>
      </c>
      <c r="H18" s="1010"/>
      <c r="I18" s="773" t="s">
        <v>622</v>
      </c>
      <c r="J18" s="671" t="s">
        <v>623</v>
      </c>
      <c r="K18" s="672"/>
      <c r="L18" s="672"/>
      <c r="M18" s="673"/>
    </row>
    <row r="19" spans="1:18" ht="16.899999999999999" customHeight="1" x14ac:dyDescent="0.2">
      <c r="A19" s="666">
        <v>6</v>
      </c>
      <c r="B19" s="743" t="s">
        <v>645</v>
      </c>
      <c r="C19" s="667" t="s">
        <v>646</v>
      </c>
      <c r="D19" s="668"/>
      <c r="E19" s="669"/>
      <c r="F19" s="670"/>
      <c r="G19" s="1009">
        <v>6</v>
      </c>
      <c r="H19" s="1010"/>
      <c r="I19" s="774" t="s">
        <v>624</v>
      </c>
      <c r="J19" s="671" t="s">
        <v>625</v>
      </c>
      <c r="K19" s="672"/>
      <c r="L19" s="672"/>
      <c r="M19" s="673"/>
      <c r="O19" s="674"/>
      <c r="P19" s="674"/>
      <c r="Q19" s="674"/>
      <c r="R19" s="674"/>
    </row>
    <row r="20" spans="1:18" ht="16.899999999999999" customHeight="1" x14ac:dyDescent="0.2">
      <c r="A20" s="666">
        <v>7</v>
      </c>
      <c r="B20" s="743" t="s">
        <v>647</v>
      </c>
      <c r="C20" s="667" t="s">
        <v>648</v>
      </c>
      <c r="D20" s="668"/>
      <c r="E20" s="669"/>
      <c r="F20" s="670"/>
      <c r="G20" s="1009">
        <v>7</v>
      </c>
      <c r="H20" s="1010"/>
      <c r="I20" s="773" t="s">
        <v>585</v>
      </c>
      <c r="J20" s="671" t="s">
        <v>626</v>
      </c>
      <c r="K20" s="672"/>
      <c r="L20" s="672"/>
      <c r="M20" s="673"/>
    </row>
    <row r="21" spans="1:18" ht="16.899999999999999" customHeight="1" x14ac:dyDescent="0.2">
      <c r="A21" s="666">
        <v>8</v>
      </c>
      <c r="B21" s="743" t="s">
        <v>649</v>
      </c>
      <c r="C21" s="667" t="s">
        <v>650</v>
      </c>
      <c r="D21" s="668"/>
      <c r="E21" s="669"/>
      <c r="F21" s="670"/>
      <c r="G21" s="1009">
        <v>8</v>
      </c>
      <c r="H21" s="1010"/>
      <c r="I21" s="774" t="s">
        <v>627</v>
      </c>
      <c r="J21" s="671" t="s">
        <v>628</v>
      </c>
      <c r="K21" s="672"/>
      <c r="L21" s="672"/>
      <c r="M21" s="673"/>
    </row>
    <row r="22" spans="1:18" ht="16.899999999999999" customHeight="1" x14ac:dyDescent="0.2">
      <c r="A22" s="666">
        <v>9</v>
      </c>
      <c r="B22" s="743" t="s">
        <v>651</v>
      </c>
      <c r="C22" s="667" t="s">
        <v>652</v>
      </c>
      <c r="D22" s="668"/>
      <c r="E22" s="669"/>
      <c r="F22" s="670"/>
      <c r="G22" s="1009">
        <v>9</v>
      </c>
      <c r="H22" s="1010"/>
      <c r="I22" s="773" t="s">
        <v>629</v>
      </c>
      <c r="J22" s="671" t="s">
        <v>630</v>
      </c>
      <c r="K22" s="672"/>
      <c r="L22" s="672"/>
      <c r="M22" s="673"/>
    </row>
    <row r="23" spans="1:18" ht="16.899999999999999" customHeight="1" x14ac:dyDescent="0.2">
      <c r="A23" s="666">
        <v>10</v>
      </c>
      <c r="B23" s="743"/>
      <c r="C23" s="667"/>
      <c r="D23" s="668"/>
      <c r="E23" s="669"/>
      <c r="F23" s="670"/>
      <c r="G23" s="1009">
        <v>10</v>
      </c>
      <c r="H23" s="1010"/>
      <c r="I23" s="774" t="s">
        <v>631</v>
      </c>
      <c r="J23" s="671" t="s">
        <v>632</v>
      </c>
      <c r="K23" s="672"/>
      <c r="L23" s="672"/>
      <c r="M23" s="673"/>
    </row>
    <row r="24" spans="1:18" ht="16.899999999999999" customHeight="1" x14ac:dyDescent="0.2">
      <c r="A24" s="666">
        <v>11</v>
      </c>
      <c r="B24" s="743"/>
      <c r="C24" s="667"/>
      <c r="D24" s="668"/>
      <c r="E24" s="669"/>
      <c r="F24" s="670"/>
      <c r="G24" s="1009">
        <v>11</v>
      </c>
      <c r="H24" s="1010"/>
      <c r="I24" s="773" t="s">
        <v>633</v>
      </c>
      <c r="J24" s="671" t="s">
        <v>634</v>
      </c>
      <c r="K24" s="672"/>
      <c r="L24" s="672"/>
      <c r="M24" s="673"/>
    </row>
    <row r="25" spans="1:18" ht="16.899999999999999" customHeight="1" x14ac:dyDescent="0.2">
      <c r="A25" s="666">
        <v>12</v>
      </c>
      <c r="B25" s="743"/>
      <c r="C25" s="667"/>
      <c r="D25" s="668"/>
      <c r="E25" s="669"/>
      <c r="F25" s="670"/>
      <c r="G25" s="1009">
        <v>12</v>
      </c>
      <c r="H25" s="1010"/>
      <c r="I25" s="774"/>
      <c r="J25" s="671"/>
      <c r="K25" s="672"/>
      <c r="L25" s="672"/>
      <c r="M25" s="673"/>
    </row>
    <row r="26" spans="1:18" ht="16.899999999999999" customHeight="1" x14ac:dyDescent="0.2">
      <c r="A26" s="666">
        <v>13</v>
      </c>
      <c r="B26" s="743"/>
      <c r="C26" s="667"/>
      <c r="D26" s="668"/>
      <c r="E26" s="669"/>
      <c r="F26" s="670"/>
      <c r="G26" s="1009">
        <v>13</v>
      </c>
      <c r="H26" s="1010"/>
      <c r="I26" s="773"/>
      <c r="J26" s="671"/>
      <c r="K26" s="672"/>
      <c r="L26" s="672"/>
      <c r="M26" s="673"/>
    </row>
    <row r="27" spans="1:18" ht="16.899999999999999" customHeight="1" x14ac:dyDescent="0.2">
      <c r="A27" s="675">
        <v>14</v>
      </c>
      <c r="B27" s="743"/>
      <c r="C27" s="667"/>
      <c r="D27" s="668"/>
      <c r="E27" s="669"/>
      <c r="F27" s="670"/>
      <c r="G27" s="1013">
        <v>14</v>
      </c>
      <c r="H27" s="1012"/>
      <c r="I27" s="774"/>
      <c r="J27" s="671"/>
      <c r="K27" s="672"/>
      <c r="L27" s="672"/>
      <c r="M27" s="673"/>
      <c r="O27" s="674"/>
      <c r="P27" s="674"/>
      <c r="Q27" s="674"/>
      <c r="R27" s="674"/>
    </row>
    <row r="28" spans="1:18" ht="16.899999999999999" customHeight="1" x14ac:dyDescent="0.2">
      <c r="A28" s="666">
        <v>15</v>
      </c>
      <c r="B28" s="743"/>
      <c r="C28" s="667"/>
      <c r="D28" s="668"/>
      <c r="E28" s="669"/>
      <c r="F28" s="670"/>
      <c r="G28" s="1009">
        <v>15</v>
      </c>
      <c r="H28" s="1010"/>
      <c r="I28" s="773"/>
      <c r="J28" s="671"/>
      <c r="K28" s="672"/>
      <c r="L28" s="672"/>
      <c r="M28" s="673"/>
    </row>
    <row r="29" spans="1:18" ht="16.899999999999999" customHeight="1" x14ac:dyDescent="0.2">
      <c r="A29" s="666">
        <v>16</v>
      </c>
      <c r="B29" s="743"/>
      <c r="C29" s="667"/>
      <c r="D29" s="668"/>
      <c r="E29" s="669"/>
      <c r="F29" s="670"/>
      <c r="G29" s="1009">
        <v>16</v>
      </c>
      <c r="H29" s="1010"/>
      <c r="I29" s="774"/>
      <c r="J29" s="671"/>
      <c r="K29" s="676"/>
      <c r="L29" s="676"/>
      <c r="M29" s="677"/>
    </row>
    <row r="30" spans="1:18" ht="16.899999999999999" customHeight="1" x14ac:dyDescent="0.2">
      <c r="A30" s="678">
        <v>17</v>
      </c>
      <c r="B30" s="743"/>
      <c r="C30" s="667"/>
      <c r="D30" s="679"/>
      <c r="E30" s="680"/>
      <c r="F30" s="681"/>
      <c r="G30" s="1011">
        <v>17</v>
      </c>
      <c r="H30" s="1011"/>
      <c r="I30" s="773"/>
      <c r="J30" s="671"/>
      <c r="K30" s="679"/>
      <c r="L30" s="679"/>
      <c r="M30" s="682"/>
    </row>
    <row r="31" spans="1:18" ht="16.899999999999999" customHeight="1" x14ac:dyDescent="0.2">
      <c r="A31" s="666">
        <v>18</v>
      </c>
      <c r="B31" s="743"/>
      <c r="C31" s="667"/>
      <c r="D31" s="683"/>
      <c r="E31" s="684"/>
      <c r="F31" s="685"/>
      <c r="G31" s="1010">
        <v>18</v>
      </c>
      <c r="H31" s="1010"/>
      <c r="I31" s="774"/>
      <c r="J31" s="671"/>
      <c r="K31" s="683"/>
      <c r="L31" s="683"/>
      <c r="M31" s="686"/>
    </row>
    <row r="32" spans="1:18" ht="16.899999999999999" customHeight="1" x14ac:dyDescent="0.2">
      <c r="A32" s="666">
        <v>19</v>
      </c>
      <c r="B32" s="743"/>
      <c r="C32" s="667"/>
      <c r="D32" s="687"/>
      <c r="E32" s="688"/>
      <c r="F32" s="689"/>
      <c r="G32" s="1010">
        <v>19</v>
      </c>
      <c r="H32" s="1010"/>
      <c r="I32" s="773"/>
      <c r="J32" s="671"/>
      <c r="K32" s="687"/>
      <c r="L32" s="687"/>
      <c r="M32" s="690"/>
    </row>
    <row r="33" spans="1:257" ht="16.899999999999999" customHeight="1" thickBot="1" x14ac:dyDescent="0.25">
      <c r="A33" s="675">
        <v>20</v>
      </c>
      <c r="B33" s="743"/>
      <c r="C33" s="667"/>
      <c r="D33" s="691"/>
      <c r="E33" s="692"/>
      <c r="F33" s="693"/>
      <c r="G33" s="1012">
        <v>20</v>
      </c>
      <c r="H33" s="1012"/>
      <c r="I33" s="774"/>
      <c r="J33" s="671"/>
      <c r="K33" s="691"/>
      <c r="L33" s="691"/>
      <c r="M33" s="694"/>
      <c r="O33" s="674"/>
      <c r="P33" s="674"/>
      <c r="Q33" s="674"/>
      <c r="R33" s="674"/>
    </row>
    <row r="34" spans="1:257" ht="13.5" thickBot="1" x14ac:dyDescent="0.25">
      <c r="A34" s="1101" t="s">
        <v>340</v>
      </c>
      <c r="B34" s="1102"/>
      <c r="C34" s="1102"/>
      <c r="D34" s="1102"/>
      <c r="E34" s="1103"/>
      <c r="F34" s="1102"/>
      <c r="G34" s="1102"/>
      <c r="H34" s="1102"/>
      <c r="I34" s="1102"/>
      <c r="J34" s="1102"/>
      <c r="K34" s="1102"/>
      <c r="L34" s="1102"/>
      <c r="M34" s="1104"/>
    </row>
    <row r="35" spans="1:257" ht="15" customHeight="1" x14ac:dyDescent="0.2">
      <c r="A35" s="1018" t="s">
        <v>143</v>
      </c>
      <c r="B35" s="1019"/>
      <c r="C35" s="1019"/>
      <c r="D35" s="1019"/>
      <c r="E35" s="1019"/>
      <c r="F35" s="1019"/>
      <c r="G35" s="1020"/>
      <c r="H35" s="1018" t="s">
        <v>144</v>
      </c>
      <c r="I35" s="1019"/>
      <c r="J35" s="1019"/>
      <c r="K35" s="1019"/>
      <c r="L35" s="1019"/>
      <c r="M35" s="1020"/>
    </row>
    <row r="36" spans="1:257" ht="15" customHeight="1" x14ac:dyDescent="0.2">
      <c r="A36" s="695" t="s">
        <v>145</v>
      </c>
      <c r="B36" s="696" t="s">
        <v>360</v>
      </c>
      <c r="C36" s="697" t="str">
        <f>IF(COUNT(Score!A4:A41)=0,"",Score!R42)</f>
        <v/>
      </c>
      <c r="D36" s="698" t="s">
        <v>164</v>
      </c>
      <c r="E36" s="699"/>
      <c r="F36" s="1021" t="str">
        <f>IF(COUNT(Score!A4:A41)=0,"",Penalties!L44)</f>
        <v/>
      </c>
      <c r="G36" s="1022"/>
      <c r="H36" s="695" t="s">
        <v>145</v>
      </c>
      <c r="I36" s="696" t="s">
        <v>360</v>
      </c>
      <c r="J36" s="697" t="str">
        <f>IF(COUNT(Score!T4:T41)=0,"",Score!AK42)</f>
        <v/>
      </c>
      <c r="K36" s="698" t="s">
        <v>164</v>
      </c>
      <c r="L36" s="1021" t="str">
        <f>IF(COUNT(Score!T4:T41)=0,"",Penalties!AA44)</f>
        <v/>
      </c>
      <c r="M36" s="1022"/>
    </row>
    <row r="37" spans="1:257" ht="15" customHeight="1" x14ac:dyDescent="0.2">
      <c r="A37" s="695" t="s">
        <v>147</v>
      </c>
      <c r="B37" s="696" t="s">
        <v>360</v>
      </c>
      <c r="C37" s="697" t="str">
        <f>IF(COUNT(Score!A46:A83)=0,"",Score!R84-C36)</f>
        <v/>
      </c>
      <c r="D37" s="698" t="s">
        <v>164</v>
      </c>
      <c r="E37" s="699"/>
      <c r="F37" s="1021" t="str">
        <f>IF(COUNT(Score!A46:A83)=0,"",Penalties!AN44)</f>
        <v/>
      </c>
      <c r="G37" s="1022"/>
      <c r="H37" s="695" t="s">
        <v>147</v>
      </c>
      <c r="I37" s="696" t="s">
        <v>360</v>
      </c>
      <c r="J37" s="697" t="str">
        <f>IF(COUNT(Score!T46:T83)=0,"",Score!AK84-J36)</f>
        <v/>
      </c>
      <c r="K37" s="698" t="s">
        <v>164</v>
      </c>
      <c r="L37" s="1021" t="str">
        <f>IF(COUNT(Score!T46:T83)=0,"",Penalties!BC44)</f>
        <v/>
      </c>
      <c r="M37" s="1022"/>
    </row>
    <row r="38" spans="1:257" ht="15" customHeight="1" thickBot="1" x14ac:dyDescent="0.25">
      <c r="A38" s="1014" t="s">
        <v>149</v>
      </c>
      <c r="B38" s="1015"/>
      <c r="C38" s="700" t="str">
        <f>IF(COUNT(Score!A4:A41)=0,"",SUM(C36:C37))</f>
        <v/>
      </c>
      <c r="D38" s="701" t="s">
        <v>148</v>
      </c>
      <c r="E38" s="702"/>
      <c r="F38" s="1023" t="str">
        <f>IF(COUNT(Score!A4:A41)=0,"",SUM(F36:F37))</f>
        <v/>
      </c>
      <c r="G38" s="1024"/>
      <c r="H38" s="1016" t="s">
        <v>149</v>
      </c>
      <c r="I38" s="1017"/>
      <c r="J38" s="700" t="str">
        <f>IF(COUNT(Score!T4:T41)=0,"",SUM(J36:J37))</f>
        <v/>
      </c>
      <c r="K38" s="701" t="s">
        <v>148</v>
      </c>
      <c r="L38" s="1023" t="str">
        <f>IF(COUNT(Score!T4:T41)=0,"",SUM(L36:L37))</f>
        <v/>
      </c>
      <c r="M38" s="1024"/>
    </row>
    <row r="39" spans="1:257" ht="15" customHeight="1" thickBot="1" x14ac:dyDescent="0.25">
      <c r="A39" s="703" t="s">
        <v>367</v>
      </c>
      <c r="B39" s="704"/>
      <c r="C39" s="705"/>
      <c r="D39" s="706"/>
      <c r="E39" s="707"/>
      <c r="F39" s="1110" t="s">
        <v>371</v>
      </c>
      <c r="G39" s="1108"/>
      <c r="H39" s="1108"/>
      <c r="I39" s="1107"/>
      <c r="J39" s="1108"/>
      <c r="K39" s="1108"/>
      <c r="L39" s="1108"/>
      <c r="M39" s="1109"/>
    </row>
    <row r="40" spans="1:257" s="674" customFormat="1" ht="16.899999999999999" customHeight="1" x14ac:dyDescent="0.2">
      <c r="A40" s="1097" t="s">
        <v>354</v>
      </c>
      <c r="B40" s="1098"/>
      <c r="C40" s="1099" t="s">
        <v>358</v>
      </c>
      <c r="D40" s="1100"/>
      <c r="E40" s="708"/>
      <c r="F40" s="709"/>
      <c r="G40" s="709"/>
      <c r="H40" s="709"/>
      <c r="I40" s="709"/>
      <c r="J40" s="709"/>
      <c r="K40" s="709"/>
      <c r="L40" s="709"/>
      <c r="M40" s="710"/>
      <c r="O40" s="650"/>
      <c r="P40" s="650"/>
      <c r="Q40" s="650"/>
      <c r="R40" s="650"/>
      <c r="FY40" s="711"/>
      <c r="FZ40" s="711"/>
      <c r="GA40" s="711"/>
      <c r="GB40" s="711"/>
      <c r="GC40" s="711"/>
      <c r="GD40" s="711"/>
      <c r="GE40" s="711"/>
      <c r="GF40" s="711"/>
      <c r="GG40" s="711"/>
      <c r="GH40" s="711"/>
      <c r="GI40" s="711"/>
      <c r="GJ40" s="711"/>
      <c r="GK40" s="711"/>
      <c r="GL40" s="711"/>
      <c r="GM40" s="711"/>
      <c r="GN40" s="711"/>
      <c r="GO40" s="711"/>
      <c r="GP40" s="711"/>
      <c r="GQ40" s="711"/>
      <c r="GR40" s="711"/>
      <c r="GS40" s="711"/>
      <c r="GT40" s="711"/>
      <c r="GU40" s="711"/>
      <c r="GV40" s="711"/>
      <c r="GW40" s="711"/>
      <c r="GX40" s="711"/>
      <c r="GY40" s="711"/>
      <c r="GZ40" s="711"/>
      <c r="HA40" s="711"/>
      <c r="HB40" s="711"/>
      <c r="HC40" s="711"/>
      <c r="HD40" s="711"/>
      <c r="HE40" s="711"/>
      <c r="HF40" s="711"/>
      <c r="HG40" s="711"/>
      <c r="HH40" s="711"/>
      <c r="HI40" s="711"/>
      <c r="HJ40" s="711"/>
      <c r="HK40" s="711"/>
      <c r="HL40" s="711"/>
      <c r="HM40" s="711"/>
      <c r="HN40" s="711"/>
      <c r="HO40" s="711"/>
      <c r="HP40" s="711"/>
      <c r="HQ40" s="711"/>
      <c r="HR40" s="711"/>
      <c r="HS40" s="711"/>
      <c r="HT40" s="711"/>
      <c r="HU40" s="711"/>
      <c r="HV40" s="711"/>
      <c r="HW40" s="711"/>
      <c r="HX40" s="711"/>
      <c r="HY40" s="711"/>
      <c r="HZ40" s="711"/>
      <c r="IA40" s="711"/>
      <c r="IB40" s="711"/>
      <c r="IC40" s="711"/>
      <c r="ID40" s="711"/>
      <c r="IE40" s="711"/>
      <c r="IF40" s="711"/>
      <c r="IG40" s="711"/>
      <c r="IH40" s="711"/>
      <c r="II40" s="711"/>
      <c r="IJ40" s="711"/>
      <c r="IK40" s="711"/>
      <c r="IL40" s="711"/>
      <c r="IM40" s="711"/>
      <c r="IN40" s="711"/>
      <c r="IO40" s="711"/>
      <c r="IP40" s="711"/>
      <c r="IQ40" s="711"/>
      <c r="IR40" s="711"/>
      <c r="IS40" s="711"/>
      <c r="IT40" s="711"/>
      <c r="IU40" s="711"/>
      <c r="IV40" s="711"/>
      <c r="IW40" s="711"/>
    </row>
    <row r="41" spans="1:257" ht="15" customHeight="1" x14ac:dyDescent="0.2">
      <c r="A41" s="1078" t="s">
        <v>370</v>
      </c>
      <c r="B41" s="1079"/>
      <c r="C41" s="1079"/>
      <c r="D41" s="1079"/>
      <c r="E41" s="1079"/>
      <c r="F41" s="1079"/>
      <c r="G41" s="1079"/>
      <c r="H41" s="1079"/>
      <c r="I41" s="1079"/>
      <c r="J41" s="1079"/>
      <c r="K41" s="712" t="s">
        <v>349</v>
      </c>
      <c r="L41" s="1105" t="s">
        <v>350</v>
      </c>
      <c r="M41" s="1106"/>
    </row>
    <row r="42" spans="1:257" ht="21" customHeight="1" x14ac:dyDescent="0.2">
      <c r="A42" s="1080"/>
      <c r="B42" s="1081"/>
      <c r="C42" s="1081"/>
      <c r="D42" s="1081"/>
      <c r="E42" s="1082"/>
      <c r="F42" s="1081"/>
      <c r="G42" s="1081"/>
      <c r="H42" s="1081"/>
      <c r="I42" s="1081"/>
      <c r="J42" s="1081"/>
      <c r="K42" s="713"/>
      <c r="L42" s="713"/>
      <c r="M42" s="714"/>
    </row>
    <row r="43" spans="1:257" ht="15" customHeight="1" x14ac:dyDescent="0.2">
      <c r="A43" s="1078" t="s">
        <v>370</v>
      </c>
      <c r="B43" s="1079"/>
      <c r="C43" s="1079"/>
      <c r="D43" s="1079"/>
      <c r="E43" s="1079"/>
      <c r="F43" s="1079"/>
      <c r="G43" s="1079"/>
      <c r="H43" s="1079"/>
      <c r="I43" s="1079"/>
      <c r="J43" s="1079"/>
      <c r="K43" s="712" t="s">
        <v>349</v>
      </c>
      <c r="L43" s="1105" t="s">
        <v>350</v>
      </c>
      <c r="M43" s="1106"/>
    </row>
    <row r="44" spans="1:257" ht="21" customHeight="1" x14ac:dyDescent="0.2">
      <c r="A44" s="1080"/>
      <c r="B44" s="1081"/>
      <c r="C44" s="1081"/>
      <c r="D44" s="1081"/>
      <c r="E44" s="1082"/>
      <c r="F44" s="1081"/>
      <c r="G44" s="1081"/>
      <c r="H44" s="1081"/>
      <c r="I44" s="1081"/>
      <c r="J44" s="1081"/>
      <c r="K44" s="713"/>
      <c r="L44" s="713"/>
      <c r="M44" s="714"/>
    </row>
    <row r="45" spans="1:257" ht="15" customHeight="1" x14ac:dyDescent="0.2">
      <c r="A45" s="1114" t="s">
        <v>581</v>
      </c>
      <c r="B45" s="1112"/>
      <c r="C45" s="1113"/>
      <c r="D45" s="1115" t="s">
        <v>350</v>
      </c>
      <c r="E45" s="1115"/>
      <c r="F45" s="1116"/>
      <c r="G45" s="1111" t="s">
        <v>535</v>
      </c>
      <c r="H45" s="1112"/>
      <c r="I45" s="1112"/>
      <c r="J45" s="1113"/>
      <c r="K45" s="1115" t="s">
        <v>350</v>
      </c>
      <c r="L45" s="1115"/>
      <c r="M45" s="1119"/>
      <c r="N45" s="922"/>
      <c r="FP45" s="651"/>
      <c r="FQ45" s="651"/>
      <c r="FR45" s="651"/>
      <c r="FS45" s="651"/>
      <c r="FT45" s="651"/>
      <c r="FU45" s="651"/>
      <c r="FV45" s="651"/>
      <c r="FW45" s="651"/>
      <c r="FX45" s="651"/>
    </row>
    <row r="46" spans="1:257" ht="15" customHeight="1" thickBot="1" x14ac:dyDescent="0.25">
      <c r="A46" s="1121" t="s">
        <v>534</v>
      </c>
      <c r="B46" s="1122"/>
      <c r="C46" s="1123"/>
      <c r="D46" s="1117"/>
      <c r="E46" s="1117"/>
      <c r="F46" s="1118"/>
      <c r="G46" s="1124" t="s">
        <v>536</v>
      </c>
      <c r="H46" s="1125"/>
      <c r="I46" s="1125"/>
      <c r="J46" s="1126"/>
      <c r="K46" s="1117"/>
      <c r="L46" s="1117"/>
      <c r="M46" s="1120"/>
      <c r="FP46" s="651"/>
      <c r="FQ46" s="651"/>
      <c r="FR46" s="651"/>
      <c r="FS46" s="651"/>
      <c r="FT46" s="651"/>
      <c r="FU46" s="651"/>
      <c r="FV46" s="651"/>
      <c r="FW46" s="651"/>
      <c r="FX46" s="651"/>
    </row>
    <row r="47" spans="1:257" s="674" customFormat="1" ht="12" customHeight="1" thickBot="1" x14ac:dyDescent="0.25">
      <c r="A47" s="1002" t="s">
        <v>341</v>
      </c>
      <c r="B47" s="1003"/>
      <c r="C47" s="1003"/>
      <c r="D47" s="1003"/>
      <c r="E47" s="1003"/>
      <c r="F47" s="1003"/>
      <c r="G47" s="1003"/>
      <c r="H47" s="1003"/>
      <c r="I47" s="1003"/>
      <c r="J47" s="1003"/>
      <c r="K47" s="1003"/>
      <c r="L47" s="1003"/>
      <c r="M47" s="1004"/>
      <c r="O47" s="650"/>
      <c r="P47" s="650"/>
      <c r="Q47" s="650"/>
      <c r="R47" s="650"/>
      <c r="FY47" s="711"/>
      <c r="FZ47" s="711"/>
      <c r="GA47" s="711"/>
      <c r="GB47" s="711"/>
      <c r="GC47" s="711"/>
      <c r="GD47" s="711"/>
      <c r="GE47" s="711"/>
      <c r="GF47" s="711"/>
      <c r="GG47" s="711"/>
      <c r="GH47" s="711"/>
      <c r="GI47" s="711"/>
      <c r="GJ47" s="711"/>
      <c r="GK47" s="711"/>
      <c r="GL47" s="711"/>
      <c r="GM47" s="711"/>
      <c r="GN47" s="711"/>
      <c r="GO47" s="711"/>
      <c r="GP47" s="711"/>
      <c r="GQ47" s="711"/>
      <c r="GR47" s="711"/>
      <c r="GS47" s="711"/>
      <c r="GT47" s="711"/>
      <c r="GU47" s="711"/>
      <c r="GV47" s="711"/>
      <c r="GW47" s="711"/>
      <c r="GX47" s="711"/>
      <c r="GY47" s="711"/>
      <c r="GZ47" s="711"/>
      <c r="HA47" s="711"/>
      <c r="HB47" s="711"/>
      <c r="HC47" s="711"/>
      <c r="HD47" s="711"/>
      <c r="HE47" s="711"/>
      <c r="HF47" s="711"/>
      <c r="HG47" s="711"/>
      <c r="HH47" s="711"/>
      <c r="HI47" s="711"/>
      <c r="HJ47" s="711"/>
      <c r="HK47" s="711"/>
      <c r="HL47" s="711"/>
      <c r="HM47" s="711"/>
      <c r="HN47" s="711"/>
      <c r="HO47" s="711"/>
      <c r="HP47" s="711"/>
      <c r="HQ47" s="711"/>
      <c r="HR47" s="711"/>
      <c r="HS47" s="711"/>
      <c r="HT47" s="711"/>
      <c r="HU47" s="711"/>
      <c r="HV47" s="711"/>
      <c r="HW47" s="711"/>
      <c r="HX47" s="711"/>
      <c r="HY47" s="711"/>
      <c r="HZ47" s="711"/>
      <c r="IA47" s="711"/>
      <c r="IB47" s="711"/>
      <c r="IC47" s="711"/>
      <c r="ID47" s="711"/>
      <c r="IE47" s="711"/>
      <c r="IF47" s="711"/>
      <c r="IG47" s="711"/>
      <c r="IH47" s="711"/>
      <c r="II47" s="711"/>
      <c r="IJ47" s="711"/>
      <c r="IK47" s="711"/>
      <c r="IL47" s="711"/>
      <c r="IM47" s="711"/>
      <c r="IN47" s="711"/>
      <c r="IO47" s="711"/>
      <c r="IP47" s="711"/>
      <c r="IQ47" s="711"/>
      <c r="IR47" s="711"/>
      <c r="IS47" s="711"/>
      <c r="IT47" s="711"/>
      <c r="IU47" s="711"/>
      <c r="IV47" s="711"/>
      <c r="IW47" s="711"/>
    </row>
    <row r="48" spans="1:257" ht="12" customHeight="1" x14ac:dyDescent="0.2">
      <c r="A48" s="1005" t="s">
        <v>150</v>
      </c>
      <c r="B48" s="1006"/>
      <c r="C48" s="1006"/>
      <c r="D48" s="1006"/>
      <c r="E48" s="1006"/>
      <c r="F48" s="1006"/>
      <c r="G48" s="1007" t="s">
        <v>151</v>
      </c>
      <c r="H48" s="1007"/>
      <c r="I48" s="1007"/>
      <c r="J48" s="1007"/>
      <c r="K48" s="1007"/>
      <c r="L48" s="1007"/>
      <c r="M48" s="1008"/>
    </row>
    <row r="49" spans="1:180" x14ac:dyDescent="0.2">
      <c r="A49" s="663" t="s">
        <v>152</v>
      </c>
      <c r="B49" s="964"/>
      <c r="C49" s="964"/>
      <c r="D49" s="964"/>
      <c r="E49" s="965"/>
      <c r="F49" s="964"/>
      <c r="G49" s="966" t="s">
        <v>152</v>
      </c>
      <c r="H49" s="966"/>
      <c r="I49" s="964"/>
      <c r="J49" s="964"/>
      <c r="K49" s="964"/>
      <c r="L49" s="964"/>
      <c r="M49" s="967"/>
    </row>
    <row r="50" spans="1:180" x14ac:dyDescent="0.2">
      <c r="A50" s="663" t="s">
        <v>153</v>
      </c>
      <c r="B50" s="964"/>
      <c r="C50" s="964"/>
      <c r="D50" s="964"/>
      <c r="E50" s="965"/>
      <c r="F50" s="964"/>
      <c r="G50" s="966" t="s">
        <v>153</v>
      </c>
      <c r="H50" s="966"/>
      <c r="I50" s="964"/>
      <c r="J50" s="964"/>
      <c r="K50" s="964"/>
      <c r="L50" s="964"/>
      <c r="M50" s="967"/>
    </row>
    <row r="51" spans="1:180" ht="18" customHeight="1" thickBot="1" x14ac:dyDescent="0.25">
      <c r="A51" s="715" t="s">
        <v>154</v>
      </c>
      <c r="B51" s="968"/>
      <c r="C51" s="968"/>
      <c r="D51" s="968"/>
      <c r="E51" s="969"/>
      <c r="F51" s="968"/>
      <c r="G51" s="970" t="s">
        <v>154</v>
      </c>
      <c r="H51" s="970"/>
      <c r="I51" s="968"/>
      <c r="J51" s="968"/>
      <c r="K51" s="968"/>
      <c r="L51" s="968"/>
      <c r="M51" s="971"/>
    </row>
    <row r="52" spans="1:180" ht="12" customHeight="1" x14ac:dyDescent="0.2">
      <c r="A52" s="994" t="s">
        <v>155</v>
      </c>
      <c r="B52" s="995"/>
      <c r="C52" s="995"/>
      <c r="D52" s="995"/>
      <c r="E52" s="996"/>
      <c r="F52" s="995"/>
      <c r="G52" s="997" t="s">
        <v>419</v>
      </c>
      <c r="H52" s="997"/>
      <c r="I52" s="997"/>
      <c r="J52" s="997"/>
      <c r="K52" s="997"/>
      <c r="L52" s="997"/>
      <c r="M52" s="998"/>
    </row>
    <row r="53" spans="1:180" x14ac:dyDescent="0.2">
      <c r="A53" s="663" t="s">
        <v>152</v>
      </c>
      <c r="B53" s="964" t="str">
        <f>IF(ISBLANK(C80), "", C80)</f>
        <v/>
      </c>
      <c r="C53" s="964"/>
      <c r="D53" s="964"/>
      <c r="E53" s="965"/>
      <c r="F53" s="964"/>
      <c r="G53" s="966" t="s">
        <v>152</v>
      </c>
      <c r="H53" s="966"/>
      <c r="I53" s="964" t="str">
        <f>IF(ISBLANK(C60), "", C60)</f>
        <v/>
      </c>
      <c r="J53" s="964"/>
      <c r="K53" s="964"/>
      <c r="L53" s="964"/>
      <c r="M53" s="967"/>
    </row>
    <row r="54" spans="1:180" x14ac:dyDescent="0.2">
      <c r="A54" s="663" t="s">
        <v>153</v>
      </c>
      <c r="B54" s="964"/>
      <c r="C54" s="964"/>
      <c r="D54" s="964"/>
      <c r="E54" s="965"/>
      <c r="F54" s="964"/>
      <c r="G54" s="966" t="s">
        <v>153</v>
      </c>
      <c r="H54" s="966"/>
      <c r="I54" s="964"/>
      <c r="J54" s="964"/>
      <c r="K54" s="964"/>
      <c r="L54" s="964"/>
      <c r="M54" s="967"/>
    </row>
    <row r="55" spans="1:180" ht="18" customHeight="1" thickBot="1" x14ac:dyDescent="0.25">
      <c r="A55" s="715" t="s">
        <v>154</v>
      </c>
      <c r="B55" s="968"/>
      <c r="C55" s="968"/>
      <c r="D55" s="968"/>
      <c r="E55" s="969"/>
      <c r="F55" s="968"/>
      <c r="G55" s="970" t="s">
        <v>154</v>
      </c>
      <c r="H55" s="970"/>
      <c r="I55" s="968"/>
      <c r="J55" s="968"/>
      <c r="K55" s="968"/>
      <c r="L55" s="968"/>
      <c r="M55" s="971"/>
    </row>
    <row r="56" spans="1:180" ht="37.5" customHeight="1" x14ac:dyDescent="0.2">
      <c r="A56" s="978" t="s">
        <v>545</v>
      </c>
      <c r="B56" s="979"/>
      <c r="C56" s="979"/>
      <c r="D56" s="979"/>
      <c r="E56" s="980"/>
      <c r="F56" s="979"/>
      <c r="G56" s="979"/>
      <c r="H56" s="979"/>
      <c r="I56" s="979"/>
      <c r="J56" s="979"/>
      <c r="K56" s="979"/>
      <c r="L56" s="979"/>
      <c r="M56" s="981"/>
    </row>
    <row r="57" spans="1:180" ht="15" customHeight="1" thickBot="1" x14ac:dyDescent="0.25">
      <c r="A57" s="972" t="s">
        <v>580</v>
      </c>
      <c r="B57" s="973"/>
      <c r="C57" s="973"/>
      <c r="D57" s="973"/>
      <c r="E57" s="974"/>
      <c r="F57" s="973"/>
      <c r="G57" s="973"/>
      <c r="H57" s="973"/>
      <c r="I57" s="973"/>
      <c r="J57" s="973"/>
      <c r="K57" s="973"/>
      <c r="L57" s="973"/>
      <c r="M57" s="975"/>
      <c r="FU57" s="651"/>
      <c r="FV57" s="651"/>
      <c r="FW57" s="651"/>
      <c r="FX57" s="651"/>
    </row>
    <row r="58" spans="1:180" ht="18.399999999999999" customHeight="1" x14ac:dyDescent="0.2">
      <c r="A58" s="982" t="s">
        <v>368</v>
      </c>
      <c r="B58" s="983"/>
      <c r="C58" s="983"/>
      <c r="D58" s="983"/>
      <c r="E58" s="983"/>
      <c r="F58" s="983"/>
      <c r="G58" s="983"/>
      <c r="H58" s="983"/>
      <c r="I58" s="983"/>
      <c r="J58" s="983"/>
      <c r="K58" s="983"/>
      <c r="L58" s="983"/>
      <c r="M58" s="984"/>
    </row>
    <row r="59" spans="1:180" x14ac:dyDescent="0.2">
      <c r="A59" s="990" t="s">
        <v>420</v>
      </c>
      <c r="B59" s="991"/>
      <c r="C59" s="992" t="s">
        <v>359</v>
      </c>
      <c r="D59" s="993"/>
      <c r="E59" s="993"/>
      <c r="F59" s="993"/>
      <c r="G59" s="993"/>
      <c r="H59" s="992" t="s">
        <v>357</v>
      </c>
      <c r="I59" s="993"/>
      <c r="J59" s="991"/>
      <c r="K59" s="985" t="s">
        <v>356</v>
      </c>
      <c r="L59" s="985"/>
      <c r="M59" s="986"/>
    </row>
    <row r="60" spans="1:180" x14ac:dyDescent="0.2">
      <c r="A60" s="776" t="s">
        <v>439</v>
      </c>
      <c r="B60" s="777"/>
      <c r="C60" s="909" t="s">
        <v>589</v>
      </c>
      <c r="D60" s="716"/>
      <c r="E60" s="716"/>
      <c r="F60" s="716"/>
      <c r="G60" s="716"/>
      <c r="H60" s="717"/>
      <c r="I60" s="716"/>
      <c r="J60" s="718"/>
      <c r="K60" s="717"/>
      <c r="L60" s="716"/>
      <c r="M60" s="719"/>
    </row>
    <row r="61" spans="1:180" x14ac:dyDescent="0.2">
      <c r="A61" s="775" t="s">
        <v>544</v>
      </c>
      <c r="B61" s="778"/>
      <c r="C61" s="721" t="s">
        <v>590</v>
      </c>
      <c r="D61" s="720"/>
      <c r="E61" s="720"/>
      <c r="F61" s="720"/>
      <c r="G61" s="720"/>
      <c r="H61" s="721"/>
      <c r="I61" s="720"/>
      <c r="J61" s="722"/>
      <c r="K61" s="721"/>
      <c r="L61" s="720"/>
      <c r="M61" s="723"/>
    </row>
    <row r="62" spans="1:180" x14ac:dyDescent="0.2">
      <c r="A62" s="779" t="s">
        <v>544</v>
      </c>
      <c r="B62" s="780"/>
      <c r="C62" s="725" t="s">
        <v>591</v>
      </c>
      <c r="D62" s="726"/>
      <c r="E62" s="726"/>
      <c r="F62" s="724"/>
      <c r="G62" s="716"/>
      <c r="H62" s="717"/>
      <c r="I62" s="716"/>
      <c r="J62" s="718"/>
      <c r="K62" s="717"/>
      <c r="L62" s="716"/>
      <c r="M62" s="719"/>
    </row>
    <row r="63" spans="1:180" x14ac:dyDescent="0.2">
      <c r="A63" s="781" t="s">
        <v>351</v>
      </c>
      <c r="B63" s="782"/>
      <c r="C63" s="721" t="s">
        <v>592</v>
      </c>
      <c r="D63" s="728"/>
      <c r="E63" s="728"/>
      <c r="F63" s="727"/>
      <c r="G63" s="720"/>
      <c r="H63" s="721"/>
      <c r="I63" s="720"/>
      <c r="J63" s="722"/>
      <c r="K63" s="721"/>
      <c r="L63" s="720"/>
      <c r="M63" s="723"/>
    </row>
    <row r="64" spans="1:180" x14ac:dyDescent="0.2">
      <c r="A64" s="779" t="s">
        <v>180</v>
      </c>
      <c r="B64" s="780"/>
      <c r="C64" s="725" t="s">
        <v>593</v>
      </c>
      <c r="D64" s="724"/>
      <c r="E64" s="724"/>
      <c r="F64" s="724"/>
      <c r="G64" s="716"/>
      <c r="H64" s="717"/>
      <c r="I64" s="716"/>
      <c r="J64" s="718"/>
      <c r="K64" s="717"/>
      <c r="L64" s="716"/>
      <c r="M64" s="719"/>
    </row>
    <row r="65" spans="1:13" x14ac:dyDescent="0.2">
      <c r="A65" s="775" t="s">
        <v>180</v>
      </c>
      <c r="B65" s="778"/>
      <c r="C65" s="721" t="s">
        <v>594</v>
      </c>
      <c r="D65" s="720"/>
      <c r="E65" s="720"/>
      <c r="F65" s="720"/>
      <c r="G65" s="720"/>
      <c r="H65" s="721"/>
      <c r="I65" s="720"/>
      <c r="J65" s="722"/>
      <c r="K65" s="721"/>
      <c r="L65" s="720"/>
      <c r="M65" s="723"/>
    </row>
    <row r="66" spans="1:13" x14ac:dyDescent="0.2">
      <c r="A66" s="776" t="s">
        <v>461</v>
      </c>
      <c r="B66" s="777"/>
      <c r="C66" s="725" t="s">
        <v>589</v>
      </c>
      <c r="D66" s="729"/>
      <c r="E66" s="729"/>
      <c r="F66" s="716"/>
      <c r="G66" s="716"/>
      <c r="H66" s="717"/>
      <c r="I66" s="716"/>
      <c r="J66" s="718"/>
      <c r="K66" s="717"/>
      <c r="L66" s="716"/>
      <c r="M66" s="719"/>
    </row>
    <row r="67" spans="1:13" x14ac:dyDescent="0.2">
      <c r="A67" s="775" t="s">
        <v>352</v>
      </c>
      <c r="B67" s="778"/>
      <c r="C67" s="721" t="s">
        <v>595</v>
      </c>
      <c r="D67" s="720"/>
      <c r="E67" s="720"/>
      <c r="F67" s="720"/>
      <c r="G67" s="720"/>
      <c r="H67" s="721"/>
      <c r="I67" s="720"/>
      <c r="J67" s="722"/>
      <c r="K67" s="721"/>
      <c r="L67" s="720"/>
      <c r="M67" s="723"/>
    </row>
    <row r="68" spans="1:13" x14ac:dyDescent="0.2">
      <c r="A68" s="776" t="s">
        <v>184</v>
      </c>
      <c r="B68" s="777"/>
      <c r="C68" s="725" t="s">
        <v>596</v>
      </c>
      <c r="D68" s="729"/>
      <c r="E68" s="729"/>
      <c r="F68" s="716"/>
      <c r="G68" s="716"/>
      <c r="H68" s="717"/>
      <c r="I68" s="716"/>
      <c r="J68" s="718"/>
      <c r="K68" s="717"/>
      <c r="L68" s="716"/>
      <c r="M68" s="719"/>
    </row>
    <row r="69" spans="1:13" x14ac:dyDescent="0.2">
      <c r="A69" s="775" t="s">
        <v>184</v>
      </c>
      <c r="B69" s="778"/>
      <c r="C69" s="721" t="s">
        <v>597</v>
      </c>
      <c r="D69" s="720"/>
      <c r="E69" s="720"/>
      <c r="F69" s="720"/>
      <c r="G69" s="720"/>
      <c r="H69" s="721"/>
      <c r="I69" s="720"/>
      <c r="J69" s="722"/>
      <c r="K69" s="721"/>
      <c r="L69" s="720"/>
      <c r="M69" s="723"/>
    </row>
    <row r="70" spans="1:13" x14ac:dyDescent="0.2">
      <c r="A70" s="776" t="s">
        <v>353</v>
      </c>
      <c r="B70" s="777"/>
      <c r="C70" s="725" t="s">
        <v>598</v>
      </c>
      <c r="D70" s="716"/>
      <c r="E70" s="716"/>
      <c r="F70" s="716"/>
      <c r="G70" s="716"/>
      <c r="H70" s="717"/>
      <c r="I70" s="716"/>
      <c r="J70" s="718"/>
      <c r="K70" s="717"/>
      <c r="L70" s="716"/>
      <c r="M70" s="719"/>
    </row>
    <row r="71" spans="1:13" x14ac:dyDescent="0.2">
      <c r="A71" s="775"/>
      <c r="B71" s="778"/>
      <c r="C71" s="721"/>
      <c r="D71" s="730"/>
      <c r="E71" s="730"/>
      <c r="F71" s="720"/>
      <c r="G71" s="720"/>
      <c r="H71" s="721"/>
      <c r="I71" s="720"/>
      <c r="J71" s="722"/>
      <c r="K71" s="721"/>
      <c r="L71" s="720"/>
      <c r="M71" s="723"/>
    </row>
    <row r="72" spans="1:13" x14ac:dyDescent="0.2">
      <c r="A72" s="776"/>
      <c r="B72" s="777"/>
      <c r="C72" s="725"/>
      <c r="D72" s="729"/>
      <c r="E72" s="729"/>
      <c r="F72" s="716"/>
      <c r="G72" s="716"/>
      <c r="H72" s="717"/>
      <c r="I72" s="716"/>
      <c r="J72" s="718"/>
      <c r="K72" s="717"/>
      <c r="L72" s="716"/>
      <c r="M72" s="719"/>
    </row>
    <row r="73" spans="1:13" x14ac:dyDescent="0.2">
      <c r="A73" s="775"/>
      <c r="B73" s="778"/>
      <c r="C73" s="721"/>
      <c r="D73" s="730"/>
      <c r="E73" s="730"/>
      <c r="F73" s="720"/>
      <c r="G73" s="720"/>
      <c r="H73" s="721"/>
      <c r="I73" s="720"/>
      <c r="J73" s="722"/>
      <c r="K73" s="721"/>
      <c r="L73" s="720"/>
      <c r="M73" s="723"/>
    </row>
    <row r="74" spans="1:13" x14ac:dyDescent="0.2">
      <c r="A74" s="776"/>
      <c r="B74" s="777"/>
      <c r="C74" s="725"/>
      <c r="D74" s="729"/>
      <c r="E74" s="729"/>
      <c r="F74" s="716"/>
      <c r="G74" s="716"/>
      <c r="H74" s="717"/>
      <c r="I74" s="716"/>
      <c r="J74" s="718"/>
      <c r="K74" s="717"/>
      <c r="L74" s="716"/>
      <c r="M74" s="719"/>
    </row>
    <row r="75" spans="1:13" x14ac:dyDescent="0.2">
      <c r="A75" s="775"/>
      <c r="B75" s="778"/>
      <c r="C75" s="721"/>
      <c r="D75" s="720"/>
      <c r="E75" s="720"/>
      <c r="F75" s="720"/>
      <c r="G75" s="720"/>
      <c r="H75" s="721"/>
      <c r="I75" s="720"/>
      <c r="J75" s="722"/>
      <c r="K75" s="721"/>
      <c r="L75" s="720"/>
      <c r="M75" s="723"/>
    </row>
    <row r="76" spans="1:13" x14ac:dyDescent="0.2">
      <c r="A76" s="779"/>
      <c r="B76" s="777"/>
      <c r="C76" s="717"/>
      <c r="D76" s="716"/>
      <c r="E76" s="716"/>
      <c r="F76" s="716"/>
      <c r="G76" s="716"/>
      <c r="H76" s="717"/>
      <c r="I76" s="716"/>
      <c r="J76" s="718"/>
      <c r="K76" s="717"/>
      <c r="L76" s="716"/>
      <c r="M76" s="719"/>
    </row>
    <row r="77" spans="1:13" x14ac:dyDescent="0.2">
      <c r="A77" s="775"/>
      <c r="B77" s="778"/>
      <c r="C77" s="721"/>
      <c r="D77" s="720"/>
      <c r="E77" s="720"/>
      <c r="F77" s="720"/>
      <c r="G77" s="720"/>
      <c r="H77" s="721"/>
      <c r="I77" s="720"/>
      <c r="J77" s="722"/>
      <c r="K77" s="721"/>
      <c r="L77" s="720"/>
      <c r="M77" s="723"/>
    </row>
    <row r="78" spans="1:13" x14ac:dyDescent="0.2">
      <c r="A78" s="779"/>
      <c r="B78" s="777"/>
      <c r="C78" s="717"/>
      <c r="D78" s="716"/>
      <c r="E78" s="716"/>
      <c r="F78" s="716"/>
      <c r="G78" s="716"/>
      <c r="H78" s="717"/>
      <c r="I78" s="716"/>
      <c r="J78" s="718"/>
      <c r="K78" s="717"/>
      <c r="L78" s="716"/>
      <c r="M78" s="719"/>
    </row>
    <row r="79" spans="1:13" x14ac:dyDescent="0.2">
      <c r="A79" s="775"/>
      <c r="B79" s="778"/>
      <c r="C79" s="721"/>
      <c r="D79" s="720"/>
      <c r="E79" s="720"/>
      <c r="F79" s="720"/>
      <c r="G79" s="720"/>
      <c r="H79" s="721"/>
      <c r="I79" s="720"/>
      <c r="J79" s="722"/>
      <c r="K79" s="721"/>
      <c r="L79" s="720"/>
      <c r="M79" s="723"/>
    </row>
    <row r="80" spans="1:13" x14ac:dyDescent="0.2">
      <c r="A80" s="776" t="s">
        <v>155</v>
      </c>
      <c r="B80" s="777"/>
      <c r="C80" s="909" t="s">
        <v>599</v>
      </c>
      <c r="D80" s="716"/>
      <c r="E80" s="716"/>
      <c r="F80" s="716"/>
      <c r="G80" s="716"/>
      <c r="H80" s="717"/>
      <c r="I80" s="716"/>
      <c r="J80" s="718"/>
      <c r="K80" s="717" t="s">
        <v>600</v>
      </c>
      <c r="L80" s="716"/>
      <c r="M80" s="719"/>
    </row>
    <row r="81" spans="1:13" x14ac:dyDescent="0.2">
      <c r="A81" s="775" t="s">
        <v>342</v>
      </c>
      <c r="B81" s="778"/>
      <c r="C81" s="721" t="s">
        <v>601</v>
      </c>
      <c r="D81" s="730"/>
      <c r="E81" s="730"/>
      <c r="F81" s="720"/>
      <c r="G81" s="720"/>
      <c r="H81" s="721"/>
      <c r="I81" s="720"/>
      <c r="J81" s="722"/>
      <c r="K81" s="721"/>
      <c r="L81" s="720"/>
      <c r="M81" s="723"/>
    </row>
    <row r="82" spans="1:13" x14ac:dyDescent="0.2">
      <c r="A82" s="776" t="s">
        <v>343</v>
      </c>
      <c r="B82" s="777"/>
      <c r="C82" s="717" t="s">
        <v>602</v>
      </c>
      <c r="D82" s="716"/>
      <c r="E82" s="716"/>
      <c r="F82" s="716"/>
      <c r="G82" s="716"/>
      <c r="H82" s="717"/>
      <c r="I82" s="716"/>
      <c r="J82" s="718"/>
      <c r="K82" s="717"/>
      <c r="L82" s="716"/>
      <c r="M82" s="719"/>
    </row>
    <row r="83" spans="1:13" x14ac:dyDescent="0.2">
      <c r="A83" s="775" t="s">
        <v>343</v>
      </c>
      <c r="B83" s="778"/>
      <c r="C83" s="721" t="s">
        <v>603</v>
      </c>
      <c r="D83" s="720"/>
      <c r="E83" s="720"/>
      <c r="F83" s="720"/>
      <c r="G83" s="720"/>
      <c r="H83" s="721"/>
      <c r="I83" s="720"/>
      <c r="J83" s="722"/>
      <c r="K83" s="721"/>
      <c r="L83" s="720"/>
      <c r="M83" s="723"/>
    </row>
    <row r="84" spans="1:13" x14ac:dyDescent="0.2">
      <c r="A84" s="776" t="s">
        <v>344</v>
      </c>
      <c r="B84" s="777"/>
      <c r="C84" s="717" t="s">
        <v>604</v>
      </c>
      <c r="D84" s="729"/>
      <c r="E84" s="729"/>
      <c r="F84" s="716"/>
      <c r="G84" s="716"/>
      <c r="H84" s="717"/>
      <c r="I84" s="716"/>
      <c r="J84" s="718"/>
      <c r="K84" s="717"/>
      <c r="L84" s="716"/>
      <c r="M84" s="719"/>
    </row>
    <row r="85" spans="1:13" x14ac:dyDescent="0.2">
      <c r="A85" s="775" t="s">
        <v>344</v>
      </c>
      <c r="B85" s="778"/>
      <c r="C85" s="721" t="s">
        <v>605</v>
      </c>
      <c r="D85" s="730"/>
      <c r="E85" s="730"/>
      <c r="F85" s="720"/>
      <c r="G85" s="720"/>
      <c r="H85" s="721"/>
      <c r="I85" s="720"/>
      <c r="J85" s="722"/>
      <c r="K85" s="721"/>
      <c r="L85" s="720"/>
      <c r="M85" s="723"/>
    </row>
    <row r="86" spans="1:13" x14ac:dyDescent="0.2">
      <c r="A86" s="776" t="s">
        <v>344</v>
      </c>
      <c r="B86" s="777"/>
      <c r="C86" s="717" t="s">
        <v>606</v>
      </c>
      <c r="D86" s="729"/>
      <c r="E86" s="729"/>
      <c r="F86" s="716"/>
      <c r="G86" s="716"/>
      <c r="H86" s="717"/>
      <c r="I86" s="716"/>
      <c r="J86" s="718"/>
      <c r="K86" s="717"/>
      <c r="L86" s="716"/>
      <c r="M86" s="719"/>
    </row>
    <row r="87" spans="1:13" ht="13.5" thickBot="1" x14ac:dyDescent="0.25">
      <c r="A87" s="783" t="s">
        <v>345</v>
      </c>
      <c r="B87" s="784"/>
      <c r="C87" s="721" t="s">
        <v>607</v>
      </c>
      <c r="D87" s="732"/>
      <c r="E87" s="733"/>
      <c r="F87" s="731"/>
      <c r="G87" s="731"/>
      <c r="H87" s="721"/>
      <c r="I87" s="734"/>
      <c r="J87" s="735"/>
      <c r="K87" s="736"/>
      <c r="L87" s="731"/>
      <c r="M87" s="737"/>
    </row>
    <row r="88" spans="1:13" ht="13.5" thickBot="1" x14ac:dyDescent="0.25">
      <c r="A88" s="987" t="s">
        <v>463</v>
      </c>
      <c r="B88" s="988"/>
      <c r="C88" s="988"/>
      <c r="D88" s="988"/>
      <c r="E88" s="988"/>
      <c r="F88" s="988"/>
      <c r="G88" s="988"/>
      <c r="H88" s="988"/>
      <c r="I88" s="988"/>
      <c r="J88" s="988"/>
      <c r="K88" s="988"/>
      <c r="L88" s="988"/>
      <c r="M88" s="989"/>
    </row>
    <row r="89" spans="1:13" ht="39" customHeight="1" x14ac:dyDescent="0.2">
      <c r="A89" s="977" t="str">
        <f>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977"/>
      <c r="C89" s="977"/>
      <c r="D89" s="977"/>
      <c r="E89" s="977"/>
      <c r="F89" s="977"/>
      <c r="G89" s="977"/>
      <c r="H89" s="977"/>
      <c r="I89" s="977"/>
      <c r="J89" s="977"/>
      <c r="K89" s="977"/>
      <c r="L89" s="977"/>
      <c r="M89" s="977"/>
    </row>
    <row r="90" spans="1:13" ht="15" customHeight="1" x14ac:dyDescent="0.2">
      <c r="A90" s="976" t="str">
        <f>A57</f>
        <v>IGRF Rev. 20250201 © 2025 Women's Flat Track Derby Association (WFTDA)</v>
      </c>
      <c r="B90" s="976"/>
      <c r="C90" s="976"/>
      <c r="D90" s="976"/>
      <c r="E90" s="976"/>
      <c r="F90" s="976"/>
      <c r="G90" s="976"/>
      <c r="H90" s="976"/>
      <c r="I90" s="976"/>
      <c r="J90" s="976"/>
      <c r="K90" s="976"/>
      <c r="L90" s="976"/>
      <c r="M90" s="976"/>
    </row>
    <row r="91" spans="1:13" x14ac:dyDescent="0.2">
      <c r="A91" s="650"/>
      <c r="B91" s="650"/>
      <c r="C91" s="650"/>
      <c r="D91" s="650"/>
      <c r="E91" s="650"/>
      <c r="F91" s="650"/>
      <c r="G91" s="650"/>
      <c r="H91" s="650"/>
      <c r="I91" s="650"/>
      <c r="J91" s="650"/>
      <c r="K91" s="650"/>
      <c r="L91" s="650"/>
      <c r="M91" s="650"/>
    </row>
    <row r="92" spans="1:13" x14ac:dyDescent="0.2">
      <c r="A92" s="650"/>
      <c r="B92" s="650"/>
      <c r="C92" s="650"/>
      <c r="D92" s="650"/>
      <c r="E92" s="650"/>
      <c r="F92" s="650"/>
      <c r="G92" s="650"/>
      <c r="H92" s="650"/>
      <c r="I92" s="650"/>
      <c r="J92" s="650"/>
      <c r="K92" s="650"/>
      <c r="L92" s="650"/>
      <c r="M92" s="650"/>
    </row>
    <row r="93" spans="1:13" x14ac:dyDescent="0.2">
      <c r="A93" s="650"/>
      <c r="B93" s="650"/>
      <c r="C93" s="650"/>
      <c r="D93" s="650"/>
      <c r="E93" s="650"/>
      <c r="F93" s="650"/>
      <c r="G93" s="650"/>
      <c r="H93" s="650"/>
      <c r="I93" s="650"/>
      <c r="J93" s="650"/>
      <c r="K93" s="650"/>
      <c r="L93" s="650"/>
      <c r="M93" s="650"/>
    </row>
    <row r="94" spans="1:13" x14ac:dyDescent="0.2">
      <c r="A94" s="650"/>
      <c r="B94" s="650"/>
      <c r="C94" s="650"/>
      <c r="D94" s="650"/>
      <c r="E94" s="650"/>
      <c r="F94" s="650"/>
      <c r="G94" s="650"/>
      <c r="H94" s="650"/>
      <c r="I94" s="650"/>
      <c r="J94" s="650"/>
      <c r="K94" s="650"/>
      <c r="L94" s="650"/>
      <c r="M94" s="650"/>
    </row>
    <row r="95" spans="1:13" x14ac:dyDescent="0.2">
      <c r="A95" s="650"/>
      <c r="B95" s="650"/>
      <c r="C95" s="650"/>
      <c r="D95" s="650"/>
      <c r="E95" s="650"/>
      <c r="F95" s="650"/>
      <c r="G95" s="650"/>
      <c r="H95" s="650"/>
      <c r="I95" s="650"/>
      <c r="J95" s="650"/>
      <c r="K95" s="650"/>
      <c r="L95" s="650"/>
      <c r="M95" s="650"/>
    </row>
    <row r="96" spans="1:13" x14ac:dyDescent="0.2">
      <c r="A96" s="650"/>
      <c r="B96" s="650"/>
      <c r="C96" s="650"/>
      <c r="D96" s="650"/>
      <c r="E96" s="650"/>
      <c r="F96" s="650"/>
      <c r="G96" s="650"/>
      <c r="H96" s="650"/>
      <c r="I96" s="650"/>
      <c r="J96" s="650"/>
      <c r="K96" s="650"/>
      <c r="L96" s="650"/>
      <c r="M96" s="650"/>
    </row>
    <row r="97" spans="1:13" x14ac:dyDescent="0.2">
      <c r="A97" s="650"/>
      <c r="B97" s="650"/>
      <c r="C97" s="650"/>
      <c r="D97" s="650"/>
      <c r="E97" s="650"/>
      <c r="F97" s="650"/>
      <c r="G97" s="650"/>
      <c r="H97" s="650"/>
      <c r="I97" s="650"/>
      <c r="J97" s="650"/>
      <c r="K97" s="650"/>
      <c r="L97" s="650"/>
      <c r="M97" s="650"/>
    </row>
    <row r="98" spans="1:13" x14ac:dyDescent="0.2">
      <c r="A98" s="650"/>
      <c r="B98" s="650"/>
      <c r="C98" s="650"/>
      <c r="D98" s="650"/>
      <c r="E98" s="650"/>
      <c r="F98" s="650"/>
      <c r="G98" s="650"/>
      <c r="H98" s="650"/>
      <c r="I98" s="650"/>
      <c r="J98" s="650"/>
      <c r="K98" s="650"/>
      <c r="L98" s="650"/>
      <c r="M98" s="650"/>
    </row>
    <row r="99" spans="1:13" x14ac:dyDescent="0.2">
      <c r="A99" s="650"/>
      <c r="B99" s="650"/>
      <c r="C99" s="650"/>
      <c r="D99" s="650"/>
      <c r="E99" s="650"/>
      <c r="F99" s="650"/>
      <c r="G99" s="650"/>
      <c r="H99" s="650"/>
      <c r="I99" s="650"/>
      <c r="J99" s="650"/>
      <c r="K99" s="650"/>
      <c r="L99" s="650"/>
      <c r="M99" s="650"/>
    </row>
    <row r="100" spans="1:13" x14ac:dyDescent="0.2">
      <c r="A100" s="650"/>
      <c r="B100" s="650"/>
      <c r="C100" s="650"/>
      <c r="D100" s="650"/>
      <c r="E100" s="650"/>
      <c r="F100" s="650"/>
      <c r="G100" s="650"/>
      <c r="H100" s="650"/>
      <c r="I100" s="650"/>
      <c r="J100" s="650"/>
      <c r="K100" s="650"/>
      <c r="L100" s="650"/>
      <c r="M100" s="650"/>
    </row>
    <row r="101" spans="1:13" x14ac:dyDescent="0.2">
      <c r="A101" s="650"/>
      <c r="B101" s="650"/>
      <c r="C101" s="650"/>
      <c r="D101" s="650"/>
      <c r="E101" s="650"/>
      <c r="F101" s="650"/>
      <c r="G101" s="650"/>
      <c r="H101" s="650"/>
      <c r="I101" s="650"/>
      <c r="J101" s="650"/>
      <c r="K101" s="650"/>
      <c r="L101" s="650"/>
      <c r="M101" s="650"/>
    </row>
    <row r="102" spans="1:13" x14ac:dyDescent="0.2">
      <c r="A102" s="650"/>
      <c r="B102" s="650"/>
      <c r="C102" s="650"/>
      <c r="D102" s="650"/>
      <c r="E102" s="650"/>
      <c r="F102" s="650"/>
      <c r="G102" s="650"/>
      <c r="H102" s="650"/>
      <c r="I102" s="650"/>
      <c r="J102" s="650"/>
      <c r="K102" s="650"/>
      <c r="L102" s="650"/>
      <c r="M102" s="650"/>
    </row>
    <row r="103" spans="1:13" x14ac:dyDescent="0.2">
      <c r="A103" s="650"/>
      <c r="B103" s="650"/>
      <c r="C103" s="650"/>
      <c r="D103" s="650"/>
      <c r="E103" s="650"/>
      <c r="F103" s="650"/>
      <c r="G103" s="650"/>
      <c r="H103" s="650"/>
      <c r="I103" s="650"/>
      <c r="J103" s="650"/>
      <c r="K103" s="650"/>
      <c r="L103" s="650"/>
      <c r="M103" s="650"/>
    </row>
    <row r="104" spans="1:13" x14ac:dyDescent="0.2">
      <c r="A104" s="650"/>
      <c r="B104" s="650"/>
      <c r="C104" s="650"/>
      <c r="D104" s="650"/>
      <c r="E104" s="650"/>
      <c r="F104" s="650"/>
      <c r="G104" s="650"/>
      <c r="H104" s="650"/>
      <c r="I104" s="650"/>
      <c r="J104" s="650"/>
      <c r="K104" s="650"/>
      <c r="L104" s="650"/>
      <c r="M104" s="650"/>
    </row>
    <row r="105" spans="1:13" x14ac:dyDescent="0.2">
      <c r="A105" s="650"/>
      <c r="B105" s="650"/>
      <c r="C105" s="650"/>
      <c r="D105" s="650"/>
      <c r="E105" s="650"/>
      <c r="F105" s="650"/>
      <c r="G105" s="650"/>
      <c r="H105" s="650"/>
      <c r="I105" s="650"/>
      <c r="J105" s="650"/>
      <c r="K105" s="650"/>
      <c r="L105" s="650"/>
      <c r="M105" s="650"/>
    </row>
    <row r="106" spans="1:13" x14ac:dyDescent="0.2">
      <c r="A106" s="650"/>
      <c r="B106" s="650"/>
      <c r="C106" s="650"/>
      <c r="D106" s="650"/>
      <c r="E106" s="650"/>
      <c r="F106" s="650"/>
      <c r="G106" s="650"/>
      <c r="H106" s="650"/>
      <c r="I106" s="650"/>
      <c r="J106" s="650"/>
      <c r="K106" s="650"/>
      <c r="L106" s="650"/>
      <c r="M106" s="650"/>
    </row>
    <row r="107" spans="1:13" x14ac:dyDescent="0.2">
      <c r="A107" s="650"/>
      <c r="B107" s="650"/>
      <c r="C107" s="650"/>
      <c r="D107" s="650"/>
      <c r="E107" s="650"/>
      <c r="F107" s="650"/>
      <c r="G107" s="650"/>
      <c r="H107" s="650"/>
      <c r="I107" s="650"/>
      <c r="J107" s="650"/>
      <c r="K107" s="650"/>
      <c r="L107" s="650"/>
      <c r="M107" s="650"/>
    </row>
    <row r="108" spans="1:13" x14ac:dyDescent="0.2">
      <c r="A108" s="650"/>
      <c r="B108" s="650"/>
      <c r="C108" s="650"/>
      <c r="D108" s="650"/>
      <c r="E108" s="650"/>
      <c r="F108" s="650"/>
      <c r="G108" s="650"/>
      <c r="H108" s="650"/>
      <c r="I108" s="650"/>
      <c r="J108" s="650"/>
      <c r="K108" s="650"/>
      <c r="L108" s="650"/>
      <c r="M108" s="650"/>
    </row>
    <row r="109" spans="1:13" x14ac:dyDescent="0.2">
      <c r="A109" s="650"/>
      <c r="B109" s="650"/>
      <c r="C109" s="650"/>
      <c r="D109" s="650"/>
      <c r="E109" s="650"/>
      <c r="F109" s="650"/>
      <c r="G109" s="650"/>
      <c r="H109" s="650"/>
      <c r="I109" s="650"/>
      <c r="J109" s="650"/>
      <c r="K109" s="650"/>
      <c r="L109" s="650"/>
      <c r="M109" s="650"/>
    </row>
    <row r="110" spans="1:13" x14ac:dyDescent="0.2">
      <c r="A110" s="650"/>
      <c r="B110" s="650"/>
      <c r="C110" s="650"/>
      <c r="D110" s="650"/>
      <c r="E110" s="650"/>
      <c r="F110" s="650"/>
      <c r="G110" s="650"/>
      <c r="H110" s="650"/>
      <c r="I110" s="650"/>
      <c r="J110" s="650"/>
      <c r="K110" s="650"/>
      <c r="L110" s="650"/>
      <c r="M110" s="650"/>
    </row>
    <row r="111" spans="1:13" x14ac:dyDescent="0.2">
      <c r="A111" s="650"/>
      <c r="B111" s="650"/>
      <c r="C111" s="650"/>
      <c r="D111" s="650"/>
      <c r="E111" s="650"/>
      <c r="F111" s="650"/>
      <c r="G111" s="650"/>
      <c r="H111" s="650"/>
      <c r="I111" s="650"/>
      <c r="J111" s="650"/>
      <c r="K111" s="650"/>
      <c r="L111" s="650"/>
      <c r="M111" s="650"/>
    </row>
    <row r="112" spans="1:13" x14ac:dyDescent="0.2">
      <c r="A112" s="650"/>
      <c r="B112" s="650"/>
      <c r="C112" s="650"/>
      <c r="D112" s="650"/>
      <c r="E112" s="650"/>
      <c r="F112" s="650"/>
      <c r="G112" s="650"/>
      <c r="H112" s="650"/>
      <c r="I112" s="650"/>
      <c r="J112" s="650"/>
      <c r="K112" s="650"/>
      <c r="L112" s="650"/>
      <c r="M112" s="650"/>
    </row>
    <row r="113" spans="1:13" x14ac:dyDescent="0.2">
      <c r="A113" s="650"/>
      <c r="B113" s="650"/>
      <c r="C113" s="650"/>
      <c r="D113" s="650"/>
      <c r="E113" s="650"/>
      <c r="F113" s="650"/>
      <c r="G113" s="650"/>
      <c r="H113" s="650"/>
      <c r="I113" s="650"/>
      <c r="J113" s="650"/>
      <c r="K113" s="650"/>
      <c r="L113" s="650"/>
      <c r="M113" s="650"/>
    </row>
    <row r="114" spans="1:13" x14ac:dyDescent="0.2">
      <c r="A114" s="650"/>
      <c r="B114" s="650"/>
      <c r="C114" s="650"/>
      <c r="D114" s="650"/>
      <c r="E114" s="650"/>
      <c r="F114" s="650"/>
      <c r="G114" s="650"/>
      <c r="H114" s="650"/>
      <c r="I114" s="650"/>
      <c r="J114" s="650"/>
      <c r="K114" s="650"/>
      <c r="L114" s="650"/>
      <c r="M114" s="650"/>
    </row>
    <row r="115" spans="1:13" x14ac:dyDescent="0.2">
      <c r="A115" s="650"/>
      <c r="B115" s="650"/>
      <c r="C115" s="650"/>
      <c r="D115" s="650"/>
      <c r="E115" s="650"/>
      <c r="F115" s="650"/>
      <c r="G115" s="650"/>
      <c r="H115" s="650"/>
      <c r="I115" s="650"/>
      <c r="J115" s="650"/>
      <c r="K115" s="650"/>
      <c r="L115" s="650"/>
      <c r="M115" s="650"/>
    </row>
    <row r="116" spans="1:13" x14ac:dyDescent="0.2">
      <c r="A116" s="650"/>
      <c r="B116" s="650"/>
      <c r="C116" s="650"/>
      <c r="D116" s="650"/>
      <c r="E116" s="650"/>
      <c r="F116" s="650"/>
      <c r="G116" s="650"/>
      <c r="H116" s="650"/>
      <c r="I116" s="650"/>
      <c r="J116" s="650"/>
      <c r="K116" s="650"/>
      <c r="L116" s="650"/>
      <c r="M116" s="650"/>
    </row>
  </sheetData>
  <mergeCells count="111">
    <mergeCell ref="A43:J44"/>
    <mergeCell ref="A40:B40"/>
    <mergeCell ref="C40:D40"/>
    <mergeCell ref="A34:M34"/>
    <mergeCell ref="L41:M41"/>
    <mergeCell ref="L43:M43"/>
    <mergeCell ref="I39:M39"/>
    <mergeCell ref="F39:H39"/>
    <mergeCell ref="G45:J45"/>
    <mergeCell ref="A45:C45"/>
    <mergeCell ref="D45:F46"/>
    <mergeCell ref="K45:M46"/>
    <mergeCell ref="A46:C46"/>
    <mergeCell ref="G46:J46"/>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9" type="noConversion"/>
  <printOptions horizontalCentered="1"/>
  <pageMargins left="0.711666666666667" right="0.67666666666666697" top="0.75" bottom="0.25" header="0.4" footer="0.4"/>
  <pageSetup scale="79" firstPageNumber="0" orientation="portrait" horizontalDpi="144" verticalDpi="144" r:id="rId1"/>
  <headerFooter alignWithMargins="0">
    <oddHeader>&amp;L&amp;G</oddHeader>
    <oddFooter>&amp;R&amp;"Calibri,Regular"&amp;8&amp;K000000Form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zoomScaleNormal="10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131" t="str">
        <f>IF(IGRF!B11="","Home Team",IF(IGRF!B10=IGRF!I10,IGRF!B11,IF(IGRF!B10=IGRF!B11,IGRF!B10,IF(OR(IGRF!L3="A",IGRF!L3="B"),IGRF!B10&amp;" "&amp;IGRF!L3,IGRF!B10&amp;" / "&amp;IGRF!B11))))</f>
        <v>Home Team</v>
      </c>
      <c r="B1" s="1131"/>
      <c r="C1" s="1131"/>
      <c r="D1" s="1131"/>
      <c r="E1" s="1131"/>
      <c r="F1" s="1131"/>
      <c r="G1" s="1131"/>
      <c r="H1" s="1131"/>
      <c r="I1" s="1135" t="str">
        <f>IF(ISBLANK(IGRF!$B$12), "", IGRF!$B$12)</f>
        <v/>
      </c>
      <c r="J1" s="1135"/>
      <c r="K1" s="181" t="str">
        <f>IF(ISBLANK(IGRF!$B$7), "", IGRF!$B$7)</f>
        <v/>
      </c>
      <c r="L1" s="1129"/>
      <c r="M1" s="1129"/>
      <c r="N1" s="1129"/>
      <c r="O1" s="1130"/>
      <c r="P1" s="1130"/>
      <c r="Q1" s="1130"/>
      <c r="R1" s="1">
        <v>1</v>
      </c>
      <c r="T1" s="1131" t="str">
        <f>IF(IGRF!$I$11="","Away Team",IF(IGRF!$B$10=IGRF!$I$10,IGRF!$I$11,IF(IGRF!$I$10=IGRF!$I$11,IGRF!$I$11,IF(OR(IGRF!$L$3="A",IGRF!$L$3="B"),IGRF!$I$10&amp;" "&amp;IGRF!$L$3,IGRF!$I$10&amp;" / "&amp;IGRF!$I$11))))</f>
        <v>Away Team</v>
      </c>
      <c r="U1" s="1131"/>
      <c r="V1" s="1131"/>
      <c r="W1" s="1131"/>
      <c r="X1" s="1131"/>
      <c r="Y1" s="1131"/>
      <c r="Z1" s="1131"/>
      <c r="AA1" s="1131"/>
      <c r="AB1" s="1135" t="str">
        <f>IF(ISBLANK(IGRF!$I$12), "", IGRF!$I$12)</f>
        <v/>
      </c>
      <c r="AC1" s="1135"/>
      <c r="AD1" s="181" t="str">
        <f>IF(ISBLANK(IGRF!$B$7), "", IGRF!$B$7)</f>
        <v/>
      </c>
      <c r="AE1" s="1129"/>
      <c r="AF1" s="1129"/>
      <c r="AG1" s="1129"/>
      <c r="AH1" s="1130"/>
      <c r="AI1" s="1130"/>
      <c r="AJ1" s="1130"/>
      <c r="AK1" s="1">
        <v>1</v>
      </c>
    </row>
    <row r="2" spans="1:38" s="2" customFormat="1" ht="15" customHeight="1" thickBot="1" x14ac:dyDescent="0.25">
      <c r="A2" s="1132"/>
      <c r="B2" s="1132"/>
      <c r="C2" s="1132"/>
      <c r="D2" s="1132"/>
      <c r="E2" s="1132"/>
      <c r="F2" s="1132"/>
      <c r="G2" s="1132"/>
      <c r="H2" s="1132"/>
      <c r="I2" s="1136" t="s">
        <v>187</v>
      </c>
      <c r="J2" s="1136"/>
      <c r="K2" s="604" t="s">
        <v>190</v>
      </c>
      <c r="L2" s="1127" t="s">
        <v>180</v>
      </c>
      <c r="M2" s="1127"/>
      <c r="N2" s="1127"/>
      <c r="O2" s="1128" t="s">
        <v>189</v>
      </c>
      <c r="P2" s="1128"/>
      <c r="Q2" s="1128"/>
      <c r="R2" s="4" t="str">
        <f>IF(ISBLANK(IGRF!$L$3), "", "GAME " &amp; IGRF!$L$3)</f>
        <v/>
      </c>
      <c r="T2" s="1132"/>
      <c r="U2" s="1132"/>
      <c r="V2" s="1132"/>
      <c r="W2" s="1132"/>
      <c r="X2" s="1132"/>
      <c r="Y2" s="1132"/>
      <c r="Z2" s="1132"/>
      <c r="AA2" s="1132"/>
      <c r="AB2" s="1136" t="s">
        <v>187</v>
      </c>
      <c r="AC2" s="1136"/>
      <c r="AD2" s="604" t="s">
        <v>190</v>
      </c>
      <c r="AE2" s="1127" t="s">
        <v>180</v>
      </c>
      <c r="AF2" s="1127"/>
      <c r="AG2" s="1127"/>
      <c r="AH2" s="1128" t="s">
        <v>189</v>
      </c>
      <c r="AI2" s="1128"/>
      <c r="AJ2" s="1128"/>
      <c r="AK2" s="4" t="str">
        <f>IF(ISBLANK(IGRF!$L$3), "", "GAME " &amp; IGRF!$L$3)</f>
        <v/>
      </c>
    </row>
    <row r="3" spans="1:38" ht="35.25" customHeight="1" thickBot="1" x14ac:dyDescent="0.25">
      <c r="A3" s="586" t="s">
        <v>156</v>
      </c>
      <c r="B3" s="207" t="s">
        <v>157</v>
      </c>
      <c r="C3" s="208" t="s">
        <v>158</v>
      </c>
      <c r="D3" s="209" t="s">
        <v>159</v>
      </c>
      <c r="E3" s="209" t="s">
        <v>160</v>
      </c>
      <c r="F3" s="209" t="s">
        <v>161</v>
      </c>
      <c r="G3" s="210" t="s">
        <v>402</v>
      </c>
      <c r="H3" s="211" t="s">
        <v>379</v>
      </c>
      <c r="I3" s="212" t="s">
        <v>380</v>
      </c>
      <c r="J3" s="212" t="s">
        <v>381</v>
      </c>
      <c r="K3" s="212" t="s">
        <v>382</v>
      </c>
      <c r="L3" s="212" t="s">
        <v>383</v>
      </c>
      <c r="M3" s="212" t="s">
        <v>384</v>
      </c>
      <c r="N3" s="212" t="s">
        <v>385</v>
      </c>
      <c r="O3" s="212" t="s">
        <v>386</v>
      </c>
      <c r="P3" s="212" t="s">
        <v>387</v>
      </c>
      <c r="Q3" s="213" t="s">
        <v>108</v>
      </c>
      <c r="R3" s="214" t="s">
        <v>109</v>
      </c>
      <c r="S3" s="5" t="s">
        <v>388</v>
      </c>
      <c r="T3" s="586" t="s">
        <v>156</v>
      </c>
      <c r="U3" s="207" t="s">
        <v>157</v>
      </c>
      <c r="V3" s="208" t="s">
        <v>158</v>
      </c>
      <c r="W3" s="209" t="s">
        <v>159</v>
      </c>
      <c r="X3" s="209" t="s">
        <v>160</v>
      </c>
      <c r="Y3" s="209" t="s">
        <v>161</v>
      </c>
      <c r="Z3" s="210" t="s">
        <v>402</v>
      </c>
      <c r="AA3" s="211" t="s">
        <v>379</v>
      </c>
      <c r="AB3" s="212" t="s">
        <v>380</v>
      </c>
      <c r="AC3" s="212" t="s">
        <v>381</v>
      </c>
      <c r="AD3" s="212" t="s">
        <v>382</v>
      </c>
      <c r="AE3" s="212" t="s">
        <v>383</v>
      </c>
      <c r="AF3" s="212" t="s">
        <v>384</v>
      </c>
      <c r="AG3" s="212" t="s">
        <v>385</v>
      </c>
      <c r="AH3" s="212" t="s">
        <v>386</v>
      </c>
      <c r="AI3" s="212" t="s">
        <v>387</v>
      </c>
      <c r="AJ3" s="213" t="s">
        <v>108</v>
      </c>
      <c r="AK3" s="214" t="s">
        <v>109</v>
      </c>
      <c r="AL3" s="5" t="s">
        <v>388</v>
      </c>
    </row>
    <row r="4" spans="1:38" ht="34.15" customHeight="1" x14ac:dyDescent="0.35">
      <c r="A4" s="252" t="n">
        <v>1.0</v>
      </c>
      <c r="B4" s="313" t="s">
        <v>635</v>
      </c>
      <c r="C4" s="312"/>
      <c r="D4" s="314" t="s">
        <v>116</v>
      </c>
      <c r="E4" s="314" t="s">
        <v>116</v>
      </c>
      <c r="F4" s="314"/>
      <c r="G4" s="315"/>
      <c r="H4" s="316" t="n">
        <v>2.0</v>
      </c>
      <c r="I4" s="317" t="n">
        <v>0.0</v>
      </c>
      <c r="J4" s="317"/>
      <c r="K4" s="317"/>
      <c r="L4" s="317"/>
      <c r="M4" s="317"/>
      <c r="N4" s="317"/>
      <c r="O4" s="317"/>
      <c r="P4" s="318"/>
      <c r="Q4" s="319" t="str">
        <f t="shared" ref="Q4:Q41" si="0">IF(ISBLANK(A4),"",IF(ISBLANK(G4),SUM(H4:P4),0))</f>
        <v/>
      </c>
      <c r="R4" s="320" t="str">
        <f>IF(Q4="","",Q4+'OS Offset'!B4)</f>
        <v/>
      </c>
      <c r="S4" s="321">
        <f t="shared" ref="S4:S41" si="1">IF(G4="X",0,COUNT(H4:P4))</f>
        <v>0</v>
      </c>
      <c r="T4" s="252" t="n">
        <v>1.0</v>
      </c>
      <c r="U4" s="322" t="s">
        <v>622</v>
      </c>
      <c r="V4" s="312"/>
      <c r="W4" s="314"/>
      <c r="X4" s="314"/>
      <c r="Y4" s="314"/>
      <c r="Z4" s="315"/>
      <c r="AA4" s="316" t="n">
        <v>0.0</v>
      </c>
      <c r="AB4" s="317"/>
      <c r="AC4" s="317"/>
      <c r="AD4" s="317"/>
      <c r="AE4" s="317"/>
      <c r="AF4" s="317"/>
      <c r="AG4" s="317"/>
      <c r="AH4" s="317"/>
      <c r="AI4" s="318"/>
      <c r="AJ4" s="319" t="str">
        <f t="shared" ref="AJ4:AJ41" si="2">IF(ISBLANK(T4),"",IF(ISBLANK(Z4),SUM(AA4:AI4),0))</f>
        <v/>
      </c>
      <c r="AK4" s="320" t="str">
        <f>IF(AJ4="","",AJ4+'OS Offset'!I4)</f>
        <v/>
      </c>
      <c r="AL4" s="321">
        <f t="shared" ref="AL4:AL41" si="3">IF(Z4="X",0,COUNT(AA4:AI4))</f>
        <v>0</v>
      </c>
    </row>
    <row r="5" spans="1:38" ht="34.15" customHeight="1" x14ac:dyDescent="0.35">
      <c r="A5" s="260" t="n">
        <v>2.0</v>
      </c>
      <c r="B5" s="261" t="s">
        <v>649</v>
      </c>
      <c r="C5" s="260"/>
      <c r="D5" s="262" t="s">
        <v>116</v>
      </c>
      <c r="E5" s="262" t="s">
        <v>116</v>
      </c>
      <c r="F5" s="262"/>
      <c r="G5" s="251"/>
      <c r="H5" s="252" t="n">
        <v>4.0</v>
      </c>
      <c r="I5" s="253" t="n">
        <v>4.0</v>
      </c>
      <c r="J5" s="253" t="n">
        <v>3.0</v>
      </c>
      <c r="K5" s="253" t="n">
        <v>0.0</v>
      </c>
      <c r="L5" s="253"/>
      <c r="M5" s="253"/>
      <c r="N5" s="253"/>
      <c r="O5" s="253"/>
      <c r="P5" s="223"/>
      <c r="Q5" s="224" t="str">
        <f t="shared" si="0"/>
        <v/>
      </c>
      <c r="R5" s="265" t="str">
        <f>IF(Q5="","",Q5+R4+'OS Offset'!B5)</f>
        <v/>
      </c>
      <c r="S5" s="226">
        <f t="shared" si="1"/>
        <v>0</v>
      </c>
      <c r="T5" s="229" t="n">
        <v>2.0</v>
      </c>
      <c r="U5" s="228" t="s">
        <v>622</v>
      </c>
      <c r="V5" s="229" t="s">
        <v>116</v>
      </c>
      <c r="W5" s="230"/>
      <c r="X5" s="230"/>
      <c r="Y5" s="230"/>
      <c r="Z5" s="231" t="s">
        <v>116</v>
      </c>
      <c r="AA5" s="232"/>
      <c r="AB5" s="222"/>
      <c r="AC5" s="222"/>
      <c r="AD5" s="222"/>
      <c r="AE5" s="222"/>
      <c r="AF5" s="222"/>
      <c r="AG5" s="222"/>
      <c r="AH5" s="222"/>
      <c r="AI5" s="223"/>
      <c r="AJ5" s="224" t="str">
        <f t="shared" si="2"/>
        <v/>
      </c>
      <c r="AK5" s="225" t="str">
        <f>IF(AJ5="","",AJ5+AK4+'OS Offset'!I5)</f>
        <v/>
      </c>
      <c r="AL5" s="226">
        <f t="shared" si="3"/>
        <v>0</v>
      </c>
    </row>
    <row r="6" spans="1:38" ht="34.15" customHeight="1" x14ac:dyDescent="0.35">
      <c r="A6" s="252" t="n">
        <v>3.0</v>
      </c>
      <c r="B6" s="267" t="s">
        <v>635</v>
      </c>
      <c r="C6" s="252"/>
      <c r="D6" s="253" t="s">
        <v>116</v>
      </c>
      <c r="E6" s="253" t="s">
        <v>116</v>
      </c>
      <c r="F6" s="253"/>
      <c r="G6" s="266"/>
      <c r="H6" s="254" t="n">
        <v>4.0</v>
      </c>
      <c r="I6" s="255" t="n">
        <v>0.0</v>
      </c>
      <c r="J6" s="255"/>
      <c r="K6" s="255"/>
      <c r="L6" s="255"/>
      <c r="M6" s="255"/>
      <c r="N6" s="255"/>
      <c r="O6" s="255"/>
      <c r="P6" s="234"/>
      <c r="Q6" s="256" t="str">
        <f t="shared" si="0"/>
        <v/>
      </c>
      <c r="R6" s="265" t="str">
        <f>IF(Q6="","",Q6+R5+'OS Offset'!B6)</f>
        <v/>
      </c>
      <c r="S6" s="226">
        <f t="shared" si="1"/>
        <v>0</v>
      </c>
      <c r="T6" s="252" t="n">
        <v>3.0</v>
      </c>
      <c r="U6" s="257" t="s">
        <v>620</v>
      </c>
      <c r="V6" s="248"/>
      <c r="W6" s="246"/>
      <c r="X6" s="246"/>
      <c r="Y6" s="246"/>
      <c r="Z6" s="258" t="s">
        <v>116</v>
      </c>
      <c r="AA6" s="250"/>
      <c r="AB6" s="245"/>
      <c r="AC6" s="245"/>
      <c r="AD6" s="245"/>
      <c r="AE6" s="245"/>
      <c r="AF6" s="245"/>
      <c r="AG6" s="245"/>
      <c r="AH6" s="245"/>
      <c r="AI6" s="249"/>
      <c r="AJ6" s="242" t="str">
        <f t="shared" si="2"/>
        <v/>
      </c>
      <c r="AK6" s="225" t="str">
        <f>IF(AJ6="","",AJ6+AK5+'OS Offset'!I6)</f>
        <v/>
      </c>
      <c r="AL6" s="226">
        <f t="shared" si="3"/>
        <v>0</v>
      </c>
    </row>
    <row r="7" spans="1:38" ht="34.15" customHeight="1" x14ac:dyDescent="0.35">
      <c r="A7" s="260" t="s">
        <v>665</v>
      </c>
      <c r="B7" s="261"/>
      <c r="C7" s="260"/>
      <c r="D7" s="262"/>
      <c r="E7" s="262"/>
      <c r="F7" s="262"/>
      <c r="G7" s="251"/>
      <c r="H7" s="252"/>
      <c r="I7" s="253"/>
      <c r="J7" s="253"/>
      <c r="K7" s="253"/>
      <c r="L7" s="253"/>
      <c r="M7" s="253"/>
      <c r="N7" s="253"/>
      <c r="O7" s="253"/>
      <c r="P7" s="223"/>
      <c r="Q7" s="224" t="str">
        <f t="shared" si="0"/>
        <v/>
      </c>
      <c r="R7" s="265" t="str">
        <f>IF(Q7="","",Q7+R6+'OS Offset'!B7)</f>
        <v/>
      </c>
      <c r="S7" s="226">
        <f t="shared" si="1"/>
        <v>0</v>
      </c>
      <c r="T7" s="259" t="s">
        <v>666</v>
      </c>
      <c r="U7" s="263" t="s">
        <v>615</v>
      </c>
      <c r="V7" s="259"/>
      <c r="W7" s="264"/>
      <c r="X7" s="264"/>
      <c r="Y7" s="264"/>
      <c r="Z7" s="274" t="s">
        <v>116</v>
      </c>
      <c r="AA7" s="248"/>
      <c r="AB7" s="246"/>
      <c r="AC7" s="246"/>
      <c r="AD7" s="246"/>
      <c r="AE7" s="246"/>
      <c r="AF7" s="246"/>
      <c r="AG7" s="246"/>
      <c r="AH7" s="246"/>
      <c r="AI7" s="247"/>
      <c r="AJ7" s="241" t="str">
        <f t="shared" si="2"/>
        <v/>
      </c>
      <c r="AK7" s="225" t="str">
        <f>IF(AJ7="","",AJ7+AK6+'OS Offset'!I7)</f>
        <v/>
      </c>
      <c r="AL7" s="226">
        <f t="shared" si="3"/>
        <v>0</v>
      </c>
    </row>
    <row r="8" spans="1:38" ht="34.15" customHeight="1" x14ac:dyDescent="0.35">
      <c r="A8" s="252" t="n">
        <v>4.0</v>
      </c>
      <c r="B8" s="267" t="s">
        <v>649</v>
      </c>
      <c r="C8" s="252"/>
      <c r="D8" s="253"/>
      <c r="E8" s="253"/>
      <c r="F8" s="253"/>
      <c r="G8" s="266" t="s">
        <v>116</v>
      </c>
      <c r="H8" s="254"/>
      <c r="I8" s="255"/>
      <c r="J8" s="255"/>
      <c r="K8" s="255"/>
      <c r="L8" s="255"/>
      <c r="M8" s="255"/>
      <c r="N8" s="255"/>
      <c r="O8" s="255"/>
      <c r="P8" s="234"/>
      <c r="Q8" s="256" t="str">
        <f t="shared" si="0"/>
        <v/>
      </c>
      <c r="R8" s="265" t="str">
        <f>IF(Q8="","",Q8+R7+'OS Offset'!B8)</f>
        <v/>
      </c>
      <c r="S8" s="226">
        <f t="shared" si="1"/>
        <v>0</v>
      </c>
      <c r="T8" s="252" t="n">
        <v>4.0</v>
      </c>
      <c r="U8" s="257" t="s">
        <v>631</v>
      </c>
      <c r="V8" s="248"/>
      <c r="W8" s="246" t="s">
        <v>116</v>
      </c>
      <c r="X8" s="246" t="s">
        <v>116</v>
      </c>
      <c r="Y8" s="246"/>
      <c r="Z8" s="258"/>
      <c r="AA8" s="250" t="n">
        <v>4.0</v>
      </c>
      <c r="AB8" s="245" t="n">
        <v>4.0</v>
      </c>
      <c r="AC8" s="245" t="n">
        <v>3.0</v>
      </c>
      <c r="AD8" s="245" t="n">
        <v>0.0</v>
      </c>
      <c r="AE8" s="245"/>
      <c r="AF8" s="245"/>
      <c r="AG8" s="245"/>
      <c r="AH8" s="245"/>
      <c r="AI8" s="249"/>
      <c r="AJ8" s="242" t="str">
        <f t="shared" si="2"/>
        <v/>
      </c>
      <c r="AK8" s="225" t="str">
        <f>IF(AJ8="","",AJ8+AK7+'OS Offset'!I8)</f>
        <v/>
      </c>
      <c r="AL8" s="226">
        <f t="shared" si="3"/>
        <v>0</v>
      </c>
    </row>
    <row r="9" spans="1:38" ht="34.15" customHeight="1" x14ac:dyDescent="0.35">
      <c r="A9" s="260" t="n">
        <v>5.0</v>
      </c>
      <c r="B9" s="261" t="s">
        <v>635</v>
      </c>
      <c r="C9" s="260"/>
      <c r="D9" s="262"/>
      <c r="E9" s="262"/>
      <c r="F9" s="262"/>
      <c r="G9" s="251" t="s">
        <v>116</v>
      </c>
      <c r="H9" s="252"/>
      <c r="I9" s="253"/>
      <c r="J9" s="253"/>
      <c r="K9" s="253"/>
      <c r="L9" s="253"/>
      <c r="M9" s="253"/>
      <c r="N9" s="253"/>
      <c r="O9" s="253"/>
      <c r="P9" s="223"/>
      <c r="Q9" s="224" t="str">
        <f t="shared" si="0"/>
        <v/>
      </c>
      <c r="R9" s="265" t="str">
        <f>IF(Q9="","",Q9+R8+'OS Offset'!B9)</f>
        <v/>
      </c>
      <c r="S9" s="226">
        <f t="shared" si="1"/>
        <v>0</v>
      </c>
      <c r="T9" s="259" t="n">
        <v>5.0</v>
      </c>
      <c r="U9" s="263" t="s">
        <v>622</v>
      </c>
      <c r="V9" s="259"/>
      <c r="W9" s="264" t="s">
        <v>116</v>
      </c>
      <c r="X9" s="264" t="s">
        <v>116</v>
      </c>
      <c r="Y9" s="264"/>
      <c r="Z9" s="274"/>
      <c r="AA9" s="248" t="n">
        <v>4.0</v>
      </c>
      <c r="AB9" s="246" t="n">
        <v>0.0</v>
      </c>
      <c r="AC9" s="246"/>
      <c r="AD9" s="246"/>
      <c r="AE9" s="246"/>
      <c r="AF9" s="246"/>
      <c r="AG9" s="246"/>
      <c r="AH9" s="246"/>
      <c r="AI9" s="247"/>
      <c r="AJ9" s="241" t="str">
        <f t="shared" si="2"/>
        <v/>
      </c>
      <c r="AK9" s="225" t="str">
        <f>IF(AJ9="","",AJ9+AK8+'OS Offset'!I9)</f>
        <v/>
      </c>
      <c r="AL9" s="226">
        <f t="shared" si="3"/>
        <v>0</v>
      </c>
    </row>
    <row r="10" spans="1:38" ht="34.15" customHeight="1" x14ac:dyDescent="0.35">
      <c r="A10" s="252" t="n">
        <v>6.0</v>
      </c>
      <c r="B10" s="267" t="s">
        <v>649</v>
      </c>
      <c r="C10" s="252"/>
      <c r="D10" s="253" t="s">
        <v>116</v>
      </c>
      <c r="E10" s="253" t="s">
        <v>116</v>
      </c>
      <c r="F10" s="253"/>
      <c r="G10" s="266"/>
      <c r="H10" s="254" t="n">
        <v>3.0</v>
      </c>
      <c r="I10" s="255" t="n">
        <v>0.0</v>
      </c>
      <c r="J10" s="255"/>
      <c r="K10" s="255"/>
      <c r="L10" s="255"/>
      <c r="M10" s="255"/>
      <c r="N10" s="255"/>
      <c r="O10" s="255"/>
      <c r="P10" s="234"/>
      <c r="Q10" s="256" t="str">
        <f t="shared" si="0"/>
        <v/>
      </c>
      <c r="R10" s="265" t="str">
        <f>IF(Q10="","",Q10+R9+'OS Offset'!B10)</f>
        <v/>
      </c>
      <c r="S10" s="226">
        <f t="shared" si="1"/>
        <v>0</v>
      </c>
      <c r="T10" s="252" t="n">
        <v>6.0</v>
      </c>
      <c r="U10" s="257" t="s">
        <v>620</v>
      </c>
      <c r="V10" s="248"/>
      <c r="W10" s="246"/>
      <c r="X10" s="246"/>
      <c r="Y10" s="246"/>
      <c r="Z10" s="258"/>
      <c r="AA10" s="250" t="n">
        <v>2.0</v>
      </c>
      <c r="AB10" s="245" t="n">
        <v>0.0</v>
      </c>
      <c r="AC10" s="245"/>
      <c r="AD10" s="245"/>
      <c r="AE10" s="245"/>
      <c r="AF10" s="245"/>
      <c r="AG10" s="245"/>
      <c r="AH10" s="245"/>
      <c r="AI10" s="249"/>
      <c r="AJ10" s="242" t="str">
        <f t="shared" si="2"/>
        <v/>
      </c>
      <c r="AK10" s="225" t="str">
        <f>IF(AJ10="","",AJ10+AK9+'OS Offset'!I10)</f>
        <v/>
      </c>
      <c r="AL10" s="226">
        <f t="shared" si="3"/>
        <v>0</v>
      </c>
    </row>
    <row r="11" spans="1:38" ht="34.15" customHeight="1" x14ac:dyDescent="0.35">
      <c r="A11" s="260" t="n">
        <v>7.0</v>
      </c>
      <c r="B11" s="261" t="s">
        <v>635</v>
      </c>
      <c r="C11" s="260"/>
      <c r="D11" s="262"/>
      <c r="E11" s="262"/>
      <c r="F11" s="262"/>
      <c r="G11" s="251"/>
      <c r="H11" s="252" t="n">
        <v>4.0</v>
      </c>
      <c r="I11" s="253" t="n">
        <v>2.0</v>
      </c>
      <c r="J11" s="253" t="n">
        <v>0.0</v>
      </c>
      <c r="K11" s="253"/>
      <c r="L11" s="253"/>
      <c r="M11" s="253"/>
      <c r="N11" s="253"/>
      <c r="O11" s="253"/>
      <c r="P11" s="223"/>
      <c r="Q11" s="224" t="str">
        <f t="shared" si="0"/>
        <v/>
      </c>
      <c r="R11" s="265" t="str">
        <f>IF(Q11="","",Q11+R10+'OS Offset'!B11)</f>
        <v/>
      </c>
      <c r="S11" s="226">
        <f t="shared" si="1"/>
        <v>0</v>
      </c>
      <c r="T11" s="259" t="n">
        <v>7.0</v>
      </c>
      <c r="U11" s="263" t="s">
        <v>631</v>
      </c>
      <c r="V11" s="259"/>
      <c r="W11" s="264" t="s">
        <v>116</v>
      </c>
      <c r="X11" s="264" t="s">
        <v>116</v>
      </c>
      <c r="Y11" s="264"/>
      <c r="Z11" s="274"/>
      <c r="AA11" s="248" t="n">
        <v>4.0</v>
      </c>
      <c r="AB11" s="246" t="n">
        <v>0.0</v>
      </c>
      <c r="AC11" s="246" t="n">
        <v>3.0</v>
      </c>
      <c r="AD11" s="246" t="n">
        <v>0.0</v>
      </c>
      <c r="AE11" s="246"/>
      <c r="AF11" s="246"/>
      <c r="AG11" s="246"/>
      <c r="AH11" s="246"/>
      <c r="AI11" s="247"/>
      <c r="AJ11" s="241" t="str">
        <f t="shared" si="2"/>
        <v/>
      </c>
      <c r="AK11" s="225" t="str">
        <f>IF(AJ11="","",AJ11+AK10+'OS Offset'!I11)</f>
        <v/>
      </c>
      <c r="AL11" s="226">
        <f t="shared" si="3"/>
        <v>0</v>
      </c>
    </row>
    <row r="12" spans="1:38" ht="34.15" customHeight="1" x14ac:dyDescent="0.35">
      <c r="A12" s="252" t="n">
        <v>8.0</v>
      </c>
      <c r="B12" s="267" t="s">
        <v>641</v>
      </c>
      <c r="C12" s="252"/>
      <c r="D12" s="253" t="s">
        <v>116</v>
      </c>
      <c r="E12" s="253" t="s">
        <v>116</v>
      </c>
      <c r="F12" s="253"/>
      <c r="G12" s="266"/>
      <c r="H12" s="254" t="n">
        <v>4.0</v>
      </c>
      <c r="I12" s="255" t="n">
        <v>0.0</v>
      </c>
      <c r="J12" s="255"/>
      <c r="K12" s="255"/>
      <c r="L12" s="255"/>
      <c r="M12" s="255"/>
      <c r="N12" s="255"/>
      <c r="O12" s="255"/>
      <c r="P12" s="234"/>
      <c r="Q12" s="256" t="str">
        <f t="shared" si="0"/>
        <v/>
      </c>
      <c r="R12" s="265" t="str">
        <f>IF(Q12="","",Q12+R11+'OS Offset'!B12)</f>
        <v/>
      </c>
      <c r="S12" s="226">
        <f t="shared" si="1"/>
        <v>0</v>
      </c>
      <c r="T12" s="252" t="n">
        <v>8.0</v>
      </c>
      <c r="U12" s="257" t="s">
        <v>622</v>
      </c>
      <c r="V12" s="248"/>
      <c r="W12" s="246"/>
      <c r="X12" s="246"/>
      <c r="Y12" s="246"/>
      <c r="Z12" s="258"/>
      <c r="AA12" s="250" t="n">
        <v>0.0</v>
      </c>
      <c r="AB12" s="245" t="n">
        <v>0.0</v>
      </c>
      <c r="AC12" s="245"/>
      <c r="AD12" s="245"/>
      <c r="AE12" s="245"/>
      <c r="AF12" s="245"/>
      <c r="AG12" s="245"/>
      <c r="AH12" s="245"/>
      <c r="AI12" s="249"/>
      <c r="AJ12" s="242" t="str">
        <f t="shared" si="2"/>
        <v/>
      </c>
      <c r="AK12" s="225" t="str">
        <f>IF(AJ12="","",AJ12+AK11+'OS Offset'!I12)</f>
        <v/>
      </c>
      <c r="AL12" s="226">
        <f t="shared" si="3"/>
        <v>0</v>
      </c>
    </row>
    <row r="13" spans="1:38" ht="34.15" customHeight="1" x14ac:dyDescent="0.35">
      <c r="A13" s="260" t="n">
        <v>9.0</v>
      </c>
      <c r="B13" s="261" t="s">
        <v>635</v>
      </c>
      <c r="C13" s="260" t="s">
        <v>116</v>
      </c>
      <c r="D13" s="262"/>
      <c r="E13" s="262"/>
      <c r="F13" s="262"/>
      <c r="G13" s="251" t="s">
        <v>116</v>
      </c>
      <c r="H13" s="252"/>
      <c r="I13" s="253"/>
      <c r="J13" s="253"/>
      <c r="K13" s="253"/>
      <c r="L13" s="253"/>
      <c r="M13" s="253"/>
      <c r="N13" s="253"/>
      <c r="O13" s="253"/>
      <c r="P13" s="223"/>
      <c r="Q13" s="224" t="str">
        <f t="shared" si="0"/>
        <v/>
      </c>
      <c r="R13" s="265" t="str">
        <f>IF(Q13="","",Q13+R12+'OS Offset'!B13)</f>
        <v/>
      </c>
      <c r="S13" s="226">
        <f t="shared" si="1"/>
        <v>0</v>
      </c>
      <c r="T13" s="259" t="n">
        <v>9.0</v>
      </c>
      <c r="U13" s="263" t="s">
        <v>620</v>
      </c>
      <c r="V13" s="259"/>
      <c r="W13" s="264" t="s">
        <v>116</v>
      </c>
      <c r="X13" s="264" t="s">
        <v>116</v>
      </c>
      <c r="Y13" s="264"/>
      <c r="Z13" s="274"/>
      <c r="AA13" s="248" t="n">
        <v>4.0</v>
      </c>
      <c r="AB13" s="246" t="n">
        <v>2.0</v>
      </c>
      <c r="AC13" s="246" t="n">
        <v>0.0</v>
      </c>
      <c r="AD13" s="246"/>
      <c r="AE13" s="246"/>
      <c r="AF13" s="246"/>
      <c r="AG13" s="246"/>
      <c r="AH13" s="246"/>
      <c r="AI13" s="247"/>
      <c r="AJ13" s="241" t="str">
        <f t="shared" si="2"/>
        <v/>
      </c>
      <c r="AK13" s="225" t="str">
        <f>IF(AJ13="","",AJ13+AK12+'OS Offset'!I13)</f>
        <v/>
      </c>
      <c r="AL13" s="226">
        <f t="shared" si="3"/>
        <v>0</v>
      </c>
    </row>
    <row r="14" spans="1:38" ht="34.15" customHeight="1" x14ac:dyDescent="0.35">
      <c r="A14" s="252" t="n">
        <v>10.0</v>
      </c>
      <c r="B14" s="267" t="s">
        <v>649</v>
      </c>
      <c r="C14" s="252"/>
      <c r="D14" s="253"/>
      <c r="E14" s="253"/>
      <c r="F14" s="253"/>
      <c r="G14" s="266" t="s">
        <v>116</v>
      </c>
      <c r="H14" s="254"/>
      <c r="I14" s="255"/>
      <c r="J14" s="255"/>
      <c r="K14" s="255"/>
      <c r="L14" s="255"/>
      <c r="M14" s="255"/>
      <c r="N14" s="255"/>
      <c r="O14" s="255"/>
      <c r="P14" s="234"/>
      <c r="Q14" s="256" t="str">
        <f t="shared" si="0"/>
        <v/>
      </c>
      <c r="R14" s="265" t="str">
        <f>IF(Q14="","",Q14+R13+'OS Offset'!B14)</f>
        <v/>
      </c>
      <c r="S14" s="226">
        <f t="shared" si="1"/>
        <v>0</v>
      </c>
      <c r="T14" s="252" t="n">
        <v>10.0</v>
      </c>
      <c r="U14" s="257" t="s">
        <v>631</v>
      </c>
      <c r="V14" s="248"/>
      <c r="W14" s="246" t="s">
        <v>116</v>
      </c>
      <c r="X14" s="246" t="s">
        <v>116</v>
      </c>
      <c r="Y14" s="246"/>
      <c r="Z14" s="258"/>
      <c r="AA14" s="250" t="n">
        <v>4.0</v>
      </c>
      <c r="AB14" s="245" t="n">
        <v>4.0</v>
      </c>
      <c r="AC14" s="245" t="n">
        <v>4.0</v>
      </c>
      <c r="AD14" s="245" t="n">
        <v>0.0</v>
      </c>
      <c r="AE14" s="245"/>
      <c r="AF14" s="245"/>
      <c r="AG14" s="245"/>
      <c r="AH14" s="245"/>
      <c r="AI14" s="249"/>
      <c r="AJ14" s="242" t="str">
        <f t="shared" si="2"/>
        <v/>
      </c>
      <c r="AK14" s="225" t="str">
        <f>IF(AJ14="","",AJ14+AK13+'OS Offset'!I14)</f>
        <v/>
      </c>
      <c r="AL14" s="226">
        <f t="shared" si="3"/>
        <v>0</v>
      </c>
    </row>
    <row r="15" spans="1:38" ht="34.15" customHeight="1" x14ac:dyDescent="0.35">
      <c r="A15" s="260" t="n">
        <v>11.0</v>
      </c>
      <c r="B15" s="261" t="s">
        <v>635</v>
      </c>
      <c r="C15" s="260"/>
      <c r="D15" s="262" t="s">
        <v>116</v>
      </c>
      <c r="E15" s="262" t="s">
        <v>116</v>
      </c>
      <c r="F15" s="262"/>
      <c r="G15" s="251"/>
      <c r="H15" s="252" t="n">
        <v>4.0</v>
      </c>
      <c r="I15" s="253" t="n">
        <v>0.0</v>
      </c>
      <c r="J15" s="253"/>
      <c r="K15" s="253"/>
      <c r="L15" s="253"/>
      <c r="M15" s="253"/>
      <c r="N15" s="253"/>
      <c r="O15" s="253"/>
      <c r="P15" s="223"/>
      <c r="Q15" s="224" t="str">
        <f t="shared" si="0"/>
        <v/>
      </c>
      <c r="R15" s="265" t="str">
        <f>IF(Q15="","",Q15+R14+'OS Offset'!B15)</f>
        <v/>
      </c>
      <c r="S15" s="226">
        <f t="shared" si="1"/>
        <v>0</v>
      </c>
      <c r="T15" s="259" t="n">
        <v>11.0</v>
      </c>
      <c r="U15" s="263" t="s">
        <v>622</v>
      </c>
      <c r="V15" s="259"/>
      <c r="W15" s="264"/>
      <c r="X15" s="264"/>
      <c r="Y15" s="264"/>
      <c r="Z15" s="274" t="s">
        <v>116</v>
      </c>
      <c r="AA15" s="248"/>
      <c r="AB15" s="246"/>
      <c r="AC15" s="246"/>
      <c r="AD15" s="246"/>
      <c r="AE15" s="246"/>
      <c r="AF15" s="246"/>
      <c r="AG15" s="246"/>
      <c r="AH15" s="246"/>
      <c r="AI15" s="247"/>
      <c r="AJ15" s="241" t="str">
        <f t="shared" si="2"/>
        <v/>
      </c>
      <c r="AK15" s="225" t="str">
        <f>IF(AJ15="","",AJ15+AK14+'OS Offset'!I15)</f>
        <v/>
      </c>
      <c r="AL15" s="226">
        <f t="shared" si="3"/>
        <v>0</v>
      </c>
    </row>
    <row r="16" spans="1:38" ht="34.15" customHeight="1" x14ac:dyDescent="0.35">
      <c r="A16" s="252" t="n">
        <v>12.0</v>
      </c>
      <c r="B16" s="267" t="s">
        <v>641</v>
      </c>
      <c r="C16" s="252"/>
      <c r="D16" s="253" t="s">
        <v>116</v>
      </c>
      <c r="E16" s="253" t="s">
        <v>116</v>
      </c>
      <c r="F16" s="253"/>
      <c r="G16" s="266"/>
      <c r="H16" s="254" t="n">
        <v>4.0</v>
      </c>
      <c r="I16" s="255" t="n">
        <v>0.0</v>
      </c>
      <c r="J16" s="255"/>
      <c r="K16" s="255"/>
      <c r="L16" s="255"/>
      <c r="M16" s="255"/>
      <c r="N16" s="255"/>
      <c r="O16" s="255"/>
      <c r="P16" s="234"/>
      <c r="Q16" s="256" t="str">
        <f t="shared" si="0"/>
        <v/>
      </c>
      <c r="R16" s="265" t="str">
        <f>IF(Q16="","",Q16+R15+'OS Offset'!B16)</f>
        <v/>
      </c>
      <c r="S16" s="226">
        <f t="shared" si="1"/>
        <v>0</v>
      </c>
      <c r="T16" s="252" t="n">
        <v>12.0</v>
      </c>
      <c r="U16" s="257" t="s">
        <v>622</v>
      </c>
      <c r="V16" s="248"/>
      <c r="W16" s="246"/>
      <c r="X16" s="246"/>
      <c r="Y16" s="246"/>
      <c r="Z16" s="258"/>
      <c r="AA16" s="250" t="n">
        <v>2.0</v>
      </c>
      <c r="AB16" s="245" t="n">
        <v>0.0</v>
      </c>
      <c r="AC16" s="245"/>
      <c r="AD16" s="245"/>
      <c r="AE16" s="245"/>
      <c r="AF16" s="245"/>
      <c r="AG16" s="245"/>
      <c r="AH16" s="245"/>
      <c r="AI16" s="249"/>
      <c r="AJ16" s="242" t="str">
        <f t="shared" si="2"/>
        <v/>
      </c>
      <c r="AK16" s="225" t="str">
        <f>IF(AJ16="","",AJ16+AK15+'OS Offset'!I16)</f>
        <v/>
      </c>
      <c r="AL16" s="226">
        <f t="shared" si="3"/>
        <v>0</v>
      </c>
    </row>
    <row r="17" spans="1:38" ht="34.15" customHeight="1" x14ac:dyDescent="0.35">
      <c r="A17" s="260" t="n">
        <v>13.0</v>
      </c>
      <c r="B17" s="261" t="s">
        <v>635</v>
      </c>
      <c r="C17" s="260"/>
      <c r="D17" s="262" t="s">
        <v>116</v>
      </c>
      <c r="E17" s="262" t="s">
        <v>116</v>
      </c>
      <c r="F17" s="262"/>
      <c r="G17" s="251"/>
      <c r="H17" s="252" t="n">
        <v>4.0</v>
      </c>
      <c r="I17" s="253" t="n">
        <v>0.0</v>
      </c>
      <c r="J17" s="253"/>
      <c r="K17" s="253"/>
      <c r="L17" s="253"/>
      <c r="M17" s="253"/>
      <c r="N17" s="253"/>
      <c r="O17" s="253"/>
      <c r="P17" s="223"/>
      <c r="Q17" s="224" t="str">
        <f t="shared" si="0"/>
        <v/>
      </c>
      <c r="R17" s="265" t="str">
        <f>IF(Q17="","",Q17+R16+'OS Offset'!B17)</f>
        <v/>
      </c>
      <c r="S17" s="226">
        <f t="shared" si="1"/>
        <v>0</v>
      </c>
      <c r="T17" s="259" t="n">
        <v>13.0</v>
      </c>
      <c r="U17" s="263" t="s">
        <v>620</v>
      </c>
      <c r="V17" s="259"/>
      <c r="W17" s="264"/>
      <c r="X17" s="264"/>
      <c r="Y17" s="264"/>
      <c r="Z17" s="274"/>
      <c r="AA17" s="248" t="n">
        <v>4.0</v>
      </c>
      <c r="AB17" s="246" t="n">
        <v>0.0</v>
      </c>
      <c r="AC17" s="246" t="n">
        <v>0.0</v>
      </c>
      <c r="AD17" s="246"/>
      <c r="AE17" s="246"/>
      <c r="AF17" s="246"/>
      <c r="AG17" s="246"/>
      <c r="AH17" s="246"/>
      <c r="AI17" s="247"/>
      <c r="AJ17" s="241" t="str">
        <f t="shared" si="2"/>
        <v/>
      </c>
      <c r="AK17" s="225" t="str">
        <f>IF(AJ17="","",AJ17+AK16+'OS Offset'!I17)</f>
        <v/>
      </c>
      <c r="AL17" s="226">
        <f t="shared" si="3"/>
        <v>0</v>
      </c>
    </row>
    <row r="18" spans="1:38" ht="34.15" customHeight="1" x14ac:dyDescent="0.35">
      <c r="A18" s="252" t="n">
        <v>14.0</v>
      </c>
      <c r="B18" s="267" t="s">
        <v>641</v>
      </c>
      <c r="C18" s="252"/>
      <c r="D18" s="253"/>
      <c r="E18" s="253"/>
      <c r="F18" s="253"/>
      <c r="G18" s="266"/>
      <c r="H18" s="254" t="n">
        <v>4.0</v>
      </c>
      <c r="I18" s="255" t="n">
        <v>0.0</v>
      </c>
      <c r="J18" s="255" t="n">
        <v>0.0</v>
      </c>
      <c r="K18" s="255"/>
      <c r="L18" s="255"/>
      <c r="M18" s="255"/>
      <c r="N18" s="255"/>
      <c r="O18" s="255"/>
      <c r="P18" s="234"/>
      <c r="Q18" s="256" t="str">
        <f t="shared" si="0"/>
        <v/>
      </c>
      <c r="R18" s="265" t="str">
        <f>IF(Q18="","",Q18+R17+'OS Offset'!B18)</f>
        <v/>
      </c>
      <c r="S18" s="226">
        <f t="shared" si="1"/>
        <v>0</v>
      </c>
      <c r="T18" s="252" t="n">
        <v>14.0</v>
      </c>
      <c r="U18" s="257" t="s">
        <v>631</v>
      </c>
      <c r="V18" s="248"/>
      <c r="W18" s="246" t="s">
        <v>116</v>
      </c>
      <c r="X18" s="246" t="s">
        <v>116</v>
      </c>
      <c r="Y18" s="246"/>
      <c r="Z18" s="258"/>
      <c r="AA18" s="250" t="n">
        <v>4.0</v>
      </c>
      <c r="AB18" s="245" t="n">
        <v>0.0</v>
      </c>
      <c r="AC18" s="245" t="n">
        <v>3.0</v>
      </c>
      <c r="AD18" s="245" t="n">
        <v>0.0</v>
      </c>
      <c r="AE18" s="245"/>
      <c r="AF18" s="245"/>
      <c r="AG18" s="245"/>
      <c r="AH18" s="245"/>
      <c r="AI18" s="249"/>
      <c r="AJ18" s="242" t="str">
        <f t="shared" si="2"/>
        <v/>
      </c>
      <c r="AK18" s="225" t="str">
        <f>IF(AJ18="","",AJ18+AK17+'OS Offset'!I18)</f>
        <v/>
      </c>
      <c r="AL18" s="226">
        <f t="shared" si="3"/>
        <v>0</v>
      </c>
    </row>
    <row r="19" spans="1:38" ht="34.15" customHeight="1" x14ac:dyDescent="0.35">
      <c r="A19" s="260" t="n">
        <v>15.0</v>
      </c>
      <c r="B19" s="261" t="s">
        <v>635</v>
      </c>
      <c r="C19" s="260"/>
      <c r="D19" s="262"/>
      <c r="E19" s="262"/>
      <c r="F19" s="262"/>
      <c r="G19" s="251"/>
      <c r="H19" s="252" t="n">
        <v>4.0</v>
      </c>
      <c r="I19" s="253" t="n">
        <v>4.0</v>
      </c>
      <c r="J19" s="253" t="n">
        <v>4.0</v>
      </c>
      <c r="K19" s="253" t="n">
        <v>4.0</v>
      </c>
      <c r="L19" s="253" t="n">
        <v>0.0</v>
      </c>
      <c r="M19" s="253"/>
      <c r="N19" s="253"/>
      <c r="O19" s="253"/>
      <c r="P19" s="223"/>
      <c r="Q19" s="224" t="str">
        <f t="shared" si="0"/>
        <v/>
      </c>
      <c r="R19" s="265" t="str">
        <f>IF(Q19="","",Q19+R18+'OS Offset'!B19)</f>
        <v/>
      </c>
      <c r="S19" s="226">
        <f t="shared" si="1"/>
        <v>0</v>
      </c>
      <c r="T19" s="259" t="n">
        <v>15.0</v>
      </c>
      <c r="U19" s="263" t="s">
        <v>622</v>
      </c>
      <c r="V19" s="259" t="s">
        <v>116</v>
      </c>
      <c r="W19" s="264" t="s">
        <v>116</v>
      </c>
      <c r="X19" s="264"/>
      <c r="Y19" s="264"/>
      <c r="Z19" s="274"/>
      <c r="AA19" s="248" t="n">
        <v>4.0</v>
      </c>
      <c r="AB19" s="246" t="n">
        <v>0.0</v>
      </c>
      <c r="AC19" s="246"/>
      <c r="AD19" s="246"/>
      <c r="AE19" s="246"/>
      <c r="AF19" s="246"/>
      <c r="AG19" s="246"/>
      <c r="AH19" s="246"/>
      <c r="AI19" s="247"/>
      <c r="AJ19" s="241" t="str">
        <f t="shared" si="2"/>
        <v/>
      </c>
      <c r="AK19" s="225" t="str">
        <f>IF(AJ19="","",AJ19+AK18+'OS Offset'!I19)</f>
        <v/>
      </c>
      <c r="AL19" s="226">
        <f t="shared" si="3"/>
        <v>0</v>
      </c>
    </row>
    <row r="20" spans="1:38" ht="34.15" customHeight="1" x14ac:dyDescent="0.35">
      <c r="A20" s="252" t="n">
        <v>16.0</v>
      </c>
      <c r="B20" s="267" t="s">
        <v>641</v>
      </c>
      <c r="C20" s="252"/>
      <c r="D20" s="253" t="s">
        <v>116</v>
      </c>
      <c r="E20" s="253" t="s">
        <v>116</v>
      </c>
      <c r="F20" s="253"/>
      <c r="G20" s="266"/>
      <c r="H20" s="254" t="n">
        <v>4.0</v>
      </c>
      <c r="I20" s="255" t="n">
        <v>0.0</v>
      </c>
      <c r="J20" s="255"/>
      <c r="K20" s="255"/>
      <c r="L20" s="255"/>
      <c r="M20" s="255"/>
      <c r="N20" s="255"/>
      <c r="O20" s="255"/>
      <c r="P20" s="234"/>
      <c r="Q20" s="256" t="str">
        <f t="shared" si="0"/>
        <v/>
      </c>
      <c r="R20" s="265" t="str">
        <f>IF(Q20="","",Q20+R19+'OS Offset'!B20)</f>
        <v/>
      </c>
      <c r="S20" s="226">
        <f t="shared" si="1"/>
        <v>0</v>
      </c>
      <c r="T20" s="252" t="n">
        <v>16.0</v>
      </c>
      <c r="U20" s="257" t="s">
        <v>622</v>
      </c>
      <c r="V20" s="248"/>
      <c r="W20" s="246"/>
      <c r="X20" s="246"/>
      <c r="Y20" s="246"/>
      <c r="Z20" s="258" t="s">
        <v>116</v>
      </c>
      <c r="AA20" s="250"/>
      <c r="AB20" s="245"/>
      <c r="AC20" s="245"/>
      <c r="AD20" s="245"/>
      <c r="AE20" s="245"/>
      <c r="AF20" s="245"/>
      <c r="AG20" s="245"/>
      <c r="AH20" s="245"/>
      <c r="AI20" s="249"/>
      <c r="AJ20" s="242" t="str">
        <f t="shared" si="2"/>
        <v/>
      </c>
      <c r="AK20" s="225" t="str">
        <f>IF(AJ20="","",AJ20+AK19+'OS Offset'!I20)</f>
        <v/>
      </c>
      <c r="AL20" s="226">
        <f t="shared" si="3"/>
        <v>0</v>
      </c>
    </row>
    <row r="21" spans="1:38" ht="34.15" customHeight="1" x14ac:dyDescent="0.35">
      <c r="A21" s="260" t="n">
        <v>17.0</v>
      </c>
      <c r="B21" s="261" t="s">
        <v>649</v>
      </c>
      <c r="C21" s="260"/>
      <c r="D21" s="262" t="s">
        <v>116</v>
      </c>
      <c r="E21" s="262" t="s">
        <v>116</v>
      </c>
      <c r="F21" s="262"/>
      <c r="G21" s="251"/>
      <c r="H21" s="252" t="n">
        <v>4.0</v>
      </c>
      <c r="I21" s="253" t="n">
        <v>4.0</v>
      </c>
      <c r="J21" s="253" t="n">
        <v>4.0</v>
      </c>
      <c r="K21" s="253" t="n">
        <v>0.0</v>
      </c>
      <c r="L21" s="253"/>
      <c r="M21" s="253"/>
      <c r="N21" s="253"/>
      <c r="O21" s="253"/>
      <c r="P21" s="223"/>
      <c r="Q21" s="224" t="str">
        <f t="shared" si="0"/>
        <v/>
      </c>
      <c r="R21" s="265" t="str">
        <f>IF(Q21="","",Q21+R20+'OS Offset'!B21)</f>
        <v/>
      </c>
      <c r="S21" s="226">
        <f t="shared" si="1"/>
        <v>0</v>
      </c>
      <c r="T21" s="259" t="n">
        <v>17.0</v>
      </c>
      <c r="U21" s="263" t="s">
        <v>620</v>
      </c>
      <c r="V21" s="259"/>
      <c r="W21" s="264"/>
      <c r="X21" s="264"/>
      <c r="Y21" s="264"/>
      <c r="Z21" s="274" t="s">
        <v>116</v>
      </c>
      <c r="AA21" s="248"/>
      <c r="AB21" s="246"/>
      <c r="AC21" s="246"/>
      <c r="AD21" s="246"/>
      <c r="AE21" s="246"/>
      <c r="AF21" s="246"/>
      <c r="AG21" s="246"/>
      <c r="AH21" s="246"/>
      <c r="AI21" s="247"/>
      <c r="AJ21" s="241" t="str">
        <f t="shared" si="2"/>
        <v/>
      </c>
      <c r="AK21" s="225" t="str">
        <f>IF(AJ21="","",AJ21+AK20+'OS Offset'!I21)</f>
        <v/>
      </c>
      <c r="AL21" s="226">
        <f t="shared" si="3"/>
        <v>0</v>
      </c>
    </row>
    <row r="22" spans="1:38" ht="34.15" customHeight="1" x14ac:dyDescent="0.35">
      <c r="A22" s="252" t="n">
        <v>18.0</v>
      </c>
      <c r="B22" s="267" t="s">
        <v>635</v>
      </c>
      <c r="C22" s="252" t="s">
        <v>116</v>
      </c>
      <c r="D22" s="253"/>
      <c r="E22" s="253"/>
      <c r="F22" s="253"/>
      <c r="G22" s="266" t="s">
        <v>116</v>
      </c>
      <c r="H22" s="254"/>
      <c r="I22" s="255"/>
      <c r="J22" s="255"/>
      <c r="K22" s="255"/>
      <c r="L22" s="255"/>
      <c r="M22" s="255"/>
      <c r="N22" s="255"/>
      <c r="O22" s="255"/>
      <c r="P22" s="234"/>
      <c r="Q22" s="256" t="str">
        <f t="shared" si="0"/>
        <v/>
      </c>
      <c r="R22" s="265" t="str">
        <f>IF(Q22="","",Q22+R21+'OS Offset'!B22)</f>
        <v/>
      </c>
      <c r="S22" s="226">
        <f t="shared" si="1"/>
        <v>0</v>
      </c>
      <c r="T22" s="252" t="n">
        <v>18.0</v>
      </c>
      <c r="U22" s="257" t="s">
        <v>620</v>
      </c>
      <c r="V22" s="248" t="s">
        <v>116</v>
      </c>
      <c r="W22" s="246"/>
      <c r="X22" s="246"/>
      <c r="Y22" s="246"/>
      <c r="Z22" s="258"/>
      <c r="AA22" s="250" t="n">
        <v>4.0</v>
      </c>
      <c r="AB22" s="245" t="n">
        <v>2.0</v>
      </c>
      <c r="AC22" s="245" t="n">
        <v>0.0</v>
      </c>
      <c r="AD22" s="245"/>
      <c r="AE22" s="245"/>
      <c r="AF22" s="245"/>
      <c r="AG22" s="245"/>
      <c r="AH22" s="245"/>
      <c r="AI22" s="249"/>
      <c r="AJ22" s="242" t="str">
        <f t="shared" si="2"/>
        <v/>
      </c>
      <c r="AK22" s="225" t="str">
        <f>IF(AJ22="","",AJ22+AK21+'OS Offset'!I22)</f>
        <v/>
      </c>
      <c r="AL22" s="226">
        <f t="shared" si="3"/>
        <v>0</v>
      </c>
    </row>
    <row r="23" spans="1:38" ht="34.15" customHeight="1" x14ac:dyDescent="0.35">
      <c r="A23" s="260" t="n">
        <v>19.0</v>
      </c>
      <c r="B23" s="261" t="s">
        <v>643</v>
      </c>
      <c r="C23" s="260" t="s">
        <v>116</v>
      </c>
      <c r="D23" s="262"/>
      <c r="E23" s="262"/>
      <c r="F23" s="262"/>
      <c r="G23" s="251" t="s">
        <v>116</v>
      </c>
      <c r="H23" s="252"/>
      <c r="I23" s="253"/>
      <c r="J23" s="253"/>
      <c r="K23" s="253"/>
      <c r="L23" s="253"/>
      <c r="M23" s="253"/>
      <c r="N23" s="253"/>
      <c r="O23" s="253"/>
      <c r="P23" s="223"/>
      <c r="Q23" s="224" t="str">
        <f t="shared" si="0"/>
        <v/>
      </c>
      <c r="R23" s="265" t="str">
        <f>IF(Q23="","",Q23+R22+'OS Offset'!B23)</f>
        <v/>
      </c>
      <c r="S23" s="226">
        <f t="shared" si="1"/>
        <v>0</v>
      </c>
      <c r="T23" s="259" t="n">
        <v>19.0</v>
      </c>
      <c r="U23" s="263" t="s">
        <v>631</v>
      </c>
      <c r="V23" s="259" t="s">
        <v>116</v>
      </c>
      <c r="W23" s="264"/>
      <c r="X23" s="264"/>
      <c r="Y23" s="264"/>
      <c r="Z23" s="274"/>
      <c r="AA23" s="248" t="n">
        <v>4.0</v>
      </c>
      <c r="AB23" s="246" t="n">
        <v>0.0</v>
      </c>
      <c r="AC23" s="246"/>
      <c r="AD23" s="246"/>
      <c r="AE23" s="246"/>
      <c r="AF23" s="246"/>
      <c r="AG23" s="246"/>
      <c r="AH23" s="246"/>
      <c r="AI23" s="247"/>
      <c r="AJ23" s="241" t="str">
        <f t="shared" si="2"/>
        <v/>
      </c>
      <c r="AK23" s="225" t="str">
        <f>IF(AJ23="","",AJ23+AK22+'OS Offset'!I23)</f>
        <v/>
      </c>
      <c r="AL23" s="226">
        <f t="shared" si="3"/>
        <v>0</v>
      </c>
    </row>
    <row r="24" spans="1:38" ht="34.15" customHeight="1" x14ac:dyDescent="0.35">
      <c r="A24" s="252" t="s">
        <v>666</v>
      </c>
      <c r="B24" s="267" t="s">
        <v>619</v>
      </c>
      <c r="C24" s="252"/>
      <c r="D24" s="253"/>
      <c r="E24" s="253"/>
      <c r="F24" s="253"/>
      <c r="G24" s="266"/>
      <c r="H24" s="254" t="n">
        <v>4.0</v>
      </c>
      <c r="I24" s="255" t="n">
        <v>0.0</v>
      </c>
      <c r="J24" s="255"/>
      <c r="K24" s="255"/>
      <c r="L24" s="255"/>
      <c r="M24" s="255"/>
      <c r="N24" s="255"/>
      <c r="O24" s="255"/>
      <c r="P24" s="234"/>
      <c r="Q24" s="256" t="str">
        <f t="shared" si="0"/>
        <v/>
      </c>
      <c r="R24" s="265" t="str">
        <f>IF(Q24="","",Q24+R23+'OS Offset'!B24)</f>
        <v/>
      </c>
      <c r="S24" s="226">
        <f t="shared" si="1"/>
        <v>0</v>
      </c>
      <c r="T24" s="252" t="s">
        <v>665</v>
      </c>
      <c r="U24" s="257"/>
      <c r="V24" s="248"/>
      <c r="W24" s="246"/>
      <c r="X24" s="246"/>
      <c r="Y24" s="246"/>
      <c r="Z24" s="258"/>
      <c r="AA24" s="250"/>
      <c r="AB24" s="245"/>
      <c r="AC24" s="245"/>
      <c r="AD24" s="245"/>
      <c r="AE24" s="245"/>
      <c r="AF24" s="245"/>
      <c r="AG24" s="245"/>
      <c r="AH24" s="245"/>
      <c r="AI24" s="249"/>
      <c r="AJ24" s="242" t="str">
        <f t="shared" si="2"/>
        <v/>
      </c>
      <c r="AK24" s="225" t="str">
        <f>IF(AJ24="","",AJ24+AK23+'OS Offset'!I24)</f>
        <v/>
      </c>
      <c r="AL24" s="226">
        <f t="shared" si="3"/>
        <v>0</v>
      </c>
    </row>
    <row r="25" spans="1:38" ht="34.15" customHeight="1" x14ac:dyDescent="0.35">
      <c r="A25" s="260" t="n">
        <v>20.0</v>
      </c>
      <c r="B25" s="261" t="s">
        <v>635</v>
      </c>
      <c r="C25" s="260"/>
      <c r="D25" s="262"/>
      <c r="E25" s="262"/>
      <c r="F25" s="262"/>
      <c r="G25" s="251" t="s">
        <v>116</v>
      </c>
      <c r="H25" s="252"/>
      <c r="I25" s="253"/>
      <c r="J25" s="253"/>
      <c r="K25" s="253"/>
      <c r="L25" s="253"/>
      <c r="M25" s="253"/>
      <c r="N25" s="253"/>
      <c r="O25" s="253"/>
      <c r="P25" s="223"/>
      <c r="Q25" s="224" t="str">
        <f t="shared" si="0"/>
        <v/>
      </c>
      <c r="R25" s="265" t="str">
        <f>IF(Q25="","",Q25+R24+'OS Offset'!B25)</f>
        <v/>
      </c>
      <c r="S25" s="226">
        <f t="shared" si="1"/>
        <v>0</v>
      </c>
      <c r="T25" s="259" t="n">
        <v>20.0</v>
      </c>
      <c r="U25" s="263" t="s">
        <v>622</v>
      </c>
      <c r="V25" s="259"/>
      <c r="W25" s="264" t="s">
        <v>116</v>
      </c>
      <c r="X25" s="264" t="s">
        <v>116</v>
      </c>
      <c r="Y25" s="264"/>
      <c r="Z25" s="274"/>
      <c r="AA25" s="248" t="n">
        <v>4.0</v>
      </c>
      <c r="AB25" s="246" t="n">
        <v>0.0</v>
      </c>
      <c r="AC25" s="246"/>
      <c r="AD25" s="246"/>
      <c r="AE25" s="246"/>
      <c r="AF25" s="246"/>
      <c r="AG25" s="246"/>
      <c r="AH25" s="246"/>
      <c r="AI25" s="247"/>
      <c r="AJ25" s="241" t="str">
        <f t="shared" si="2"/>
        <v/>
      </c>
      <c r="AK25" s="225" t="str">
        <f>IF(AJ25="","",AJ25+AK24+'OS Offset'!I25)</f>
        <v/>
      </c>
      <c r="AL25" s="226">
        <f t="shared" si="3"/>
        <v>0</v>
      </c>
    </row>
    <row r="26" spans="1:38" ht="34.15" customHeight="1" x14ac:dyDescent="0.35">
      <c r="A26" s="252" t="n">
        <v>21.0</v>
      </c>
      <c r="B26" s="267" t="s">
        <v>649</v>
      </c>
      <c r="C26" s="252"/>
      <c r="D26" s="253" t="s">
        <v>116</v>
      </c>
      <c r="E26" s="253" t="s">
        <v>116</v>
      </c>
      <c r="F26" s="253"/>
      <c r="G26" s="266"/>
      <c r="H26" s="254" t="n">
        <v>2.0</v>
      </c>
      <c r="I26" s="255" t="n">
        <v>0.0</v>
      </c>
      <c r="J26" s="255"/>
      <c r="K26" s="255"/>
      <c r="L26" s="255"/>
      <c r="M26" s="255"/>
      <c r="N26" s="255"/>
      <c r="O26" s="255"/>
      <c r="P26" s="234"/>
      <c r="Q26" s="256" t="str">
        <f t="shared" si="0"/>
        <v/>
      </c>
      <c r="R26" s="265" t="str">
        <f>IF(Q26="","",Q26+R25+'OS Offset'!B26)</f>
        <v/>
      </c>
      <c r="S26" s="226">
        <f t="shared" si="1"/>
        <v>0</v>
      </c>
      <c r="T26" s="252" t="n">
        <v>21.0</v>
      </c>
      <c r="U26" s="257" t="s">
        <v>620</v>
      </c>
      <c r="V26" s="248"/>
      <c r="W26" s="246"/>
      <c r="X26" s="246"/>
      <c r="Y26" s="246"/>
      <c r="Z26" s="258" t="s">
        <v>116</v>
      </c>
      <c r="AA26" s="250"/>
      <c r="AB26" s="245"/>
      <c r="AC26" s="245"/>
      <c r="AD26" s="245"/>
      <c r="AE26" s="245"/>
      <c r="AF26" s="245"/>
      <c r="AG26" s="245"/>
      <c r="AH26" s="245"/>
      <c r="AI26" s="249"/>
      <c r="AJ26" s="242" t="str">
        <f t="shared" si="2"/>
        <v/>
      </c>
      <c r="AK26" s="225" t="str">
        <f>IF(AJ26="","",AJ26+AK25+'OS Offset'!I26)</f>
        <v/>
      </c>
      <c r="AL26" s="226">
        <f t="shared" si="3"/>
        <v>0</v>
      </c>
    </row>
    <row r="27" spans="1:38" ht="34.15" customHeight="1" x14ac:dyDescent="0.35">
      <c r="A27" s="260" t="n">
        <v>22.0</v>
      </c>
      <c r="B27" s="261" t="s">
        <v>635</v>
      </c>
      <c r="C27" s="260"/>
      <c r="D27" s="262"/>
      <c r="E27" s="262"/>
      <c r="F27" s="262"/>
      <c r="G27" s="251" t="s">
        <v>116</v>
      </c>
      <c r="H27" s="252"/>
      <c r="I27" s="253"/>
      <c r="J27" s="253"/>
      <c r="K27" s="253"/>
      <c r="L27" s="253"/>
      <c r="M27" s="253"/>
      <c r="N27" s="253"/>
      <c r="O27" s="253"/>
      <c r="P27" s="223"/>
      <c r="Q27" s="224" t="str">
        <f t="shared" si="0"/>
        <v/>
      </c>
      <c r="R27" s="265" t="str">
        <f>IF(Q27="","",Q27+R26+'OS Offset'!B27)</f>
        <v/>
      </c>
      <c r="S27" s="226">
        <f t="shared" si="1"/>
        <v>0</v>
      </c>
      <c r="T27" s="259" t="n">
        <v>22.0</v>
      </c>
      <c r="U27" s="263" t="s">
        <v>631</v>
      </c>
      <c r="V27" s="259"/>
      <c r="W27" s="264" t="s">
        <v>116</v>
      </c>
      <c r="X27" s="264" t="s">
        <v>116</v>
      </c>
      <c r="Y27" s="264"/>
      <c r="Z27" s="274"/>
      <c r="AA27" s="248" t="n">
        <v>2.0</v>
      </c>
      <c r="AB27" s="246" t="n">
        <v>0.0</v>
      </c>
      <c r="AC27" s="246"/>
      <c r="AD27" s="246"/>
      <c r="AE27" s="246"/>
      <c r="AF27" s="246"/>
      <c r="AG27" s="246"/>
      <c r="AH27" s="246"/>
      <c r="AI27" s="247"/>
      <c r="AJ27" s="241" t="str">
        <f t="shared" si="2"/>
        <v/>
      </c>
      <c r="AK27" s="225" t="str">
        <f>IF(AJ27="","",AJ27+AK26+'OS Offset'!I27)</f>
        <v/>
      </c>
      <c r="AL27" s="226">
        <f t="shared" si="3"/>
        <v>0</v>
      </c>
    </row>
    <row r="28" spans="1:38" ht="34.15" customHeight="1" x14ac:dyDescent="0.35">
      <c r="A28" s="252" t="n">
        <v>23.0</v>
      </c>
      <c r="B28" s="267" t="s">
        <v>649</v>
      </c>
      <c r="C28" s="252"/>
      <c r="D28" s="253" t="s">
        <v>116</v>
      </c>
      <c r="E28" s="253" t="s">
        <v>116</v>
      </c>
      <c r="F28" s="253"/>
      <c r="G28" s="266"/>
      <c r="H28" s="254" t="n">
        <v>4.0</v>
      </c>
      <c r="I28" s="255" t="n">
        <v>0.0</v>
      </c>
      <c r="J28" s="255"/>
      <c r="K28" s="255"/>
      <c r="L28" s="255"/>
      <c r="M28" s="255"/>
      <c r="N28" s="255"/>
      <c r="O28" s="255"/>
      <c r="P28" s="234"/>
      <c r="Q28" s="256" t="str">
        <f t="shared" si="0"/>
        <v/>
      </c>
      <c r="R28" s="265" t="str">
        <f>IF(Q28="","",Q28+R27+'OS Offset'!B28)</f>
        <v/>
      </c>
      <c r="S28" s="226">
        <f t="shared" si="1"/>
        <v>0</v>
      </c>
      <c r="T28" s="252" t="n">
        <v>23.0</v>
      </c>
      <c r="U28" s="257" t="s">
        <v>622</v>
      </c>
      <c r="V28" s="248"/>
      <c r="W28" s="246"/>
      <c r="X28" s="246"/>
      <c r="Y28" s="246"/>
      <c r="Z28" s="258" t="s">
        <v>116</v>
      </c>
      <c r="AA28" s="250"/>
      <c r="AB28" s="245"/>
      <c r="AC28" s="245"/>
      <c r="AD28" s="245"/>
      <c r="AE28" s="245"/>
      <c r="AF28" s="245"/>
      <c r="AG28" s="245"/>
      <c r="AH28" s="245"/>
      <c r="AI28" s="249"/>
      <c r="AJ28" s="242" t="str">
        <f t="shared" si="2"/>
        <v/>
      </c>
      <c r="AK28" s="225" t="str">
        <f>IF(AJ28="","",AJ28+AK27+'OS Offset'!I28)</f>
        <v/>
      </c>
      <c r="AL28" s="226">
        <f t="shared" si="3"/>
        <v>0</v>
      </c>
    </row>
    <row r="29" spans="1:38" ht="34.15" customHeight="1" x14ac:dyDescent="0.35">
      <c r="A29" s="260"/>
      <c r="B29" s="261"/>
      <c r="C29" s="260"/>
      <c r="D29" s="262"/>
      <c r="E29" s="262"/>
      <c r="F29" s="262"/>
      <c r="G29" s="251"/>
      <c r="H29" s="252"/>
      <c r="I29" s="253"/>
      <c r="J29" s="253"/>
      <c r="K29" s="253"/>
      <c r="L29" s="253"/>
      <c r="M29" s="253"/>
      <c r="N29" s="253"/>
      <c r="O29" s="253"/>
      <c r="P29" s="223"/>
      <c r="Q29" s="224" t="str">
        <f t="shared" si="0"/>
        <v/>
      </c>
      <c r="R29" s="265" t="str">
        <f>IF(Q29="","",Q29+R28+'OS Offset'!B29)</f>
        <v/>
      </c>
      <c r="S29" s="226">
        <f t="shared" si="1"/>
        <v>0</v>
      </c>
      <c r="T29" s="259"/>
      <c r="U29" s="263"/>
      <c r="V29" s="259"/>
      <c r="W29" s="264"/>
      <c r="X29" s="264"/>
      <c r="Y29" s="264"/>
      <c r="Z29" s="274"/>
      <c r="AA29" s="248"/>
      <c r="AB29" s="246"/>
      <c r="AC29" s="246"/>
      <c r="AD29" s="246"/>
      <c r="AE29" s="246"/>
      <c r="AF29" s="246"/>
      <c r="AG29" s="246"/>
      <c r="AH29" s="246"/>
      <c r="AI29" s="247"/>
      <c r="AJ29" s="241" t="str">
        <f t="shared" si="2"/>
        <v/>
      </c>
      <c r="AK29" s="225" t="str">
        <f>IF(AJ29="","",AJ29+AK28+'OS Offset'!I29)</f>
        <v/>
      </c>
      <c r="AL29" s="226">
        <f t="shared" si="3"/>
        <v>0</v>
      </c>
    </row>
    <row r="30" spans="1:38" ht="34.15" customHeight="1" x14ac:dyDescent="0.35">
      <c r="A30" s="252"/>
      <c r="B30" s="267"/>
      <c r="C30" s="252"/>
      <c r="D30" s="253"/>
      <c r="E30" s="253"/>
      <c r="F30" s="253"/>
      <c r="G30" s="266"/>
      <c r="H30" s="254"/>
      <c r="I30" s="255"/>
      <c r="J30" s="255"/>
      <c r="K30" s="255"/>
      <c r="L30" s="255"/>
      <c r="M30" s="255"/>
      <c r="N30" s="255"/>
      <c r="O30" s="255"/>
      <c r="P30" s="234"/>
      <c r="Q30" s="256" t="str">
        <f t="shared" si="0"/>
        <v/>
      </c>
      <c r="R30" s="265" t="str">
        <f>IF(Q30="","",Q30+R29+'OS Offset'!B30)</f>
        <v/>
      </c>
      <c r="S30" s="226">
        <f t="shared" si="1"/>
        <v>0</v>
      </c>
      <c r="T30" s="252"/>
      <c r="U30" s="257"/>
      <c r="V30" s="248"/>
      <c r="W30" s="246"/>
      <c r="X30" s="246"/>
      <c r="Y30" s="246"/>
      <c r="Z30" s="258"/>
      <c r="AA30" s="250"/>
      <c r="AB30" s="245"/>
      <c r="AC30" s="245"/>
      <c r="AD30" s="245"/>
      <c r="AE30" s="245"/>
      <c r="AF30" s="245"/>
      <c r="AG30" s="245"/>
      <c r="AH30" s="245"/>
      <c r="AI30" s="249"/>
      <c r="AJ30" s="242" t="str">
        <f t="shared" si="2"/>
        <v/>
      </c>
      <c r="AK30" s="225" t="str">
        <f>IF(AJ30="","",AJ30+AK29+'OS Offset'!I30)</f>
        <v/>
      </c>
      <c r="AL30" s="226">
        <f t="shared" si="3"/>
        <v>0</v>
      </c>
    </row>
    <row r="31" spans="1:38" ht="34.15" customHeight="1" x14ac:dyDescent="0.35">
      <c r="A31" s="260"/>
      <c r="B31" s="261"/>
      <c r="C31" s="260"/>
      <c r="D31" s="262"/>
      <c r="E31" s="262"/>
      <c r="F31" s="262"/>
      <c r="G31" s="251"/>
      <c r="H31" s="252"/>
      <c r="I31" s="253"/>
      <c r="J31" s="253"/>
      <c r="K31" s="253"/>
      <c r="L31" s="253"/>
      <c r="M31" s="253"/>
      <c r="N31" s="253"/>
      <c r="O31" s="253"/>
      <c r="P31" s="223"/>
      <c r="Q31" s="224" t="str">
        <f t="shared" si="0"/>
        <v/>
      </c>
      <c r="R31" s="265" t="str">
        <f>IF(Q31="","",Q31+R30+'OS Offset'!B31)</f>
        <v/>
      </c>
      <c r="S31" s="226">
        <f t="shared" si="1"/>
        <v>0</v>
      </c>
      <c r="T31" s="259"/>
      <c r="U31" s="263"/>
      <c r="V31" s="259"/>
      <c r="W31" s="264"/>
      <c r="X31" s="264"/>
      <c r="Y31" s="264"/>
      <c r="Z31" s="274"/>
      <c r="AA31" s="248"/>
      <c r="AB31" s="246"/>
      <c r="AC31" s="246"/>
      <c r="AD31" s="246"/>
      <c r="AE31" s="246"/>
      <c r="AF31" s="246"/>
      <c r="AG31" s="246"/>
      <c r="AH31" s="246"/>
      <c r="AI31" s="247"/>
      <c r="AJ31" s="241" t="str">
        <f t="shared" si="2"/>
        <v/>
      </c>
      <c r="AK31" s="225" t="str">
        <f>IF(AJ31="","",AJ31+AK30+'OS Offset'!I31)</f>
        <v/>
      </c>
      <c r="AL31" s="226">
        <f t="shared" si="3"/>
        <v>0</v>
      </c>
    </row>
    <row r="32" spans="1:38" ht="34.15" customHeight="1" x14ac:dyDescent="0.35">
      <c r="A32" s="252"/>
      <c r="B32" s="267"/>
      <c r="C32" s="252"/>
      <c r="D32" s="253"/>
      <c r="E32" s="253"/>
      <c r="F32" s="253"/>
      <c r="G32" s="266"/>
      <c r="H32" s="254"/>
      <c r="I32" s="255"/>
      <c r="J32" s="255"/>
      <c r="K32" s="255"/>
      <c r="L32" s="255"/>
      <c r="M32" s="255"/>
      <c r="N32" s="255"/>
      <c r="O32" s="255"/>
      <c r="P32" s="234"/>
      <c r="Q32" s="256" t="str">
        <f t="shared" si="0"/>
        <v/>
      </c>
      <c r="R32" s="265" t="str">
        <f>IF(Q32="","",Q32+R31+'OS Offset'!B32)</f>
        <v/>
      </c>
      <c r="S32" s="226">
        <f t="shared" si="1"/>
        <v>0</v>
      </c>
      <c r="T32" s="252"/>
      <c r="U32" s="257"/>
      <c r="V32" s="248"/>
      <c r="W32" s="246"/>
      <c r="X32" s="246"/>
      <c r="Y32" s="246"/>
      <c r="Z32" s="258"/>
      <c r="AA32" s="250"/>
      <c r="AB32" s="245"/>
      <c r="AC32" s="245"/>
      <c r="AD32" s="245"/>
      <c r="AE32" s="245"/>
      <c r="AF32" s="245"/>
      <c r="AG32" s="245"/>
      <c r="AH32" s="245"/>
      <c r="AI32" s="249"/>
      <c r="AJ32" s="242" t="str">
        <f t="shared" si="2"/>
        <v/>
      </c>
      <c r="AK32" s="225" t="str">
        <f>IF(AJ32="","",AJ32+AK31+'OS Offset'!I32)</f>
        <v/>
      </c>
      <c r="AL32" s="226">
        <f t="shared" si="3"/>
        <v>0</v>
      </c>
    </row>
    <row r="33" spans="1:38" ht="34.15" customHeight="1" x14ac:dyDescent="0.35">
      <c r="A33" s="260"/>
      <c r="B33" s="261"/>
      <c r="C33" s="260"/>
      <c r="D33" s="262"/>
      <c r="E33" s="262"/>
      <c r="F33" s="262"/>
      <c r="G33" s="251"/>
      <c r="H33" s="252"/>
      <c r="I33" s="253"/>
      <c r="J33" s="253"/>
      <c r="K33" s="253"/>
      <c r="L33" s="253"/>
      <c r="M33" s="253"/>
      <c r="N33" s="253"/>
      <c r="O33" s="253"/>
      <c r="P33" s="223"/>
      <c r="Q33" s="224" t="str">
        <f t="shared" si="0"/>
        <v/>
      </c>
      <c r="R33" s="265" t="str">
        <f>IF(Q33="","",Q33+R32+'OS Offset'!B33)</f>
        <v/>
      </c>
      <c r="S33" s="226">
        <f t="shared" si="1"/>
        <v>0</v>
      </c>
      <c r="T33" s="259"/>
      <c r="U33" s="263"/>
      <c r="V33" s="259"/>
      <c r="W33" s="264"/>
      <c r="X33" s="264"/>
      <c r="Y33" s="264"/>
      <c r="Z33" s="274"/>
      <c r="AA33" s="248"/>
      <c r="AB33" s="246"/>
      <c r="AC33" s="246"/>
      <c r="AD33" s="246"/>
      <c r="AE33" s="246"/>
      <c r="AF33" s="246"/>
      <c r="AG33" s="246"/>
      <c r="AH33" s="246"/>
      <c r="AI33" s="247"/>
      <c r="AJ33" s="241" t="str">
        <f t="shared" si="2"/>
        <v/>
      </c>
      <c r="AK33" s="225" t="str">
        <f>IF(AJ33="","",AJ33+AK32+'OS Offset'!I33)</f>
        <v/>
      </c>
      <c r="AL33" s="226">
        <f t="shared" si="3"/>
        <v>0</v>
      </c>
    </row>
    <row r="34" spans="1:38" ht="34.15" customHeight="1" x14ac:dyDescent="0.35">
      <c r="A34" s="252"/>
      <c r="B34" s="267"/>
      <c r="C34" s="252"/>
      <c r="D34" s="253"/>
      <c r="E34" s="253"/>
      <c r="F34" s="253"/>
      <c r="G34" s="266"/>
      <c r="H34" s="254"/>
      <c r="I34" s="255"/>
      <c r="J34" s="255"/>
      <c r="K34" s="255"/>
      <c r="L34" s="255"/>
      <c r="M34" s="255"/>
      <c r="N34" s="255"/>
      <c r="O34" s="255"/>
      <c r="P34" s="234"/>
      <c r="Q34" s="256" t="str">
        <f t="shared" si="0"/>
        <v/>
      </c>
      <c r="R34" s="265" t="str">
        <f>IF(Q34="","",Q34+R33+'OS Offset'!B34)</f>
        <v/>
      </c>
      <c r="S34" s="226">
        <f t="shared" si="1"/>
        <v>0</v>
      </c>
      <c r="T34" s="252"/>
      <c r="U34" s="257"/>
      <c r="V34" s="248"/>
      <c r="W34" s="246"/>
      <c r="X34" s="246"/>
      <c r="Y34" s="246"/>
      <c r="Z34" s="258"/>
      <c r="AA34" s="250"/>
      <c r="AB34" s="245"/>
      <c r="AC34" s="245"/>
      <c r="AD34" s="245"/>
      <c r="AE34" s="245"/>
      <c r="AF34" s="245"/>
      <c r="AG34" s="245"/>
      <c r="AH34" s="245"/>
      <c r="AI34" s="249"/>
      <c r="AJ34" s="242" t="str">
        <f t="shared" si="2"/>
        <v/>
      </c>
      <c r="AK34" s="225" t="str">
        <f>IF(AJ34="","",AJ34+AK33+'OS Offset'!I34)</f>
        <v/>
      </c>
      <c r="AL34" s="226">
        <f t="shared" si="3"/>
        <v>0</v>
      </c>
    </row>
    <row r="35" spans="1:38" ht="34.15" customHeight="1" x14ac:dyDescent="0.35">
      <c r="A35" s="260"/>
      <c r="B35" s="261"/>
      <c r="C35" s="260"/>
      <c r="D35" s="262"/>
      <c r="E35" s="262"/>
      <c r="F35" s="262"/>
      <c r="G35" s="251"/>
      <c r="H35" s="252"/>
      <c r="I35" s="253"/>
      <c r="J35" s="253"/>
      <c r="K35" s="253"/>
      <c r="L35" s="253"/>
      <c r="M35" s="253"/>
      <c r="N35" s="253"/>
      <c r="O35" s="253"/>
      <c r="P35" s="223"/>
      <c r="Q35" s="224" t="str">
        <f t="shared" si="0"/>
        <v/>
      </c>
      <c r="R35" s="265" t="str">
        <f>IF(Q35="","",Q35+R34+'OS Offset'!B35)</f>
        <v/>
      </c>
      <c r="S35" s="226">
        <f t="shared" si="1"/>
        <v>0</v>
      </c>
      <c r="T35" s="259"/>
      <c r="U35" s="263"/>
      <c r="V35" s="259"/>
      <c r="W35" s="264"/>
      <c r="X35" s="264"/>
      <c r="Y35" s="264"/>
      <c r="Z35" s="274"/>
      <c r="AA35" s="248"/>
      <c r="AB35" s="246"/>
      <c r="AC35" s="246"/>
      <c r="AD35" s="246"/>
      <c r="AE35" s="246"/>
      <c r="AF35" s="246"/>
      <c r="AG35" s="246"/>
      <c r="AH35" s="246"/>
      <c r="AI35" s="247"/>
      <c r="AJ35" s="241" t="str">
        <f t="shared" si="2"/>
        <v/>
      </c>
      <c r="AK35" s="225" t="str">
        <f>IF(AJ35="","",AJ35+AK34+'OS Offset'!I35)</f>
        <v/>
      </c>
      <c r="AL35" s="226">
        <f t="shared" si="3"/>
        <v>0</v>
      </c>
    </row>
    <row r="36" spans="1:38" ht="34.15" customHeight="1" x14ac:dyDescent="0.35">
      <c r="A36" s="252"/>
      <c r="B36" s="267"/>
      <c r="C36" s="252"/>
      <c r="D36" s="253"/>
      <c r="E36" s="253"/>
      <c r="F36" s="253"/>
      <c r="G36" s="266"/>
      <c r="H36" s="254"/>
      <c r="I36" s="255"/>
      <c r="J36" s="255"/>
      <c r="K36" s="255"/>
      <c r="L36" s="255"/>
      <c r="M36" s="255"/>
      <c r="N36" s="255"/>
      <c r="O36" s="255"/>
      <c r="P36" s="234"/>
      <c r="Q36" s="256" t="str">
        <f t="shared" si="0"/>
        <v/>
      </c>
      <c r="R36" s="265" t="str">
        <f>IF(Q36="","",Q36+R35+'OS Offset'!B36)</f>
        <v/>
      </c>
      <c r="S36" s="226">
        <f t="shared" si="1"/>
        <v>0</v>
      </c>
      <c r="T36" s="252"/>
      <c r="U36" s="257"/>
      <c r="V36" s="248"/>
      <c r="W36" s="246"/>
      <c r="X36" s="246"/>
      <c r="Y36" s="246"/>
      <c r="Z36" s="258"/>
      <c r="AA36" s="250"/>
      <c r="AB36" s="245"/>
      <c r="AC36" s="245"/>
      <c r="AD36" s="245"/>
      <c r="AE36" s="245"/>
      <c r="AF36" s="245"/>
      <c r="AG36" s="245"/>
      <c r="AH36" s="245"/>
      <c r="AI36" s="249"/>
      <c r="AJ36" s="242" t="str">
        <f t="shared" si="2"/>
        <v/>
      </c>
      <c r="AK36" s="225" t="str">
        <f>IF(AJ36="","",AJ36+AK35+'OS Offset'!I36)</f>
        <v/>
      </c>
      <c r="AL36" s="226">
        <f t="shared" si="3"/>
        <v>0</v>
      </c>
    </row>
    <row r="37" spans="1:38" ht="34.15" customHeight="1" x14ac:dyDescent="0.35">
      <c r="A37" s="260"/>
      <c r="B37" s="261"/>
      <c r="C37" s="260"/>
      <c r="D37" s="262"/>
      <c r="E37" s="262"/>
      <c r="F37" s="262"/>
      <c r="G37" s="251"/>
      <c r="H37" s="252"/>
      <c r="I37" s="253"/>
      <c r="J37" s="253"/>
      <c r="K37" s="253"/>
      <c r="L37" s="253"/>
      <c r="M37" s="253"/>
      <c r="N37" s="253"/>
      <c r="O37" s="253"/>
      <c r="P37" s="223"/>
      <c r="Q37" s="224" t="str">
        <f t="shared" si="0"/>
        <v/>
      </c>
      <c r="R37" s="265" t="str">
        <f>IF(Q37="","",Q37+R36+'OS Offset'!B37)</f>
        <v/>
      </c>
      <c r="S37" s="226">
        <f t="shared" si="1"/>
        <v>0</v>
      </c>
      <c r="T37" s="259"/>
      <c r="U37" s="263"/>
      <c r="V37" s="259"/>
      <c r="W37" s="264"/>
      <c r="X37" s="264"/>
      <c r="Y37" s="264"/>
      <c r="Z37" s="274"/>
      <c r="AA37" s="248"/>
      <c r="AB37" s="246"/>
      <c r="AC37" s="246"/>
      <c r="AD37" s="246"/>
      <c r="AE37" s="246"/>
      <c r="AF37" s="246"/>
      <c r="AG37" s="246"/>
      <c r="AH37" s="246"/>
      <c r="AI37" s="247"/>
      <c r="AJ37" s="241" t="str">
        <f t="shared" si="2"/>
        <v/>
      </c>
      <c r="AK37" s="225" t="str">
        <f>IF(AJ37="","",AJ37+AK36+'OS Offset'!I37)</f>
        <v/>
      </c>
      <c r="AL37" s="226">
        <f t="shared" si="3"/>
        <v>0</v>
      </c>
    </row>
    <row r="38" spans="1:38" ht="34.15" customHeight="1" x14ac:dyDescent="0.35">
      <c r="A38" s="252"/>
      <c r="B38" s="267"/>
      <c r="C38" s="252"/>
      <c r="D38" s="253"/>
      <c r="E38" s="253"/>
      <c r="F38" s="253"/>
      <c r="G38" s="266"/>
      <c r="H38" s="254"/>
      <c r="I38" s="255"/>
      <c r="J38" s="255"/>
      <c r="K38" s="255"/>
      <c r="L38" s="255"/>
      <c r="M38" s="255"/>
      <c r="N38" s="255"/>
      <c r="O38" s="255"/>
      <c r="P38" s="234"/>
      <c r="Q38" s="256" t="str">
        <f t="shared" si="0"/>
        <v/>
      </c>
      <c r="R38" s="265" t="str">
        <f>IF(Q38="","",Q38+R37+'OS Offset'!B38)</f>
        <v/>
      </c>
      <c r="S38" s="226">
        <f t="shared" si="1"/>
        <v>0</v>
      </c>
      <c r="T38" s="252"/>
      <c r="U38" s="257"/>
      <c r="V38" s="248"/>
      <c r="W38" s="246"/>
      <c r="X38" s="246"/>
      <c r="Y38" s="246"/>
      <c r="Z38" s="258"/>
      <c r="AA38" s="250"/>
      <c r="AB38" s="245"/>
      <c r="AC38" s="245"/>
      <c r="AD38" s="245"/>
      <c r="AE38" s="245"/>
      <c r="AF38" s="245"/>
      <c r="AG38" s="245"/>
      <c r="AH38" s="245"/>
      <c r="AI38" s="249"/>
      <c r="AJ38" s="242" t="str">
        <f t="shared" si="2"/>
        <v/>
      </c>
      <c r="AK38" s="225" t="str">
        <f>IF(AJ38="","",AJ38+AK37+'OS Offset'!I38)</f>
        <v/>
      </c>
      <c r="AL38" s="226">
        <f t="shared" si="3"/>
        <v>0</v>
      </c>
    </row>
    <row r="39" spans="1:38" ht="34.15" customHeight="1" x14ac:dyDescent="0.35">
      <c r="A39" s="260"/>
      <c r="B39" s="261"/>
      <c r="C39" s="260"/>
      <c r="D39" s="262"/>
      <c r="E39" s="262"/>
      <c r="F39" s="262"/>
      <c r="G39" s="251"/>
      <c r="H39" s="252"/>
      <c r="I39" s="253"/>
      <c r="J39" s="253"/>
      <c r="K39" s="253"/>
      <c r="L39" s="253"/>
      <c r="M39" s="253"/>
      <c r="N39" s="253"/>
      <c r="O39" s="253"/>
      <c r="P39" s="223"/>
      <c r="Q39" s="224" t="str">
        <f t="shared" si="0"/>
        <v/>
      </c>
      <c r="R39" s="265" t="str">
        <f>IF(Q39="","",Q39+R38+'OS Offset'!B39)</f>
        <v/>
      </c>
      <c r="S39" s="226">
        <f t="shared" si="1"/>
        <v>0</v>
      </c>
      <c r="T39" s="259"/>
      <c r="U39" s="263"/>
      <c r="V39" s="259"/>
      <c r="W39" s="264"/>
      <c r="X39" s="264"/>
      <c r="Y39" s="264"/>
      <c r="Z39" s="274"/>
      <c r="AA39" s="248"/>
      <c r="AB39" s="246"/>
      <c r="AC39" s="246"/>
      <c r="AD39" s="246"/>
      <c r="AE39" s="246"/>
      <c r="AF39" s="246"/>
      <c r="AG39" s="246"/>
      <c r="AH39" s="246"/>
      <c r="AI39" s="247"/>
      <c r="AJ39" s="241" t="str">
        <f t="shared" si="2"/>
        <v/>
      </c>
      <c r="AK39" s="225" t="str">
        <f>IF(AJ39="","",AJ39+AK38+'OS Offset'!I39)</f>
        <v/>
      </c>
      <c r="AL39" s="226">
        <f t="shared" si="3"/>
        <v>0</v>
      </c>
    </row>
    <row r="40" spans="1:38" ht="34.15" customHeight="1" x14ac:dyDescent="0.35">
      <c r="A40" s="252"/>
      <c r="B40" s="267"/>
      <c r="C40" s="252"/>
      <c r="D40" s="253"/>
      <c r="E40" s="253"/>
      <c r="F40" s="253"/>
      <c r="G40" s="266"/>
      <c r="H40" s="254"/>
      <c r="I40" s="255"/>
      <c r="J40" s="255"/>
      <c r="K40" s="255"/>
      <c r="L40" s="255"/>
      <c r="M40" s="255"/>
      <c r="N40" s="255"/>
      <c r="O40" s="255"/>
      <c r="P40" s="234"/>
      <c r="Q40" s="256" t="str">
        <f t="shared" si="0"/>
        <v/>
      </c>
      <c r="R40" s="265" t="str">
        <f>IF(Q40="","",Q40+R39+'OS Offset'!B40)</f>
        <v/>
      </c>
      <c r="S40" s="226">
        <f t="shared" si="1"/>
        <v>0</v>
      </c>
      <c r="T40" s="252"/>
      <c r="U40" s="257"/>
      <c r="V40" s="248"/>
      <c r="W40" s="246"/>
      <c r="X40" s="246"/>
      <c r="Y40" s="246"/>
      <c r="Z40" s="258"/>
      <c r="AA40" s="250"/>
      <c r="AB40" s="245"/>
      <c r="AC40" s="245"/>
      <c r="AD40" s="245"/>
      <c r="AE40" s="245"/>
      <c r="AF40" s="245"/>
      <c r="AG40" s="245"/>
      <c r="AH40" s="245"/>
      <c r="AI40" s="249"/>
      <c r="AJ40" s="242" t="str">
        <f t="shared" si="2"/>
        <v/>
      </c>
      <c r="AK40" s="225" t="str">
        <f>IF(AJ40="","",AJ40+AK39+'OS Offset'!I40)</f>
        <v/>
      </c>
      <c r="AL40" s="226">
        <f t="shared" si="3"/>
        <v>0</v>
      </c>
    </row>
    <row r="41" spans="1:38" ht="34.15" customHeight="1" thickBot="1" x14ac:dyDescent="0.4">
      <c r="A41" s="286"/>
      <c r="B41" s="348"/>
      <c r="C41" s="286"/>
      <c r="D41" s="290"/>
      <c r="E41" s="290"/>
      <c r="F41" s="290"/>
      <c r="G41" s="291"/>
      <c r="H41" s="287"/>
      <c r="I41" s="285"/>
      <c r="J41" s="285"/>
      <c r="K41" s="285"/>
      <c r="L41" s="285"/>
      <c r="M41" s="285"/>
      <c r="N41" s="285"/>
      <c r="O41" s="285"/>
      <c r="P41" s="294"/>
      <c r="Q41" s="241" t="str">
        <f t="shared" si="0"/>
        <v/>
      </c>
      <c r="R41" s="292" t="str">
        <f>IF(Q41="","",Q41+R40+'OS Offset'!B41)</f>
        <v/>
      </c>
      <c r="S41" s="226">
        <f t="shared" si="1"/>
        <v>0</v>
      </c>
      <c r="T41" s="259"/>
      <c r="U41" s="263"/>
      <c r="V41" s="259"/>
      <c r="W41" s="264"/>
      <c r="X41" s="264"/>
      <c r="Y41" s="264"/>
      <c r="Z41" s="274"/>
      <c r="AA41" s="248"/>
      <c r="AB41" s="246"/>
      <c r="AC41" s="246"/>
      <c r="AD41" s="246"/>
      <c r="AE41" s="246"/>
      <c r="AF41" s="246"/>
      <c r="AG41" s="246"/>
      <c r="AH41" s="246"/>
      <c r="AI41" s="247"/>
      <c r="AJ41" s="241" t="str">
        <f t="shared" si="2"/>
        <v/>
      </c>
      <c r="AK41" s="292" t="str">
        <f>IF(AJ41="","",AJ41+AK40+'OS Offset'!I41)</f>
        <v/>
      </c>
      <c r="AL41" s="226">
        <f t="shared" si="3"/>
        <v>0</v>
      </c>
    </row>
    <row r="42" spans="1:38" s="6" customFormat="1" ht="31.9" customHeight="1" thickBot="1" x14ac:dyDescent="0.25">
      <c r="A42" s="362" t="str">
        <f>IF(COUNT(A4:A41),COUNT(A4:A41),"")</f>
        <v/>
      </c>
      <c r="B42" s="363" t="s">
        <v>110</v>
      </c>
      <c r="C42" s="350" t="str">
        <f>IF($A$42="","",COUNTIF(C$4:C$41, "X"))</f>
        <v/>
      </c>
      <c r="D42" s="345" t="str">
        <f>IF($A$42="","",COUNTIF(D$4:D$41, "X"))</f>
        <v/>
      </c>
      <c r="E42" s="345" t="str">
        <f>IF($A$42="","",COUNTIF(E$4:E$41, "X"))</f>
        <v/>
      </c>
      <c r="F42" s="345" t="str">
        <f>IF($A$42="","",COUNTIF(F$4:F$41, "X"))</f>
        <v/>
      </c>
      <c r="G42" s="345" t="str">
        <f>IF($A$42="","",COUNTIF(G$4:G$41, "X"))</f>
        <v/>
      </c>
      <c r="H42" s="351" t="str">
        <f t="shared" ref="H42:Q42" si="4">IF(COUNT(H4:H41),SUM(H4:H41),"")</f>
        <v/>
      </c>
      <c r="I42" s="352" t="str">
        <f t="shared" si="4"/>
        <v/>
      </c>
      <c r="J42" s="352" t="str">
        <f t="shared" si="4"/>
        <v/>
      </c>
      <c r="K42" s="352" t="str">
        <f t="shared" si="4"/>
        <v/>
      </c>
      <c r="L42" s="352" t="str">
        <f t="shared" si="4"/>
        <v/>
      </c>
      <c r="M42" s="352" t="str">
        <f t="shared" si="4"/>
        <v/>
      </c>
      <c r="N42" s="352" t="str">
        <f t="shared" si="4"/>
        <v/>
      </c>
      <c r="O42" s="352" t="str">
        <f t="shared" si="4"/>
        <v/>
      </c>
      <c r="P42" s="353" t="str">
        <f t="shared" si="4"/>
        <v/>
      </c>
      <c r="Q42" s="354" t="str">
        <f t="shared" si="4"/>
        <v/>
      </c>
      <c r="R42" s="355" t="str">
        <f>IF(A42="","",MAX(R4:R41))</f>
        <v/>
      </c>
      <c r="S42" s="347"/>
      <c r="T42" s="361" t="str">
        <f>IF(COUNT(T4:T41),COUNT(T4:T41),"")</f>
        <v/>
      </c>
      <c r="U42" s="363" t="s">
        <v>110</v>
      </c>
      <c r="V42" s="357" t="str">
        <f>IF($T$42="","",COUNTIF(V$4:V$41, "X"))</f>
        <v/>
      </c>
      <c r="W42" s="345" t="str">
        <f>IF($T$42="","",COUNTIF(W$4:W$41, "X"))</f>
        <v/>
      </c>
      <c r="X42" s="345" t="str">
        <f>IF($T$42="","",COUNTIF(X$4:X$41, "X"))</f>
        <v/>
      </c>
      <c r="Y42" s="345" t="str">
        <f>IF($T$42="","",COUNTIF(Y$4:Y$41, "X"))</f>
        <v/>
      </c>
      <c r="Z42" s="345" t="str">
        <f>IF($T$42="","",COUNTIF(Z$4:Z$41, "X"))</f>
        <v/>
      </c>
      <c r="AA42" s="358" t="str">
        <f t="shared" ref="AA42:AJ42" si="5">IF(COUNT(AA4:AA41),SUM(AA4:AA41),"")</f>
        <v/>
      </c>
      <c r="AB42" s="352" t="str">
        <f t="shared" si="5"/>
        <v/>
      </c>
      <c r="AC42" s="352" t="str">
        <f t="shared" si="5"/>
        <v/>
      </c>
      <c r="AD42" s="352" t="str">
        <f t="shared" si="5"/>
        <v/>
      </c>
      <c r="AE42" s="352" t="str">
        <f t="shared" si="5"/>
        <v/>
      </c>
      <c r="AF42" s="352" t="str">
        <f t="shared" si="5"/>
        <v/>
      </c>
      <c r="AG42" s="352" t="str">
        <f t="shared" si="5"/>
        <v/>
      </c>
      <c r="AH42" s="352" t="str">
        <f t="shared" si="5"/>
        <v/>
      </c>
      <c r="AI42" s="359" t="str">
        <f t="shared" si="5"/>
        <v/>
      </c>
      <c r="AJ42" s="360" t="str">
        <f t="shared" si="5"/>
        <v/>
      </c>
      <c r="AK42" s="361" t="str">
        <f>IF(T42="","",MAX(AK4:AK41))</f>
        <v/>
      </c>
      <c r="AL42" s="283"/>
    </row>
    <row r="43" spans="1:38" ht="30" customHeight="1" x14ac:dyDescent="0.35">
      <c r="A43" s="1131" t="str">
        <f>A1</f>
        <v>Home Team</v>
      </c>
      <c r="B43" s="1131"/>
      <c r="C43" s="1131"/>
      <c r="D43" s="1131"/>
      <c r="E43" s="1131"/>
      <c r="F43" s="1131"/>
      <c r="G43" s="1131"/>
      <c r="H43" s="1131"/>
      <c r="I43" s="1133" t="str">
        <f>IF(ISBLANK(I1), "", I1)</f>
        <v/>
      </c>
      <c r="J43" s="1133"/>
      <c r="K43" s="181" t="str">
        <f>IF(ISBLANK(IGRF!$B$7), "", IGRF!$B$7)</f>
        <v/>
      </c>
      <c r="L43" s="1129"/>
      <c r="M43" s="1129"/>
      <c r="N43" s="1129"/>
      <c r="O43" s="1130"/>
      <c r="P43" s="1130"/>
      <c r="Q43" s="1130"/>
      <c r="R43" s="1">
        <v>2</v>
      </c>
      <c r="S43" s="2"/>
      <c r="T43" s="1131" t="str">
        <f>T1</f>
        <v>Away Team</v>
      </c>
      <c r="U43" s="1131"/>
      <c r="V43" s="1131"/>
      <c r="W43" s="1131"/>
      <c r="X43" s="1131"/>
      <c r="Y43" s="1131"/>
      <c r="Z43" s="1131"/>
      <c r="AA43" s="1131"/>
      <c r="AB43" s="1133" t="str">
        <f>IF(ISBLANK(AB1), "", AB1)</f>
        <v/>
      </c>
      <c r="AC43" s="1133"/>
      <c r="AD43" s="181" t="str">
        <f>IF(ISBLANK(IGRF!$B$7), "", IGRF!$B$7)</f>
        <v/>
      </c>
      <c r="AE43" s="1129"/>
      <c r="AF43" s="1129"/>
      <c r="AG43" s="1129"/>
      <c r="AH43" s="1130"/>
      <c r="AI43" s="1130"/>
      <c r="AJ43" s="1130"/>
      <c r="AK43" s="1">
        <v>2</v>
      </c>
    </row>
    <row r="44" spans="1:38" ht="15" customHeight="1" thickBot="1" x14ac:dyDescent="0.25">
      <c r="A44" s="1132"/>
      <c r="B44" s="1132"/>
      <c r="C44" s="1132"/>
      <c r="D44" s="1132"/>
      <c r="E44" s="1132"/>
      <c r="F44" s="1132"/>
      <c r="G44" s="1132"/>
      <c r="H44" s="1132"/>
      <c r="I44" s="1134" t="s">
        <v>187</v>
      </c>
      <c r="J44" s="1134"/>
      <c r="K44" s="604" t="s">
        <v>190</v>
      </c>
      <c r="L44" s="1127" t="s">
        <v>180</v>
      </c>
      <c r="M44" s="1127"/>
      <c r="N44" s="1127"/>
      <c r="O44" s="1128" t="s">
        <v>189</v>
      </c>
      <c r="P44" s="1128"/>
      <c r="Q44" s="1128"/>
      <c r="R44" s="4" t="str">
        <f>R2</f>
        <v/>
      </c>
      <c r="S44" s="2"/>
      <c r="T44" s="1132"/>
      <c r="U44" s="1132"/>
      <c r="V44" s="1132"/>
      <c r="W44" s="1132"/>
      <c r="X44" s="1132"/>
      <c r="Y44" s="1132"/>
      <c r="Z44" s="1132"/>
      <c r="AA44" s="1132"/>
      <c r="AB44" s="1134" t="s">
        <v>187</v>
      </c>
      <c r="AC44" s="1134"/>
      <c r="AD44" s="604" t="s">
        <v>190</v>
      </c>
      <c r="AE44" s="1127" t="s">
        <v>180</v>
      </c>
      <c r="AF44" s="1127"/>
      <c r="AG44" s="1127"/>
      <c r="AH44" s="1128" t="s">
        <v>189</v>
      </c>
      <c r="AI44" s="1128"/>
      <c r="AJ44" s="1128"/>
      <c r="AK44" s="4" t="str">
        <f>AK2</f>
        <v/>
      </c>
    </row>
    <row r="45" spans="1:38" ht="34.5" customHeight="1" thickBot="1" x14ac:dyDescent="0.4">
      <c r="A45" s="586" t="s">
        <v>156</v>
      </c>
      <c r="B45" s="207" t="s">
        <v>157</v>
      </c>
      <c r="C45" s="208" t="s">
        <v>158</v>
      </c>
      <c r="D45" s="209" t="s">
        <v>159</v>
      </c>
      <c r="E45" s="209" t="s">
        <v>160</v>
      </c>
      <c r="F45" s="209" t="s">
        <v>161</v>
      </c>
      <c r="G45" s="210" t="s">
        <v>402</v>
      </c>
      <c r="H45" s="211" t="s">
        <v>379</v>
      </c>
      <c r="I45" s="212" t="s">
        <v>380</v>
      </c>
      <c r="J45" s="212" t="s">
        <v>381</v>
      </c>
      <c r="K45" s="212" t="s">
        <v>382</v>
      </c>
      <c r="L45" s="212" t="s">
        <v>383</v>
      </c>
      <c r="M45" s="212" t="s">
        <v>384</v>
      </c>
      <c r="N45" s="212" t="s">
        <v>385</v>
      </c>
      <c r="O45" s="212" t="s">
        <v>386</v>
      </c>
      <c r="P45" s="212" t="s">
        <v>387</v>
      </c>
      <c r="Q45" s="213" t="s">
        <v>108</v>
      </c>
      <c r="R45" s="8" t="str">
        <f>R42</f>
        <v/>
      </c>
      <c r="S45" s="5" t="s">
        <v>388</v>
      </c>
      <c r="T45" s="586" t="s">
        <v>156</v>
      </c>
      <c r="U45" s="207" t="s">
        <v>157</v>
      </c>
      <c r="V45" s="208" t="s">
        <v>158</v>
      </c>
      <c r="W45" s="209" t="s">
        <v>159</v>
      </c>
      <c r="X45" s="209" t="s">
        <v>160</v>
      </c>
      <c r="Y45" s="209" t="s">
        <v>161</v>
      </c>
      <c r="Z45" s="210" t="s">
        <v>402</v>
      </c>
      <c r="AA45" s="211" t="s">
        <v>379</v>
      </c>
      <c r="AB45" s="212" t="s">
        <v>380</v>
      </c>
      <c r="AC45" s="212" t="s">
        <v>381</v>
      </c>
      <c r="AD45" s="212" t="s">
        <v>382</v>
      </c>
      <c r="AE45" s="212" t="s">
        <v>383</v>
      </c>
      <c r="AF45" s="212" t="s">
        <v>384</v>
      </c>
      <c r="AG45" s="212" t="s">
        <v>385</v>
      </c>
      <c r="AH45" s="212" t="s">
        <v>386</v>
      </c>
      <c r="AI45" s="212" t="s">
        <v>387</v>
      </c>
      <c r="AJ45" s="213" t="s">
        <v>108</v>
      </c>
      <c r="AK45" s="9" t="str">
        <f>AK42</f>
        <v/>
      </c>
      <c r="AL45" s="10" t="s">
        <v>388</v>
      </c>
    </row>
    <row r="46" spans="1:38" ht="34.15" customHeight="1" x14ac:dyDescent="0.35">
      <c r="A46" s="252" t="n">
        <v>1.0</v>
      </c>
      <c r="B46" s="277" t="s">
        <v>635</v>
      </c>
      <c r="C46" s="244" t="s">
        <v>116</v>
      </c>
      <c r="D46" s="278"/>
      <c r="E46" s="278"/>
      <c r="F46" s="278"/>
      <c r="G46" s="281"/>
      <c r="H46" s="282" t="n">
        <v>4.0</v>
      </c>
      <c r="I46" s="279" t="n">
        <v>3.0</v>
      </c>
      <c r="J46" s="279" t="n">
        <v>0.0</v>
      </c>
      <c r="K46" s="279"/>
      <c r="L46" s="279"/>
      <c r="M46" s="279"/>
      <c r="N46" s="279"/>
      <c r="O46" s="279"/>
      <c r="P46" s="280"/>
      <c r="Q46" s="236" t="str">
        <f t="shared" ref="Q46:Q83" si="6">IF(ISBLANK(A46),"",IF(ISBLANK(G46),SUM(H46:P46),0))</f>
        <v/>
      </c>
      <c r="R46" s="225" t="str">
        <f>IF(Q46="","",Q46+R45+'OS Offset'!B46)</f>
        <v/>
      </c>
      <c r="S46" s="226">
        <f t="shared" ref="S46:S83" si="7">IF(G46="X",0,COUNT(H46:P46))</f>
        <v>0</v>
      </c>
      <c r="T46" s="587" t="n">
        <v>1.0</v>
      </c>
      <c r="U46" s="277" t="s">
        <v>620</v>
      </c>
      <c r="V46" s="244" t="s">
        <v>116</v>
      </c>
      <c r="W46" s="278" t="s">
        <v>116</v>
      </c>
      <c r="X46" s="278"/>
      <c r="Y46" s="278"/>
      <c r="Z46" s="281"/>
      <c r="AA46" s="282" t="n">
        <v>4.0</v>
      </c>
      <c r="AB46" s="279" t="n">
        <v>4.0</v>
      </c>
      <c r="AC46" s="279" t="n">
        <v>4.0</v>
      </c>
      <c r="AD46" s="279" t="n">
        <v>0.0</v>
      </c>
      <c r="AE46" s="279"/>
      <c r="AF46" s="279"/>
      <c r="AG46" s="279"/>
      <c r="AH46" s="279"/>
      <c r="AI46" s="280"/>
      <c r="AJ46" s="236" t="str">
        <f t="shared" ref="AJ46:AJ83" si="8">IF(ISBLANK(T46),"",IF(ISBLANK(Z46),SUM(AA46:AI46),0))</f>
        <v/>
      </c>
      <c r="AK46" s="284" t="str">
        <f>IF(AJ46="","",AJ46+AK45+'OS Offset'!I46)</f>
        <v/>
      </c>
      <c r="AL46" s="226">
        <f t="shared" ref="AL46:AL83" si="9">IF(Z46="X",0,COUNT(AA46:AI46))</f>
        <v>0</v>
      </c>
    </row>
    <row r="47" spans="1:38" ht="34.15" customHeight="1" x14ac:dyDescent="0.35">
      <c r="A47" s="229" t="n">
        <v>2.0</v>
      </c>
      <c r="B47" s="228" t="s">
        <v>649</v>
      </c>
      <c r="C47" s="229"/>
      <c r="D47" s="230"/>
      <c r="E47" s="230"/>
      <c r="F47" s="230"/>
      <c r="G47" s="231" t="s">
        <v>116</v>
      </c>
      <c r="H47" s="232"/>
      <c r="I47" s="222"/>
      <c r="J47" s="222"/>
      <c r="K47" s="222"/>
      <c r="L47" s="222"/>
      <c r="M47" s="222"/>
      <c r="N47" s="222"/>
      <c r="O47" s="222"/>
      <c r="P47" s="223"/>
      <c r="Q47" s="224" t="str">
        <f t="shared" si="6"/>
        <v/>
      </c>
      <c r="R47" s="225" t="str">
        <f>IF(Q47="","",Q47+R46+'OS Offset'!B47)</f>
        <v/>
      </c>
      <c r="S47" s="226">
        <f t="shared" si="7"/>
        <v>0</v>
      </c>
      <c r="T47" s="227" t="n">
        <v>2.0</v>
      </c>
      <c r="U47" s="228" t="s">
        <v>631</v>
      </c>
      <c r="V47" s="229"/>
      <c r="W47" s="230" t="s">
        <v>116</v>
      </c>
      <c r="X47" s="230" t="s">
        <v>116</v>
      </c>
      <c r="Y47" s="230"/>
      <c r="Z47" s="231"/>
      <c r="AA47" s="232" t="n">
        <v>4.0</v>
      </c>
      <c r="AB47" s="222" t="n">
        <v>0.0</v>
      </c>
      <c r="AC47" s="222"/>
      <c r="AD47" s="222"/>
      <c r="AE47" s="222"/>
      <c r="AF47" s="222"/>
      <c r="AG47" s="222"/>
      <c r="AH47" s="222"/>
      <c r="AI47" s="223"/>
      <c r="AJ47" s="224" t="str">
        <f t="shared" si="8"/>
        <v/>
      </c>
      <c r="AK47" s="225" t="str">
        <f>IF(AJ47="","",AJ47+AK46+'OS Offset'!I47)</f>
        <v/>
      </c>
      <c r="AL47" s="226">
        <f t="shared" si="9"/>
        <v>0</v>
      </c>
    </row>
    <row r="48" spans="1:38" ht="34.15" customHeight="1" x14ac:dyDescent="0.35">
      <c r="A48" s="243" t="n">
        <v>3.0</v>
      </c>
      <c r="B48" s="240" t="s">
        <v>635</v>
      </c>
      <c r="C48" s="232"/>
      <c r="D48" s="222"/>
      <c r="E48" s="222"/>
      <c r="F48" s="222"/>
      <c r="G48" s="237" t="s">
        <v>116</v>
      </c>
      <c r="H48" s="238"/>
      <c r="I48" s="233"/>
      <c r="J48" s="233"/>
      <c r="K48" s="233"/>
      <c r="L48" s="233"/>
      <c r="M48" s="233"/>
      <c r="N48" s="233"/>
      <c r="O48" s="233"/>
      <c r="P48" s="234"/>
      <c r="Q48" s="242" t="str">
        <f t="shared" si="6"/>
        <v/>
      </c>
      <c r="R48" s="225" t="str">
        <f>IF(Q48="","",Q48+R47+'OS Offset'!B48)</f>
        <v/>
      </c>
      <c r="S48" s="226">
        <f t="shared" si="7"/>
        <v>0</v>
      </c>
      <c r="T48" s="239" t="n">
        <v>3.0</v>
      </c>
      <c r="U48" s="240" t="s">
        <v>622</v>
      </c>
      <c r="V48" s="232"/>
      <c r="W48" s="222"/>
      <c r="X48" s="222"/>
      <c r="Y48" s="222"/>
      <c r="Z48" s="237" t="s">
        <v>116</v>
      </c>
      <c r="AA48" s="238"/>
      <c r="AB48" s="233"/>
      <c r="AC48" s="233"/>
      <c r="AD48" s="233"/>
      <c r="AE48" s="233"/>
      <c r="AF48" s="233"/>
      <c r="AG48" s="233"/>
      <c r="AH48" s="233"/>
      <c r="AI48" s="234"/>
      <c r="AJ48" s="235" t="str">
        <f t="shared" si="8"/>
        <v/>
      </c>
      <c r="AK48" s="225" t="str">
        <f>IF(AJ48="","",AJ48+AK47+'OS Offset'!I48)</f>
        <v/>
      </c>
      <c r="AL48" s="226">
        <f t="shared" si="9"/>
        <v>0</v>
      </c>
    </row>
    <row r="49" spans="1:38" ht="34.15" customHeight="1" x14ac:dyDescent="0.35">
      <c r="A49" s="229" t="n">
        <v>4.0</v>
      </c>
      <c r="B49" s="228" t="s">
        <v>635</v>
      </c>
      <c r="C49" s="229"/>
      <c r="D49" s="230"/>
      <c r="E49" s="230"/>
      <c r="F49" s="230"/>
      <c r="G49" s="231"/>
      <c r="H49" s="232" t="n">
        <v>4.0</v>
      </c>
      <c r="I49" s="222" t="n">
        <v>0.0</v>
      </c>
      <c r="J49" s="222"/>
      <c r="K49" s="222"/>
      <c r="L49" s="222"/>
      <c r="M49" s="222"/>
      <c r="N49" s="222"/>
      <c r="O49" s="222"/>
      <c r="P49" s="223"/>
      <c r="Q49" s="241" t="str">
        <f t="shared" si="6"/>
        <v/>
      </c>
      <c r="R49" s="225" t="str">
        <f>IF(Q49="","",Q49+R48+'OS Offset'!B49)</f>
        <v/>
      </c>
      <c r="S49" s="226">
        <f t="shared" si="7"/>
        <v>0</v>
      </c>
      <c r="T49" s="227" t="n">
        <v>4.0</v>
      </c>
      <c r="U49" s="228" t="s">
        <v>622</v>
      </c>
      <c r="V49" s="229" t="s">
        <v>116</v>
      </c>
      <c r="W49" s="230" t="s">
        <v>116</v>
      </c>
      <c r="X49" s="230"/>
      <c r="Y49" s="230"/>
      <c r="Z49" s="231"/>
      <c r="AA49" s="232" t="n">
        <v>4.0</v>
      </c>
      <c r="AB49" s="222" t="n">
        <v>4.0</v>
      </c>
      <c r="AC49" s="222" t="n">
        <v>4.0</v>
      </c>
      <c r="AD49" s="222" t="n">
        <v>0.0</v>
      </c>
      <c r="AE49" s="222"/>
      <c r="AF49" s="222"/>
      <c r="AG49" s="222"/>
      <c r="AH49" s="222"/>
      <c r="AI49" s="223"/>
      <c r="AJ49" s="224" t="str">
        <f t="shared" si="8"/>
        <v/>
      </c>
      <c r="AK49" s="225" t="str">
        <f>IF(AJ49="","",AJ49+AK48+'OS Offset'!I49)</f>
        <v/>
      </c>
      <c r="AL49" s="226">
        <f t="shared" si="9"/>
        <v>0</v>
      </c>
    </row>
    <row r="50" spans="1:38" ht="34.15" customHeight="1" x14ac:dyDescent="0.35">
      <c r="A50" s="243" t="n">
        <v>5.0</v>
      </c>
      <c r="B50" s="240" t="s">
        <v>641</v>
      </c>
      <c r="C50" s="232"/>
      <c r="D50" s="222"/>
      <c r="E50" s="222"/>
      <c r="F50" s="222"/>
      <c r="G50" s="237" t="s">
        <v>116</v>
      </c>
      <c r="H50" s="238"/>
      <c r="I50" s="233"/>
      <c r="J50" s="233"/>
      <c r="K50" s="233"/>
      <c r="L50" s="233"/>
      <c r="M50" s="233"/>
      <c r="N50" s="233"/>
      <c r="O50" s="233"/>
      <c r="P50" s="234"/>
      <c r="Q50" s="242" t="str">
        <f t="shared" si="6"/>
        <v/>
      </c>
      <c r="R50" s="225" t="str">
        <f>IF(Q50="","",Q50+R49+'OS Offset'!B50)</f>
        <v/>
      </c>
      <c r="S50" s="226">
        <f t="shared" si="7"/>
        <v>0</v>
      </c>
      <c r="T50" s="239" t="n">
        <v>5.0</v>
      </c>
      <c r="U50" s="240" t="s">
        <v>620</v>
      </c>
      <c r="V50" s="232" t="s">
        <v>116</v>
      </c>
      <c r="W50" s="222" t="s">
        <v>116</v>
      </c>
      <c r="X50" s="222"/>
      <c r="Y50" s="222"/>
      <c r="Z50" s="237"/>
      <c r="AA50" s="238" t="n">
        <v>4.0</v>
      </c>
      <c r="AB50" s="233" t="n">
        <v>4.0</v>
      </c>
      <c r="AC50" s="233" t="n">
        <v>0.0</v>
      </c>
      <c r="AD50" s="233"/>
      <c r="AE50" s="233"/>
      <c r="AF50" s="233"/>
      <c r="AG50" s="233"/>
      <c r="AH50" s="233"/>
      <c r="AI50" s="234"/>
      <c r="AJ50" s="235" t="str">
        <f t="shared" si="8"/>
        <v/>
      </c>
      <c r="AK50" s="225" t="str">
        <f>IF(AJ50="","",AJ50+AK49+'OS Offset'!I50)</f>
        <v/>
      </c>
      <c r="AL50" s="226">
        <f t="shared" si="9"/>
        <v>0</v>
      </c>
    </row>
    <row r="51" spans="1:38" ht="34.15" customHeight="1" x14ac:dyDescent="0.35">
      <c r="A51" s="229" t="n">
        <v>6.0</v>
      </c>
      <c r="B51" s="228" t="s">
        <v>649</v>
      </c>
      <c r="C51" s="229"/>
      <c r="D51" s="230" t="s">
        <v>116</v>
      </c>
      <c r="E51" s="230" t="s">
        <v>116</v>
      </c>
      <c r="F51" s="230"/>
      <c r="G51" s="231"/>
      <c r="H51" s="232" t="n">
        <v>4.0</v>
      </c>
      <c r="I51" s="222" t="n">
        <v>4.0</v>
      </c>
      <c r="J51" s="222" t="n">
        <v>0.0</v>
      </c>
      <c r="K51" s="222"/>
      <c r="L51" s="222"/>
      <c r="M51" s="222"/>
      <c r="N51" s="222"/>
      <c r="O51" s="222"/>
      <c r="P51" s="223"/>
      <c r="Q51" s="241" t="str">
        <f t="shared" si="6"/>
        <v/>
      </c>
      <c r="R51" s="225" t="str">
        <f>IF(Q51="","",Q51+R50+'OS Offset'!B51)</f>
        <v/>
      </c>
      <c r="S51" s="226">
        <f t="shared" si="7"/>
        <v>0</v>
      </c>
      <c r="T51" s="227" t="n">
        <v>6.0</v>
      </c>
      <c r="U51" s="228" t="s">
        <v>631</v>
      </c>
      <c r="V51" s="229"/>
      <c r="W51" s="230"/>
      <c r="X51" s="230"/>
      <c r="Y51" s="230"/>
      <c r="Z51" s="231"/>
      <c r="AA51" s="232" t="n">
        <v>4.0</v>
      </c>
      <c r="AB51" s="222" t="n">
        <v>0.0</v>
      </c>
      <c r="AC51" s="222"/>
      <c r="AD51" s="222"/>
      <c r="AE51" s="222"/>
      <c r="AF51" s="222"/>
      <c r="AG51" s="222"/>
      <c r="AH51" s="222"/>
      <c r="AI51" s="223"/>
      <c r="AJ51" s="224" t="str">
        <f t="shared" si="8"/>
        <v/>
      </c>
      <c r="AK51" s="225" t="str">
        <f>IF(AJ51="","",AJ51+AK50+'OS Offset'!I51)</f>
        <v/>
      </c>
      <c r="AL51" s="226">
        <f t="shared" si="9"/>
        <v>0</v>
      </c>
    </row>
    <row r="52" spans="1:38" ht="34.15" customHeight="1" x14ac:dyDescent="0.35">
      <c r="A52" s="243" t="n">
        <v>7.0</v>
      </c>
      <c r="B52" s="240" t="s">
        <v>641</v>
      </c>
      <c r="C52" s="232"/>
      <c r="D52" s="222" t="s">
        <v>116</v>
      </c>
      <c r="E52" s="222" t="s">
        <v>116</v>
      </c>
      <c r="F52" s="222"/>
      <c r="G52" s="237"/>
      <c r="H52" s="238" t="n">
        <v>0.0</v>
      </c>
      <c r="I52" s="233"/>
      <c r="J52" s="233"/>
      <c r="K52" s="233"/>
      <c r="L52" s="233"/>
      <c r="M52" s="233"/>
      <c r="N52" s="233"/>
      <c r="O52" s="233"/>
      <c r="P52" s="234"/>
      <c r="Q52" s="242" t="str">
        <f t="shared" si="6"/>
        <v/>
      </c>
      <c r="R52" s="225" t="str">
        <f>IF(Q52="","",Q52+R51+'OS Offset'!B52)</f>
        <v/>
      </c>
      <c r="S52" s="226">
        <f t="shared" si="7"/>
        <v>0</v>
      </c>
      <c r="T52" s="239" t="n">
        <v>7.0</v>
      </c>
      <c r="U52" s="240" t="s">
        <v>620</v>
      </c>
      <c r="V52" s="232"/>
      <c r="W52" s="222"/>
      <c r="X52" s="222"/>
      <c r="Y52" s="222"/>
      <c r="Z52" s="237"/>
      <c r="AA52" s="238" t="n">
        <v>4.0</v>
      </c>
      <c r="AB52" s="233" t="n">
        <v>0.0</v>
      </c>
      <c r="AC52" s="233" t="n">
        <v>0.0</v>
      </c>
      <c r="AD52" s="233"/>
      <c r="AE52" s="233"/>
      <c r="AF52" s="233"/>
      <c r="AG52" s="233"/>
      <c r="AH52" s="233"/>
      <c r="AI52" s="234"/>
      <c r="AJ52" s="235" t="str">
        <f t="shared" si="8"/>
        <v/>
      </c>
      <c r="AK52" s="225" t="str">
        <f>IF(AJ52="","",AJ52+AK51+'OS Offset'!I52)</f>
        <v/>
      </c>
      <c r="AL52" s="226">
        <f t="shared" si="9"/>
        <v>0</v>
      </c>
    </row>
    <row r="53" spans="1:38" ht="34.15" customHeight="1" x14ac:dyDescent="0.35">
      <c r="A53" s="229" t="n">
        <v>8.0</v>
      </c>
      <c r="B53" s="228" t="s">
        <v>649</v>
      </c>
      <c r="C53" s="229"/>
      <c r="D53" s="230"/>
      <c r="E53" s="230"/>
      <c r="F53" s="230"/>
      <c r="G53" s="231"/>
      <c r="H53" s="232" t="n">
        <v>4.0</v>
      </c>
      <c r="I53" s="222" t="n">
        <v>0.0</v>
      </c>
      <c r="J53" s="222"/>
      <c r="K53" s="222"/>
      <c r="L53" s="222"/>
      <c r="M53" s="222"/>
      <c r="N53" s="222"/>
      <c r="O53" s="222"/>
      <c r="P53" s="223"/>
      <c r="Q53" s="241" t="str">
        <f t="shared" si="6"/>
        <v/>
      </c>
      <c r="R53" s="225" t="str">
        <f>IF(Q53="","",Q53+R52+'OS Offset'!B53)</f>
        <v/>
      </c>
      <c r="S53" s="226">
        <f t="shared" si="7"/>
        <v>0</v>
      </c>
      <c r="T53" s="227" t="n">
        <v>8.0</v>
      </c>
      <c r="U53" s="228" t="s">
        <v>631</v>
      </c>
      <c r="V53" s="229"/>
      <c r="W53" s="230" t="s">
        <v>116</v>
      </c>
      <c r="X53" s="230" t="s">
        <v>116</v>
      </c>
      <c r="Y53" s="230"/>
      <c r="Z53" s="231"/>
      <c r="AA53" s="232" t="n">
        <v>3.0</v>
      </c>
      <c r="AB53" s="222" t="n">
        <v>0.0</v>
      </c>
      <c r="AC53" s="222"/>
      <c r="AD53" s="222"/>
      <c r="AE53" s="222"/>
      <c r="AF53" s="222"/>
      <c r="AG53" s="222"/>
      <c r="AH53" s="222"/>
      <c r="AI53" s="223"/>
      <c r="AJ53" s="224" t="str">
        <f t="shared" si="8"/>
        <v/>
      </c>
      <c r="AK53" s="225" t="str">
        <f>IF(AJ53="","",AJ53+AK52+'OS Offset'!I53)</f>
        <v/>
      </c>
      <c r="AL53" s="226">
        <f t="shared" si="9"/>
        <v>0</v>
      </c>
    </row>
    <row r="54" spans="1:38" ht="34.15" customHeight="1" x14ac:dyDescent="0.35">
      <c r="A54" s="243" t="n">
        <v>9.0</v>
      </c>
      <c r="B54" s="240" t="s">
        <v>635</v>
      </c>
      <c r="C54" s="232"/>
      <c r="D54" s="222" t="s">
        <v>116</v>
      </c>
      <c r="E54" s="222" t="s">
        <v>116</v>
      </c>
      <c r="F54" s="222"/>
      <c r="G54" s="237"/>
      <c r="H54" s="238" t="n">
        <v>3.0</v>
      </c>
      <c r="I54" s="233" t="n">
        <v>0.0</v>
      </c>
      <c r="J54" s="233"/>
      <c r="K54" s="233"/>
      <c r="L54" s="233"/>
      <c r="M54" s="233"/>
      <c r="N54" s="233"/>
      <c r="O54" s="233"/>
      <c r="P54" s="234"/>
      <c r="Q54" s="242" t="str">
        <f t="shared" si="6"/>
        <v/>
      </c>
      <c r="R54" s="225" t="str">
        <f>IF(Q54="","",Q54+R53+'OS Offset'!B54)</f>
        <v/>
      </c>
      <c r="S54" s="226">
        <f t="shared" si="7"/>
        <v>0</v>
      </c>
      <c r="T54" s="239" t="n">
        <v>9.0</v>
      </c>
      <c r="U54" s="240" t="s">
        <v>631</v>
      </c>
      <c r="V54" s="232"/>
      <c r="W54" s="222"/>
      <c r="X54" s="222"/>
      <c r="Y54" s="222"/>
      <c r="Z54" s="237"/>
      <c r="AA54" s="238" t="n">
        <v>3.0</v>
      </c>
      <c r="AB54" s="233" t="n">
        <v>0.0</v>
      </c>
      <c r="AC54" s="233"/>
      <c r="AD54" s="233"/>
      <c r="AE54" s="233"/>
      <c r="AF54" s="233"/>
      <c r="AG54" s="233"/>
      <c r="AH54" s="233"/>
      <c r="AI54" s="234"/>
      <c r="AJ54" s="235" t="str">
        <f t="shared" si="8"/>
        <v/>
      </c>
      <c r="AK54" s="225" t="str">
        <f>IF(AJ54="","",AJ54+AK53+'OS Offset'!I54)</f>
        <v/>
      </c>
      <c r="AL54" s="226">
        <f t="shared" si="9"/>
        <v>0</v>
      </c>
    </row>
    <row r="55" spans="1:38" ht="34.15" customHeight="1" x14ac:dyDescent="0.35">
      <c r="A55" s="229" t="n">
        <v>10.0</v>
      </c>
      <c r="B55" s="228" t="s">
        <v>635</v>
      </c>
      <c r="C55" s="229" t="s">
        <v>116</v>
      </c>
      <c r="D55" s="230"/>
      <c r="E55" s="230"/>
      <c r="F55" s="230"/>
      <c r="G55" s="231" t="s">
        <v>116</v>
      </c>
      <c r="H55" s="232"/>
      <c r="I55" s="222"/>
      <c r="J55" s="222"/>
      <c r="K55" s="222"/>
      <c r="L55" s="222"/>
      <c r="M55" s="222"/>
      <c r="N55" s="222"/>
      <c r="O55" s="222"/>
      <c r="P55" s="223"/>
      <c r="Q55" s="241" t="str">
        <f t="shared" si="6"/>
        <v/>
      </c>
      <c r="R55" s="225" t="str">
        <f>IF(Q55="","",Q55+R54+'OS Offset'!B55)</f>
        <v/>
      </c>
      <c r="S55" s="226">
        <f t="shared" si="7"/>
        <v>0</v>
      </c>
      <c r="T55" s="227" t="n">
        <v>10.0</v>
      </c>
      <c r="U55" s="228" t="s">
        <v>620</v>
      </c>
      <c r="V55" s="229"/>
      <c r="W55" s="230"/>
      <c r="X55" s="230"/>
      <c r="Y55" s="230"/>
      <c r="Z55" s="231" t="s">
        <v>116</v>
      </c>
      <c r="AA55" s="232"/>
      <c r="AB55" s="222"/>
      <c r="AC55" s="222"/>
      <c r="AD55" s="222"/>
      <c r="AE55" s="222"/>
      <c r="AF55" s="222"/>
      <c r="AG55" s="222"/>
      <c r="AH55" s="222"/>
      <c r="AI55" s="223"/>
      <c r="AJ55" s="224" t="str">
        <f t="shared" si="8"/>
        <v/>
      </c>
      <c r="AK55" s="225" t="str">
        <f>IF(AJ55="","",AJ55+AK54+'OS Offset'!I55)</f>
        <v/>
      </c>
      <c r="AL55" s="226">
        <f t="shared" si="9"/>
        <v>0</v>
      </c>
    </row>
    <row r="56" spans="1:38" ht="34.15" customHeight="1" x14ac:dyDescent="0.35">
      <c r="A56" s="243" t="n">
        <v>11.0</v>
      </c>
      <c r="B56" s="240" t="s">
        <v>635</v>
      </c>
      <c r="C56" s="232"/>
      <c r="D56" s="222"/>
      <c r="E56" s="222"/>
      <c r="F56" s="222"/>
      <c r="G56" s="237" t="s">
        <v>116</v>
      </c>
      <c r="H56" s="238"/>
      <c r="I56" s="233"/>
      <c r="J56" s="233"/>
      <c r="K56" s="233"/>
      <c r="L56" s="233"/>
      <c r="M56" s="233"/>
      <c r="N56" s="233"/>
      <c r="O56" s="233"/>
      <c r="P56" s="234"/>
      <c r="Q56" s="242" t="str">
        <f t="shared" si="6"/>
        <v/>
      </c>
      <c r="R56" s="225" t="str">
        <f>IF(Q56="","",Q56+R55+'OS Offset'!B56)</f>
        <v/>
      </c>
      <c r="S56" s="226">
        <f t="shared" si="7"/>
        <v>0</v>
      </c>
      <c r="T56" s="239" t="n">
        <v>11.0</v>
      </c>
      <c r="U56" s="240" t="s">
        <v>620</v>
      </c>
      <c r="V56" s="232"/>
      <c r="W56" s="222" t="s">
        <v>116</v>
      </c>
      <c r="X56" s="222" t="s">
        <v>116</v>
      </c>
      <c r="Y56" s="222"/>
      <c r="Z56" s="237"/>
      <c r="AA56" s="238" t="n">
        <v>4.0</v>
      </c>
      <c r="AB56" s="233" t="n">
        <v>0.0</v>
      </c>
      <c r="AC56" s="233"/>
      <c r="AD56" s="233"/>
      <c r="AE56" s="233"/>
      <c r="AF56" s="233"/>
      <c r="AG56" s="233"/>
      <c r="AH56" s="233"/>
      <c r="AI56" s="234"/>
      <c r="AJ56" s="235" t="str">
        <f t="shared" si="8"/>
        <v/>
      </c>
      <c r="AK56" s="225" t="str">
        <f>IF(AJ56="","",AJ56+AK55+'OS Offset'!I56)</f>
        <v/>
      </c>
      <c r="AL56" s="226">
        <f t="shared" si="9"/>
        <v>0</v>
      </c>
    </row>
    <row r="57" spans="1:38" ht="34.15" customHeight="1" x14ac:dyDescent="0.35">
      <c r="A57" s="229" t="n">
        <v>12.0</v>
      </c>
      <c r="B57" s="228" t="s">
        <v>649</v>
      </c>
      <c r="C57" s="229"/>
      <c r="D57" s="230"/>
      <c r="E57" s="230"/>
      <c r="F57" s="230"/>
      <c r="G57" s="231" t="s">
        <v>116</v>
      </c>
      <c r="H57" s="232"/>
      <c r="I57" s="222"/>
      <c r="J57" s="222"/>
      <c r="K57" s="222"/>
      <c r="L57" s="222"/>
      <c r="M57" s="222"/>
      <c r="N57" s="222"/>
      <c r="O57" s="222"/>
      <c r="P57" s="223"/>
      <c r="Q57" s="241" t="str">
        <f t="shared" si="6"/>
        <v/>
      </c>
      <c r="R57" s="225" t="str">
        <f>IF(Q57="","",Q57+R56+'OS Offset'!B57)</f>
        <v/>
      </c>
      <c r="S57" s="226">
        <f t="shared" si="7"/>
        <v>0</v>
      </c>
      <c r="T57" s="227" t="n">
        <v>12.0</v>
      </c>
      <c r="U57" s="228" t="s">
        <v>622</v>
      </c>
      <c r="V57" s="229"/>
      <c r="W57" s="230"/>
      <c r="X57" s="230"/>
      <c r="Y57" s="230"/>
      <c r="Z57" s="231" t="s">
        <v>116</v>
      </c>
      <c r="AA57" s="232"/>
      <c r="AB57" s="222"/>
      <c r="AC57" s="222"/>
      <c r="AD57" s="222"/>
      <c r="AE57" s="222"/>
      <c r="AF57" s="222"/>
      <c r="AG57" s="222"/>
      <c r="AH57" s="222"/>
      <c r="AI57" s="223"/>
      <c r="AJ57" s="224" t="str">
        <f t="shared" si="8"/>
        <v/>
      </c>
      <c r="AK57" s="225" t="str">
        <f>IF(AJ57="","",AJ57+AK56+'OS Offset'!I57)</f>
        <v/>
      </c>
      <c r="AL57" s="226">
        <f t="shared" si="9"/>
        <v>0</v>
      </c>
    </row>
    <row r="58" spans="1:38" ht="34.15" customHeight="1" x14ac:dyDescent="0.35">
      <c r="A58" s="243" t="n">
        <v>13.0</v>
      </c>
      <c r="B58" s="240" t="s">
        <v>619</v>
      </c>
      <c r="C58" s="232"/>
      <c r="D58" s="222"/>
      <c r="E58" s="222"/>
      <c r="F58" s="222"/>
      <c r="G58" s="237" t="s">
        <v>116</v>
      </c>
      <c r="H58" s="238"/>
      <c r="I58" s="233"/>
      <c r="J58" s="233"/>
      <c r="K58" s="233"/>
      <c r="L58" s="233"/>
      <c r="M58" s="233"/>
      <c r="N58" s="233"/>
      <c r="O58" s="233"/>
      <c r="P58" s="234"/>
      <c r="Q58" s="242" t="str">
        <f t="shared" si="6"/>
        <v/>
      </c>
      <c r="R58" s="225" t="str">
        <f>IF(Q58="","",Q58+R57+'OS Offset'!B58)</f>
        <v/>
      </c>
      <c r="S58" s="226">
        <f t="shared" si="7"/>
        <v>0</v>
      </c>
      <c r="T58" s="239" t="n">
        <v>13.0</v>
      </c>
      <c r="U58" s="240" t="s">
        <v>622</v>
      </c>
      <c r="V58" s="232"/>
      <c r="W58" s="222" t="s">
        <v>116</v>
      </c>
      <c r="X58" s="222" t="s">
        <v>116</v>
      </c>
      <c r="Y58" s="222"/>
      <c r="Z58" s="237"/>
      <c r="AA58" s="238" t="n">
        <v>4.0</v>
      </c>
      <c r="AB58" s="233" t="n">
        <v>2.0</v>
      </c>
      <c r="AC58" s="233" t="n">
        <v>0.0</v>
      </c>
      <c r="AD58" s="233"/>
      <c r="AE58" s="233"/>
      <c r="AF58" s="233"/>
      <c r="AG58" s="233"/>
      <c r="AH58" s="233"/>
      <c r="AI58" s="234"/>
      <c r="AJ58" s="235" t="str">
        <f t="shared" si="8"/>
        <v/>
      </c>
      <c r="AK58" s="225" t="str">
        <f>IF(AJ58="","",AJ58+AK57+'OS Offset'!I58)</f>
        <v/>
      </c>
      <c r="AL58" s="226">
        <f t="shared" si="9"/>
        <v>0</v>
      </c>
    </row>
    <row r="59" spans="1:38" ht="34.15" customHeight="1" x14ac:dyDescent="0.35">
      <c r="A59" s="229" t="n">
        <v>14.0</v>
      </c>
      <c r="B59" s="228" t="s">
        <v>635</v>
      </c>
      <c r="C59" s="229"/>
      <c r="D59" s="230" t="s">
        <v>116</v>
      </c>
      <c r="E59" s="230" t="s">
        <v>116</v>
      </c>
      <c r="F59" s="230"/>
      <c r="G59" s="231"/>
      <c r="H59" s="232" t="n">
        <v>4.0</v>
      </c>
      <c r="I59" s="222" t="n">
        <v>0.0</v>
      </c>
      <c r="J59" s="222" t="n">
        <v>4.0</v>
      </c>
      <c r="K59" s="222" t="n">
        <v>0.0</v>
      </c>
      <c r="L59" s="222"/>
      <c r="M59" s="222"/>
      <c r="N59" s="222"/>
      <c r="O59" s="222"/>
      <c r="P59" s="223"/>
      <c r="Q59" s="241" t="str">
        <f t="shared" si="6"/>
        <v/>
      </c>
      <c r="R59" s="225" t="str">
        <f>IF(Q59="","",Q59+R58+'OS Offset'!B59)</f>
        <v/>
      </c>
      <c r="S59" s="226">
        <f t="shared" si="7"/>
        <v>0</v>
      </c>
      <c r="T59" s="227" t="n">
        <v>14.0</v>
      </c>
      <c r="U59" s="228" t="s">
        <v>631</v>
      </c>
      <c r="V59" s="229"/>
      <c r="W59" s="230"/>
      <c r="X59" s="230"/>
      <c r="Y59" s="230"/>
      <c r="Z59" s="231"/>
      <c r="AA59" s="232" t="n">
        <v>1.0</v>
      </c>
      <c r="AB59" s="222" t="n">
        <v>0.0</v>
      </c>
      <c r="AC59" s="222"/>
      <c r="AD59" s="222"/>
      <c r="AE59" s="222"/>
      <c r="AF59" s="222"/>
      <c r="AG59" s="222"/>
      <c r="AH59" s="222"/>
      <c r="AI59" s="223"/>
      <c r="AJ59" s="224" t="str">
        <f t="shared" si="8"/>
        <v/>
      </c>
      <c r="AK59" s="225" t="str">
        <f>IF(AJ59="","",AJ59+AK58+'OS Offset'!I59)</f>
        <v/>
      </c>
      <c r="AL59" s="226">
        <f t="shared" si="9"/>
        <v>0</v>
      </c>
    </row>
    <row r="60" spans="1:38" ht="34.15" customHeight="1" x14ac:dyDescent="0.35">
      <c r="A60" s="243" t="n">
        <v>15.0</v>
      </c>
      <c r="B60" s="240" t="s">
        <v>649</v>
      </c>
      <c r="C60" s="232"/>
      <c r="D60" s="222" t="s">
        <v>116</v>
      </c>
      <c r="E60" s="222" t="s">
        <v>116</v>
      </c>
      <c r="F60" s="222"/>
      <c r="G60" s="237"/>
      <c r="H60" s="238" t="n">
        <v>4.0</v>
      </c>
      <c r="I60" s="233" t="n">
        <v>2.0</v>
      </c>
      <c r="J60" s="233" t="n">
        <v>0.0</v>
      </c>
      <c r="K60" s="233"/>
      <c r="L60" s="233"/>
      <c r="M60" s="233"/>
      <c r="N60" s="233"/>
      <c r="O60" s="233"/>
      <c r="P60" s="234"/>
      <c r="Q60" s="242" t="str">
        <f t="shared" si="6"/>
        <v/>
      </c>
      <c r="R60" s="225" t="str">
        <f>IF(Q60="","",Q60+R59+'OS Offset'!B60)</f>
        <v/>
      </c>
      <c r="S60" s="226">
        <f t="shared" si="7"/>
        <v>0</v>
      </c>
      <c r="T60" s="239" t="n">
        <v>15.0</v>
      </c>
      <c r="U60" s="240" t="s">
        <v>622</v>
      </c>
      <c r="V60" s="232"/>
      <c r="W60" s="222"/>
      <c r="X60" s="222"/>
      <c r="Y60" s="222"/>
      <c r="Z60" s="237" t="s">
        <v>116</v>
      </c>
      <c r="AA60" s="238"/>
      <c r="AB60" s="233"/>
      <c r="AC60" s="233"/>
      <c r="AD60" s="233"/>
      <c r="AE60" s="233"/>
      <c r="AF60" s="233"/>
      <c r="AG60" s="233"/>
      <c r="AH60" s="233"/>
      <c r="AI60" s="234"/>
      <c r="AJ60" s="235" t="str">
        <f t="shared" si="8"/>
        <v/>
      </c>
      <c r="AK60" s="225" t="str">
        <f>IF(AJ60="","",AJ60+AK59+'OS Offset'!I60)</f>
        <v/>
      </c>
      <c r="AL60" s="226">
        <f t="shared" si="9"/>
        <v>0</v>
      </c>
    </row>
    <row r="61" spans="1:38" ht="34.15" customHeight="1" x14ac:dyDescent="0.35">
      <c r="A61" s="229" t="n">
        <v>16.0</v>
      </c>
      <c r="B61" s="228" t="s">
        <v>635</v>
      </c>
      <c r="C61" s="229"/>
      <c r="D61" s="230"/>
      <c r="E61" s="230"/>
      <c r="F61" s="230"/>
      <c r="G61" s="231" t="s">
        <v>116</v>
      </c>
      <c r="H61" s="232"/>
      <c r="I61" s="222"/>
      <c r="J61" s="222"/>
      <c r="K61" s="222"/>
      <c r="L61" s="222"/>
      <c r="M61" s="222"/>
      <c r="N61" s="222"/>
      <c r="O61" s="222"/>
      <c r="P61" s="223"/>
      <c r="Q61" s="241" t="str">
        <f t="shared" si="6"/>
        <v/>
      </c>
      <c r="R61" s="225" t="str">
        <f>IF(Q61="","",Q61+R60+'OS Offset'!B61)</f>
        <v/>
      </c>
      <c r="S61" s="226">
        <f t="shared" si="7"/>
        <v>0</v>
      </c>
      <c r="T61" s="227" t="n">
        <v>16.0</v>
      </c>
      <c r="U61" s="228" t="s">
        <v>622</v>
      </c>
      <c r="V61" s="229"/>
      <c r="W61" s="230" t="s">
        <v>116</v>
      </c>
      <c r="X61" s="230" t="s">
        <v>116</v>
      </c>
      <c r="Y61" s="230"/>
      <c r="Z61" s="231"/>
      <c r="AA61" s="232" t="n">
        <v>4.0</v>
      </c>
      <c r="AB61" s="222" t="n">
        <v>4.0</v>
      </c>
      <c r="AC61" s="222" t="n">
        <v>0.0</v>
      </c>
      <c r="AD61" s="222"/>
      <c r="AE61" s="222"/>
      <c r="AF61" s="222"/>
      <c r="AG61" s="222"/>
      <c r="AH61" s="222"/>
      <c r="AI61" s="223"/>
      <c r="AJ61" s="224" t="str">
        <f t="shared" si="8"/>
        <v/>
      </c>
      <c r="AK61" s="225" t="str">
        <f>IF(AJ61="","",AJ61+AK60+'OS Offset'!I61)</f>
        <v/>
      </c>
      <c r="AL61" s="226">
        <f t="shared" si="9"/>
        <v>0</v>
      </c>
    </row>
    <row r="62" spans="1:38" ht="34.15" customHeight="1" x14ac:dyDescent="0.35">
      <c r="A62" s="243" t="n">
        <v>17.0</v>
      </c>
      <c r="B62" s="240" t="s">
        <v>641</v>
      </c>
      <c r="C62" s="232"/>
      <c r="D62" s="222" t="s">
        <v>116</v>
      </c>
      <c r="E62" s="222" t="s">
        <v>116</v>
      </c>
      <c r="F62" s="222"/>
      <c r="G62" s="237"/>
      <c r="H62" s="238" t="n">
        <v>4.0</v>
      </c>
      <c r="I62" s="233" t="n">
        <v>4.0</v>
      </c>
      <c r="J62" s="233" t="n">
        <v>4.0</v>
      </c>
      <c r="K62" s="233" t="n">
        <v>4.0</v>
      </c>
      <c r="L62" s="233" t="n">
        <v>4.0</v>
      </c>
      <c r="M62" s="233" t="n">
        <v>0.0</v>
      </c>
      <c r="N62" s="233"/>
      <c r="O62" s="233"/>
      <c r="P62" s="234"/>
      <c r="Q62" s="242" t="str">
        <f t="shared" si="6"/>
        <v/>
      </c>
      <c r="R62" s="225" t="str">
        <f>IF(Q62="","",Q62+R61+'OS Offset'!B62)</f>
        <v/>
      </c>
      <c r="S62" s="226">
        <f t="shared" si="7"/>
        <v>0</v>
      </c>
      <c r="T62" s="239" t="n">
        <v>17.0</v>
      </c>
      <c r="U62" s="240" t="s">
        <v>620</v>
      </c>
      <c r="V62" s="232"/>
      <c r="W62" s="222"/>
      <c r="X62" s="222"/>
      <c r="Y62" s="222"/>
      <c r="Z62" s="237" t="s">
        <v>116</v>
      </c>
      <c r="AA62" s="238"/>
      <c r="AB62" s="233"/>
      <c r="AC62" s="233"/>
      <c r="AD62" s="233"/>
      <c r="AE62" s="233"/>
      <c r="AF62" s="233"/>
      <c r="AG62" s="233"/>
      <c r="AH62" s="233"/>
      <c r="AI62" s="234"/>
      <c r="AJ62" s="235" t="str">
        <f t="shared" si="8"/>
        <v/>
      </c>
      <c r="AK62" s="225" t="str">
        <f>IF(AJ62="","",AJ62+AK61+'OS Offset'!I62)</f>
        <v/>
      </c>
      <c r="AL62" s="226">
        <f t="shared" si="9"/>
        <v>0</v>
      </c>
    </row>
    <row r="63" spans="1:38" ht="34.15" customHeight="1" x14ac:dyDescent="0.35">
      <c r="A63" s="229" t="s">
        <v>665</v>
      </c>
      <c r="B63" s="228"/>
      <c r="C63" s="229"/>
      <c r="D63" s="230"/>
      <c r="E63" s="230"/>
      <c r="F63" s="230"/>
      <c r="G63" s="231"/>
      <c r="H63" s="232"/>
      <c r="I63" s="222"/>
      <c r="J63" s="222"/>
      <c r="K63" s="222"/>
      <c r="L63" s="222"/>
      <c r="M63" s="222"/>
      <c r="N63" s="222"/>
      <c r="O63" s="222"/>
      <c r="P63" s="223"/>
      <c r="Q63" s="241" t="str">
        <f t="shared" si="6"/>
        <v/>
      </c>
      <c r="R63" s="225" t="str">
        <f>IF(Q63="","",Q63+R62+'OS Offset'!B63)</f>
        <v/>
      </c>
      <c r="S63" s="226">
        <f t="shared" si="7"/>
        <v>0</v>
      </c>
      <c r="T63" s="227" t="s">
        <v>666</v>
      </c>
      <c r="U63" s="228" t="s">
        <v>615</v>
      </c>
      <c r="V63" s="229"/>
      <c r="W63" s="230"/>
      <c r="X63" s="230"/>
      <c r="Y63" s="230"/>
      <c r="Z63" s="231"/>
      <c r="AA63" s="232" t="n">
        <v>2.0</v>
      </c>
      <c r="AB63" s="222" t="n">
        <v>0.0</v>
      </c>
      <c r="AC63" s="222"/>
      <c r="AD63" s="222"/>
      <c r="AE63" s="222"/>
      <c r="AF63" s="222"/>
      <c r="AG63" s="222"/>
      <c r="AH63" s="222"/>
      <c r="AI63" s="223"/>
      <c r="AJ63" s="224" t="str">
        <f t="shared" si="8"/>
        <v/>
      </c>
      <c r="AK63" s="225" t="str">
        <f>IF(AJ63="","",AJ63+AK62+'OS Offset'!I63)</f>
        <v/>
      </c>
      <c r="AL63" s="226">
        <f t="shared" si="9"/>
        <v>0</v>
      </c>
    </row>
    <row r="64" spans="1:38" ht="34.15" customHeight="1" x14ac:dyDescent="0.35">
      <c r="A64" s="243" t="n">
        <v>18.0</v>
      </c>
      <c r="B64" s="240" t="s">
        <v>635</v>
      </c>
      <c r="C64" s="232"/>
      <c r="D64" s="222" t="s">
        <v>116</v>
      </c>
      <c r="E64" s="222" t="s">
        <v>116</v>
      </c>
      <c r="F64" s="222"/>
      <c r="G64" s="237"/>
      <c r="H64" s="238" t="n">
        <v>4.0</v>
      </c>
      <c r="I64" s="233" t="n">
        <v>0.0</v>
      </c>
      <c r="J64" s="233"/>
      <c r="K64" s="233"/>
      <c r="L64" s="233"/>
      <c r="M64" s="233"/>
      <c r="N64" s="233"/>
      <c r="O64" s="233"/>
      <c r="P64" s="234"/>
      <c r="Q64" s="242" t="str">
        <f t="shared" si="6"/>
        <v/>
      </c>
      <c r="R64" s="225" t="str">
        <f>IF(Q64="","",Q64+R63+'OS Offset'!B64)</f>
        <v/>
      </c>
      <c r="S64" s="226">
        <f t="shared" si="7"/>
        <v>0</v>
      </c>
      <c r="T64" s="239" t="n">
        <v>18.0</v>
      </c>
      <c r="U64" s="240" t="s">
        <v>631</v>
      </c>
      <c r="V64" s="232"/>
      <c r="W64" s="222"/>
      <c r="X64" s="222"/>
      <c r="Y64" s="222"/>
      <c r="Z64" s="237" t="s">
        <v>116</v>
      </c>
      <c r="AA64" s="238"/>
      <c r="AB64" s="233"/>
      <c r="AC64" s="233"/>
      <c r="AD64" s="233"/>
      <c r="AE64" s="233"/>
      <c r="AF64" s="233"/>
      <c r="AG64" s="233"/>
      <c r="AH64" s="233"/>
      <c r="AI64" s="234"/>
      <c r="AJ64" s="235" t="str">
        <f t="shared" si="8"/>
        <v/>
      </c>
      <c r="AK64" s="225" t="str">
        <f>IF(AJ64="","",AJ64+AK63+'OS Offset'!I64)</f>
        <v/>
      </c>
      <c r="AL64" s="226">
        <f t="shared" si="9"/>
        <v>0</v>
      </c>
    </row>
    <row r="65" spans="1:38" ht="34.15" customHeight="1" x14ac:dyDescent="0.35">
      <c r="A65" s="229" t="n">
        <v>19.0</v>
      </c>
      <c r="B65" s="228" t="s">
        <v>641</v>
      </c>
      <c r="C65" s="229"/>
      <c r="D65" s="230" t="s">
        <v>116</v>
      </c>
      <c r="E65" s="230" t="s">
        <v>116</v>
      </c>
      <c r="F65" s="230"/>
      <c r="G65" s="231"/>
      <c r="H65" s="232" t="n">
        <v>4.0</v>
      </c>
      <c r="I65" s="222" t="n">
        <v>0.0</v>
      </c>
      <c r="J65" s="222"/>
      <c r="K65" s="222"/>
      <c r="L65" s="222"/>
      <c r="M65" s="222"/>
      <c r="N65" s="222"/>
      <c r="O65" s="222"/>
      <c r="P65" s="223"/>
      <c r="Q65" s="241" t="str">
        <f t="shared" si="6"/>
        <v/>
      </c>
      <c r="R65" s="225" t="str">
        <f>IF(Q65="","",Q65+R64+'OS Offset'!B65)</f>
        <v/>
      </c>
      <c r="S65" s="226">
        <f t="shared" si="7"/>
        <v>0</v>
      </c>
      <c r="T65" s="227" t="n">
        <v>19.0</v>
      </c>
      <c r="U65" s="228" t="s">
        <v>622</v>
      </c>
      <c r="V65" s="229"/>
      <c r="W65" s="230"/>
      <c r="X65" s="230"/>
      <c r="Y65" s="230"/>
      <c r="Z65" s="231" t="s">
        <v>116</v>
      </c>
      <c r="AA65" s="232"/>
      <c r="AB65" s="222"/>
      <c r="AC65" s="222"/>
      <c r="AD65" s="222"/>
      <c r="AE65" s="222"/>
      <c r="AF65" s="222"/>
      <c r="AG65" s="222"/>
      <c r="AH65" s="222"/>
      <c r="AI65" s="223"/>
      <c r="AJ65" s="224" t="str">
        <f t="shared" si="8"/>
        <v/>
      </c>
      <c r="AK65" s="225" t="str">
        <f>IF(AJ65="","",AJ65+AK64+'OS Offset'!I65)</f>
        <v/>
      </c>
      <c r="AL65" s="226">
        <f t="shared" si="9"/>
        <v>0</v>
      </c>
    </row>
    <row r="66" spans="1:38" ht="34.15" customHeight="1" x14ac:dyDescent="0.35">
      <c r="A66" s="243" t="n">
        <v>20.0</v>
      </c>
      <c r="B66" s="240" t="s">
        <v>641</v>
      </c>
      <c r="C66" s="232"/>
      <c r="D66" s="222" t="s">
        <v>116</v>
      </c>
      <c r="E66" s="222" t="s">
        <v>116</v>
      </c>
      <c r="F66" s="222"/>
      <c r="G66" s="237"/>
      <c r="H66" s="238" t="n">
        <v>4.0</v>
      </c>
      <c r="I66" s="233" t="n">
        <v>4.0</v>
      </c>
      <c r="J66" s="233" t="n">
        <v>3.0</v>
      </c>
      <c r="K66" s="233" t="n">
        <v>0.0</v>
      </c>
      <c r="L66" s="233"/>
      <c r="M66" s="233"/>
      <c r="N66" s="233"/>
      <c r="O66" s="233"/>
      <c r="P66" s="234"/>
      <c r="Q66" s="242" t="str">
        <f t="shared" si="6"/>
        <v/>
      </c>
      <c r="R66" s="225" t="str">
        <f>IF(Q66="","",Q66+R65+'OS Offset'!B66)</f>
        <v/>
      </c>
      <c r="S66" s="226">
        <f t="shared" si="7"/>
        <v>0</v>
      </c>
      <c r="T66" s="239" t="n">
        <v>20.0</v>
      </c>
      <c r="U66" s="240" t="s">
        <v>622</v>
      </c>
      <c r="V66" s="232"/>
      <c r="W66" s="222"/>
      <c r="X66" s="222"/>
      <c r="Y66" s="222"/>
      <c r="Z66" s="237"/>
      <c r="AA66" s="238" t="n">
        <v>4.0</v>
      </c>
      <c r="AB66" s="233" t="n">
        <v>0.0</v>
      </c>
      <c r="AC66" s="233"/>
      <c r="AD66" s="233"/>
      <c r="AE66" s="233"/>
      <c r="AF66" s="233"/>
      <c r="AG66" s="233"/>
      <c r="AH66" s="233"/>
      <c r="AI66" s="234"/>
      <c r="AJ66" s="235" t="str">
        <f t="shared" si="8"/>
        <v/>
      </c>
      <c r="AK66" s="225" t="str">
        <f>IF(AJ66="","",AJ66+AK65+'OS Offset'!I66)</f>
        <v/>
      </c>
      <c r="AL66" s="226">
        <f t="shared" si="9"/>
        <v>0</v>
      </c>
    </row>
    <row r="67" spans="1:38" ht="34.15" customHeight="1" x14ac:dyDescent="0.35">
      <c r="A67" s="229" t="n">
        <v>21.0</v>
      </c>
      <c r="B67" s="228" t="s">
        <v>635</v>
      </c>
      <c r="C67" s="229"/>
      <c r="D67" s="230"/>
      <c r="E67" s="230"/>
      <c r="F67" s="230"/>
      <c r="G67" s="231" t="s">
        <v>116</v>
      </c>
      <c r="H67" s="232"/>
      <c r="I67" s="222"/>
      <c r="J67" s="222"/>
      <c r="K67" s="222"/>
      <c r="L67" s="222"/>
      <c r="M67" s="222"/>
      <c r="N67" s="222"/>
      <c r="O67" s="222"/>
      <c r="P67" s="223"/>
      <c r="Q67" s="241" t="str">
        <f t="shared" si="6"/>
        <v/>
      </c>
      <c r="R67" s="225" t="str">
        <f>IF(Q67="","",Q67+R66+'OS Offset'!B67)</f>
        <v/>
      </c>
      <c r="S67" s="226">
        <f t="shared" si="7"/>
        <v>0</v>
      </c>
      <c r="T67" s="227" t="n">
        <v>21.0</v>
      </c>
      <c r="U67" s="228" t="s">
        <v>620</v>
      </c>
      <c r="V67" s="229"/>
      <c r="W67" s="230"/>
      <c r="X67" s="230"/>
      <c r="Y67" s="230"/>
      <c r="Z67" s="231" t="s">
        <v>116</v>
      </c>
      <c r="AA67" s="232"/>
      <c r="AB67" s="222"/>
      <c r="AC67" s="222"/>
      <c r="AD67" s="222"/>
      <c r="AE67" s="222"/>
      <c r="AF67" s="222"/>
      <c r="AG67" s="222"/>
      <c r="AH67" s="222"/>
      <c r="AI67" s="223"/>
      <c r="AJ67" s="224" t="str">
        <f t="shared" si="8"/>
        <v/>
      </c>
      <c r="AK67" s="225" t="str">
        <f>IF(AJ67="","",AJ67+AK66+'OS Offset'!I67)</f>
        <v/>
      </c>
      <c r="AL67" s="226">
        <f t="shared" si="9"/>
        <v>0</v>
      </c>
    </row>
    <row r="68" spans="1:38" ht="34.15" customHeight="1" x14ac:dyDescent="0.35">
      <c r="A68" s="243" t="n">
        <v>22.0</v>
      </c>
      <c r="B68" s="240" t="s">
        <v>635</v>
      </c>
      <c r="C68" s="232"/>
      <c r="D68" s="222"/>
      <c r="E68" s="222"/>
      <c r="F68" s="222"/>
      <c r="G68" s="237" t="s">
        <v>116</v>
      </c>
      <c r="H68" s="238"/>
      <c r="I68" s="233"/>
      <c r="J68" s="233"/>
      <c r="K68" s="233"/>
      <c r="L68" s="233"/>
      <c r="M68" s="233"/>
      <c r="N68" s="233"/>
      <c r="O68" s="233"/>
      <c r="P68" s="234"/>
      <c r="Q68" s="242" t="str">
        <f t="shared" si="6"/>
        <v/>
      </c>
      <c r="R68" s="225" t="str">
        <f>IF(Q68="","",Q68+R67+'OS Offset'!B68)</f>
        <v/>
      </c>
      <c r="S68" s="226">
        <f t="shared" si="7"/>
        <v>0</v>
      </c>
      <c r="T68" s="239" t="n">
        <v>22.0</v>
      </c>
      <c r="U68" s="240" t="s">
        <v>620</v>
      </c>
      <c r="V68" s="232"/>
      <c r="W68" s="222" t="s">
        <v>116</v>
      </c>
      <c r="X68" s="222" t="s">
        <v>116</v>
      </c>
      <c r="Y68" s="222"/>
      <c r="Z68" s="237"/>
      <c r="AA68" s="238" t="n">
        <v>4.0</v>
      </c>
      <c r="AB68" s="233" t="n">
        <v>4.0</v>
      </c>
      <c r="AC68" s="233" t="n">
        <v>3.0</v>
      </c>
      <c r="AD68" s="233" t="n">
        <v>0.0</v>
      </c>
      <c r="AE68" s="233"/>
      <c r="AF68" s="233"/>
      <c r="AG68" s="233"/>
      <c r="AH68" s="233"/>
      <c r="AI68" s="234"/>
      <c r="AJ68" s="235" t="str">
        <f t="shared" si="8"/>
        <v/>
      </c>
      <c r="AK68" s="225" t="str">
        <f>IF(AJ68="","",AJ68+AK67+'OS Offset'!I68)</f>
        <v/>
      </c>
      <c r="AL68" s="226">
        <f t="shared" si="9"/>
        <v>0</v>
      </c>
    </row>
    <row r="69" spans="1:38" ht="34.15" customHeight="1" x14ac:dyDescent="0.35">
      <c r="A69" s="229"/>
      <c r="B69" s="228"/>
      <c r="C69" s="229"/>
      <c r="D69" s="230"/>
      <c r="E69" s="230"/>
      <c r="F69" s="230"/>
      <c r="G69" s="231"/>
      <c r="H69" s="232"/>
      <c r="I69" s="222"/>
      <c r="J69" s="222"/>
      <c r="K69" s="222"/>
      <c r="L69" s="222"/>
      <c r="M69" s="222"/>
      <c r="N69" s="222"/>
      <c r="O69" s="222"/>
      <c r="P69" s="223"/>
      <c r="Q69" s="241" t="str">
        <f t="shared" si="6"/>
        <v/>
      </c>
      <c r="R69" s="225" t="str">
        <f>IF(Q69="","",Q69+R68+'OS Offset'!B69)</f>
        <v/>
      </c>
      <c r="S69" s="226">
        <f t="shared" si="7"/>
        <v>0</v>
      </c>
      <c r="T69" s="227"/>
      <c r="U69" s="228"/>
      <c r="V69" s="229"/>
      <c r="W69" s="230"/>
      <c r="X69" s="230"/>
      <c r="Y69" s="230"/>
      <c r="Z69" s="231"/>
      <c r="AA69" s="232"/>
      <c r="AB69" s="222"/>
      <c r="AC69" s="222"/>
      <c r="AD69" s="222"/>
      <c r="AE69" s="222"/>
      <c r="AF69" s="222"/>
      <c r="AG69" s="222"/>
      <c r="AH69" s="222"/>
      <c r="AI69" s="223"/>
      <c r="AJ69" s="224" t="str">
        <f t="shared" si="8"/>
        <v/>
      </c>
      <c r="AK69" s="225" t="str">
        <f>IF(AJ69="","",AJ69+AK68+'OS Offset'!I69)</f>
        <v/>
      </c>
      <c r="AL69" s="226">
        <f t="shared" si="9"/>
        <v>0</v>
      </c>
    </row>
    <row r="70" spans="1:38" ht="34.15" customHeight="1" x14ac:dyDescent="0.35">
      <c r="A70" s="243"/>
      <c r="B70" s="240"/>
      <c r="C70" s="232"/>
      <c r="D70" s="222"/>
      <c r="E70" s="222"/>
      <c r="F70" s="222"/>
      <c r="G70" s="237"/>
      <c r="H70" s="238"/>
      <c r="I70" s="233"/>
      <c r="J70" s="233"/>
      <c r="K70" s="233"/>
      <c r="L70" s="233"/>
      <c r="M70" s="233"/>
      <c r="N70" s="233"/>
      <c r="O70" s="233"/>
      <c r="P70" s="234"/>
      <c r="Q70" s="242" t="str">
        <f t="shared" si="6"/>
        <v/>
      </c>
      <c r="R70" s="225" t="str">
        <f>IF(Q70="","",Q70+R69+'OS Offset'!B70)</f>
        <v/>
      </c>
      <c r="S70" s="226">
        <f t="shared" si="7"/>
        <v>0</v>
      </c>
      <c r="T70" s="239"/>
      <c r="U70" s="240"/>
      <c r="V70" s="232"/>
      <c r="W70" s="222"/>
      <c r="X70" s="222"/>
      <c r="Y70" s="222"/>
      <c r="Z70" s="237"/>
      <c r="AA70" s="238"/>
      <c r="AB70" s="233"/>
      <c r="AC70" s="233"/>
      <c r="AD70" s="233"/>
      <c r="AE70" s="233"/>
      <c r="AF70" s="233"/>
      <c r="AG70" s="233"/>
      <c r="AH70" s="233"/>
      <c r="AI70" s="234"/>
      <c r="AJ70" s="235" t="str">
        <f t="shared" si="8"/>
        <v/>
      </c>
      <c r="AK70" s="225" t="str">
        <f>IF(AJ70="","",AJ70+AK69+'OS Offset'!I70)</f>
        <v/>
      </c>
      <c r="AL70" s="226">
        <f t="shared" si="9"/>
        <v>0</v>
      </c>
    </row>
    <row r="71" spans="1:38" ht="34.15" customHeight="1" x14ac:dyDescent="0.35">
      <c r="A71" s="229"/>
      <c r="B71" s="228"/>
      <c r="C71" s="229"/>
      <c r="D71" s="230"/>
      <c r="E71" s="230"/>
      <c r="F71" s="230"/>
      <c r="G71" s="231"/>
      <c r="H71" s="232"/>
      <c r="I71" s="222"/>
      <c r="J71" s="222"/>
      <c r="K71" s="222"/>
      <c r="L71" s="222"/>
      <c r="M71" s="222"/>
      <c r="N71" s="222"/>
      <c r="O71" s="222"/>
      <c r="P71" s="223"/>
      <c r="Q71" s="241" t="str">
        <f t="shared" si="6"/>
        <v/>
      </c>
      <c r="R71" s="225" t="str">
        <f>IF(Q71="","",Q71+R70+'OS Offset'!B71)</f>
        <v/>
      </c>
      <c r="S71" s="226">
        <f t="shared" si="7"/>
        <v>0</v>
      </c>
      <c r="T71" s="227"/>
      <c r="U71" s="228"/>
      <c r="V71" s="229"/>
      <c r="W71" s="230"/>
      <c r="X71" s="230"/>
      <c r="Y71" s="230"/>
      <c r="Z71" s="231"/>
      <c r="AA71" s="232"/>
      <c r="AB71" s="222"/>
      <c r="AC71" s="222"/>
      <c r="AD71" s="222"/>
      <c r="AE71" s="222"/>
      <c r="AF71" s="222"/>
      <c r="AG71" s="222"/>
      <c r="AH71" s="222"/>
      <c r="AI71" s="223"/>
      <c r="AJ71" s="224" t="str">
        <f t="shared" si="8"/>
        <v/>
      </c>
      <c r="AK71" s="225" t="str">
        <f>IF(AJ71="","",AJ71+AK70+'OS Offset'!I71)</f>
        <v/>
      </c>
      <c r="AL71" s="226">
        <f t="shared" si="9"/>
        <v>0</v>
      </c>
    </row>
    <row r="72" spans="1:38" ht="34.15" customHeight="1" x14ac:dyDescent="0.35">
      <c r="A72" s="243"/>
      <c r="B72" s="240"/>
      <c r="C72" s="232"/>
      <c r="D72" s="222"/>
      <c r="E72" s="222"/>
      <c r="F72" s="222"/>
      <c r="G72" s="237"/>
      <c r="H72" s="238"/>
      <c r="I72" s="233"/>
      <c r="J72" s="233"/>
      <c r="K72" s="233"/>
      <c r="L72" s="233"/>
      <c r="M72" s="233"/>
      <c r="N72" s="233"/>
      <c r="O72" s="233"/>
      <c r="P72" s="234"/>
      <c r="Q72" s="242" t="str">
        <f t="shared" si="6"/>
        <v/>
      </c>
      <c r="R72" s="225" t="str">
        <f>IF(Q72="","",Q72+R71+'OS Offset'!B72)</f>
        <v/>
      </c>
      <c r="S72" s="226">
        <f t="shared" si="7"/>
        <v>0</v>
      </c>
      <c r="T72" s="239"/>
      <c r="U72" s="240"/>
      <c r="V72" s="232"/>
      <c r="W72" s="222"/>
      <c r="X72" s="222"/>
      <c r="Y72" s="222"/>
      <c r="Z72" s="237"/>
      <c r="AA72" s="238"/>
      <c r="AB72" s="233"/>
      <c r="AC72" s="233"/>
      <c r="AD72" s="233"/>
      <c r="AE72" s="233"/>
      <c r="AF72" s="233"/>
      <c r="AG72" s="233"/>
      <c r="AH72" s="233"/>
      <c r="AI72" s="234"/>
      <c r="AJ72" s="235" t="str">
        <f t="shared" si="8"/>
        <v/>
      </c>
      <c r="AK72" s="225" t="str">
        <f>IF(AJ72="","",AJ72+AK71+'OS Offset'!I72)</f>
        <v/>
      </c>
      <c r="AL72" s="226">
        <f t="shared" si="9"/>
        <v>0</v>
      </c>
    </row>
    <row r="73" spans="1:38" ht="34.15" customHeight="1" x14ac:dyDescent="0.35">
      <c r="A73" s="229"/>
      <c r="B73" s="228"/>
      <c r="C73" s="229"/>
      <c r="D73" s="230"/>
      <c r="E73" s="230"/>
      <c r="F73" s="230"/>
      <c r="G73" s="231"/>
      <c r="H73" s="232"/>
      <c r="I73" s="222"/>
      <c r="J73" s="222"/>
      <c r="K73" s="222"/>
      <c r="L73" s="222"/>
      <c r="M73" s="222"/>
      <c r="N73" s="222"/>
      <c r="O73" s="222"/>
      <c r="P73" s="223"/>
      <c r="Q73" s="241" t="str">
        <f t="shared" si="6"/>
        <v/>
      </c>
      <c r="R73" s="225" t="str">
        <f>IF(Q73="","",Q73+R72+'OS Offset'!B73)</f>
        <v/>
      </c>
      <c r="S73" s="226">
        <f t="shared" si="7"/>
        <v>0</v>
      </c>
      <c r="T73" s="227"/>
      <c r="U73" s="228"/>
      <c r="V73" s="229"/>
      <c r="W73" s="230"/>
      <c r="X73" s="230"/>
      <c r="Y73" s="230"/>
      <c r="Z73" s="231"/>
      <c r="AA73" s="232"/>
      <c r="AB73" s="222"/>
      <c r="AC73" s="222"/>
      <c r="AD73" s="222"/>
      <c r="AE73" s="222"/>
      <c r="AF73" s="222"/>
      <c r="AG73" s="222"/>
      <c r="AH73" s="222"/>
      <c r="AI73" s="223"/>
      <c r="AJ73" s="224" t="str">
        <f t="shared" si="8"/>
        <v/>
      </c>
      <c r="AK73" s="225" t="str">
        <f>IF(AJ73="","",AJ73+AK72+'OS Offset'!I73)</f>
        <v/>
      </c>
      <c r="AL73" s="226">
        <f t="shared" si="9"/>
        <v>0</v>
      </c>
    </row>
    <row r="74" spans="1:38" ht="34.15" customHeight="1" x14ac:dyDescent="0.35">
      <c r="A74" s="243"/>
      <c r="B74" s="240"/>
      <c r="C74" s="232"/>
      <c r="D74" s="222"/>
      <c r="E74" s="222"/>
      <c r="F74" s="222"/>
      <c r="G74" s="237"/>
      <c r="H74" s="238"/>
      <c r="I74" s="233"/>
      <c r="J74" s="233"/>
      <c r="K74" s="233"/>
      <c r="L74" s="233"/>
      <c r="M74" s="233"/>
      <c r="N74" s="233"/>
      <c r="O74" s="233"/>
      <c r="P74" s="234"/>
      <c r="Q74" s="242" t="str">
        <f t="shared" si="6"/>
        <v/>
      </c>
      <c r="R74" s="225" t="str">
        <f>IF(Q74="","",Q74+R73+'OS Offset'!B74)</f>
        <v/>
      </c>
      <c r="S74" s="226">
        <f t="shared" si="7"/>
        <v>0</v>
      </c>
      <c r="T74" s="239"/>
      <c r="U74" s="240"/>
      <c r="V74" s="232"/>
      <c r="W74" s="222"/>
      <c r="X74" s="222"/>
      <c r="Y74" s="222"/>
      <c r="Z74" s="237"/>
      <c r="AA74" s="238"/>
      <c r="AB74" s="233"/>
      <c r="AC74" s="233"/>
      <c r="AD74" s="233"/>
      <c r="AE74" s="233"/>
      <c r="AF74" s="233"/>
      <c r="AG74" s="233"/>
      <c r="AH74" s="233"/>
      <c r="AI74" s="234"/>
      <c r="AJ74" s="235" t="str">
        <f t="shared" si="8"/>
        <v/>
      </c>
      <c r="AK74" s="225" t="str">
        <f>IF(AJ74="","",AJ74+AK73+'OS Offset'!I74)</f>
        <v/>
      </c>
      <c r="AL74" s="226">
        <f t="shared" si="9"/>
        <v>0</v>
      </c>
    </row>
    <row r="75" spans="1:38" ht="34.15" customHeight="1" x14ac:dyDescent="0.35">
      <c r="A75" s="229"/>
      <c r="B75" s="228"/>
      <c r="C75" s="229"/>
      <c r="D75" s="230"/>
      <c r="E75" s="230"/>
      <c r="F75" s="230"/>
      <c r="G75" s="231"/>
      <c r="H75" s="232"/>
      <c r="I75" s="222"/>
      <c r="J75" s="222"/>
      <c r="K75" s="222"/>
      <c r="L75" s="222"/>
      <c r="M75" s="222"/>
      <c r="N75" s="222"/>
      <c r="O75" s="222"/>
      <c r="P75" s="223"/>
      <c r="Q75" s="241" t="str">
        <f t="shared" si="6"/>
        <v/>
      </c>
      <c r="R75" s="225" t="str">
        <f>IF(Q75="","",Q75+R74+'OS Offset'!B75)</f>
        <v/>
      </c>
      <c r="S75" s="226">
        <f t="shared" si="7"/>
        <v>0</v>
      </c>
      <c r="T75" s="227"/>
      <c r="U75" s="228"/>
      <c r="V75" s="229"/>
      <c r="W75" s="230"/>
      <c r="X75" s="230"/>
      <c r="Y75" s="230"/>
      <c r="Z75" s="231"/>
      <c r="AA75" s="232"/>
      <c r="AB75" s="222"/>
      <c r="AC75" s="222"/>
      <c r="AD75" s="222"/>
      <c r="AE75" s="222"/>
      <c r="AF75" s="222"/>
      <c r="AG75" s="222"/>
      <c r="AH75" s="222"/>
      <c r="AI75" s="223"/>
      <c r="AJ75" s="224" t="str">
        <f t="shared" si="8"/>
        <v/>
      </c>
      <c r="AK75" s="225" t="str">
        <f>IF(AJ75="","",AJ75+AK74+'OS Offset'!I75)</f>
        <v/>
      </c>
      <c r="AL75" s="226">
        <f t="shared" si="9"/>
        <v>0</v>
      </c>
    </row>
    <row r="76" spans="1:38" ht="34.15" customHeight="1" x14ac:dyDescent="0.35">
      <c r="A76" s="243"/>
      <c r="B76" s="240"/>
      <c r="C76" s="232"/>
      <c r="D76" s="222"/>
      <c r="E76" s="222"/>
      <c r="F76" s="222"/>
      <c r="G76" s="237"/>
      <c r="H76" s="238"/>
      <c r="I76" s="233"/>
      <c r="J76" s="233"/>
      <c r="K76" s="233"/>
      <c r="L76" s="233"/>
      <c r="M76" s="233"/>
      <c r="N76" s="233"/>
      <c r="O76" s="233"/>
      <c r="P76" s="234"/>
      <c r="Q76" s="242" t="str">
        <f t="shared" si="6"/>
        <v/>
      </c>
      <c r="R76" s="225" t="str">
        <f>IF(Q76="","",Q76+R75+'OS Offset'!B76)</f>
        <v/>
      </c>
      <c r="S76" s="226">
        <f t="shared" si="7"/>
        <v>0</v>
      </c>
      <c r="T76" s="239"/>
      <c r="U76" s="240"/>
      <c r="V76" s="232"/>
      <c r="W76" s="222"/>
      <c r="X76" s="222"/>
      <c r="Y76" s="222"/>
      <c r="Z76" s="237"/>
      <c r="AA76" s="238"/>
      <c r="AB76" s="233"/>
      <c r="AC76" s="233"/>
      <c r="AD76" s="233"/>
      <c r="AE76" s="233"/>
      <c r="AF76" s="233"/>
      <c r="AG76" s="233"/>
      <c r="AH76" s="233"/>
      <c r="AI76" s="234"/>
      <c r="AJ76" s="235" t="str">
        <f t="shared" si="8"/>
        <v/>
      </c>
      <c r="AK76" s="225" t="str">
        <f>IF(AJ76="","",AJ76+AK75+'OS Offset'!I76)</f>
        <v/>
      </c>
      <c r="AL76" s="226">
        <f t="shared" si="9"/>
        <v>0</v>
      </c>
    </row>
    <row r="77" spans="1:38" ht="34.15" customHeight="1" x14ac:dyDescent="0.35">
      <c r="A77" s="229"/>
      <c r="B77" s="228"/>
      <c r="C77" s="229"/>
      <c r="D77" s="230"/>
      <c r="E77" s="230"/>
      <c r="F77" s="230"/>
      <c r="G77" s="231"/>
      <c r="H77" s="232"/>
      <c r="I77" s="222"/>
      <c r="J77" s="222"/>
      <c r="K77" s="222"/>
      <c r="L77" s="222"/>
      <c r="M77" s="222"/>
      <c r="N77" s="222"/>
      <c r="O77" s="222"/>
      <c r="P77" s="223"/>
      <c r="Q77" s="241" t="str">
        <f t="shared" si="6"/>
        <v/>
      </c>
      <c r="R77" s="225" t="str">
        <f>IF(Q77="","",Q77+R76+'OS Offset'!B77)</f>
        <v/>
      </c>
      <c r="S77" s="226">
        <f t="shared" si="7"/>
        <v>0</v>
      </c>
      <c r="T77" s="227"/>
      <c r="U77" s="228"/>
      <c r="V77" s="229"/>
      <c r="W77" s="230"/>
      <c r="X77" s="230"/>
      <c r="Y77" s="230"/>
      <c r="Z77" s="231"/>
      <c r="AA77" s="232"/>
      <c r="AB77" s="222"/>
      <c r="AC77" s="222"/>
      <c r="AD77" s="222"/>
      <c r="AE77" s="222"/>
      <c r="AF77" s="222"/>
      <c r="AG77" s="222"/>
      <c r="AH77" s="222"/>
      <c r="AI77" s="223"/>
      <c r="AJ77" s="224" t="str">
        <f t="shared" si="8"/>
        <v/>
      </c>
      <c r="AK77" s="225" t="str">
        <f>IF(AJ77="","",AJ77+AK76+'OS Offset'!I77)</f>
        <v/>
      </c>
      <c r="AL77" s="226">
        <f t="shared" si="9"/>
        <v>0</v>
      </c>
    </row>
    <row r="78" spans="1:38" ht="34.15" customHeight="1" x14ac:dyDescent="0.35">
      <c r="A78" s="243"/>
      <c r="B78" s="240"/>
      <c r="C78" s="232"/>
      <c r="D78" s="222"/>
      <c r="E78" s="222"/>
      <c r="F78" s="222"/>
      <c r="G78" s="237"/>
      <c r="H78" s="238"/>
      <c r="I78" s="233"/>
      <c r="J78" s="233"/>
      <c r="K78" s="233"/>
      <c r="L78" s="233"/>
      <c r="M78" s="233"/>
      <c r="N78" s="233"/>
      <c r="O78" s="233"/>
      <c r="P78" s="234"/>
      <c r="Q78" s="242" t="str">
        <f t="shared" si="6"/>
        <v/>
      </c>
      <c r="R78" s="225" t="str">
        <f>IF(Q78="","",Q78+R77+'OS Offset'!B78)</f>
        <v/>
      </c>
      <c r="S78" s="226">
        <f t="shared" si="7"/>
        <v>0</v>
      </c>
      <c r="T78" s="239"/>
      <c r="U78" s="240"/>
      <c r="V78" s="232"/>
      <c r="W78" s="222"/>
      <c r="X78" s="222"/>
      <c r="Y78" s="222"/>
      <c r="Z78" s="237"/>
      <c r="AA78" s="238"/>
      <c r="AB78" s="233"/>
      <c r="AC78" s="233"/>
      <c r="AD78" s="233"/>
      <c r="AE78" s="233"/>
      <c r="AF78" s="233"/>
      <c r="AG78" s="233"/>
      <c r="AH78" s="233"/>
      <c r="AI78" s="234"/>
      <c r="AJ78" s="235" t="str">
        <f t="shared" si="8"/>
        <v/>
      </c>
      <c r="AK78" s="225" t="str">
        <f>IF(AJ78="","",AJ78+AK77+'OS Offset'!I78)</f>
        <v/>
      </c>
      <c r="AL78" s="226">
        <f t="shared" si="9"/>
        <v>0</v>
      </c>
    </row>
    <row r="79" spans="1:38" ht="34.15" customHeight="1" x14ac:dyDescent="0.35">
      <c r="A79" s="229"/>
      <c r="B79" s="228"/>
      <c r="C79" s="229"/>
      <c r="D79" s="230"/>
      <c r="E79" s="230"/>
      <c r="F79" s="230"/>
      <c r="G79" s="231"/>
      <c r="H79" s="232"/>
      <c r="I79" s="222"/>
      <c r="J79" s="222"/>
      <c r="K79" s="222"/>
      <c r="L79" s="222"/>
      <c r="M79" s="222"/>
      <c r="N79" s="222"/>
      <c r="O79" s="222"/>
      <c r="P79" s="223"/>
      <c r="Q79" s="241" t="str">
        <f t="shared" si="6"/>
        <v/>
      </c>
      <c r="R79" s="225" t="str">
        <f>IF(Q79="","",Q79+R78+'OS Offset'!B79)</f>
        <v/>
      </c>
      <c r="S79" s="226">
        <f t="shared" si="7"/>
        <v>0</v>
      </c>
      <c r="T79" s="227"/>
      <c r="U79" s="228"/>
      <c r="V79" s="229"/>
      <c r="W79" s="230"/>
      <c r="X79" s="230"/>
      <c r="Y79" s="230"/>
      <c r="Z79" s="231"/>
      <c r="AA79" s="232"/>
      <c r="AB79" s="222"/>
      <c r="AC79" s="222"/>
      <c r="AD79" s="222"/>
      <c r="AE79" s="222"/>
      <c r="AF79" s="222"/>
      <c r="AG79" s="222"/>
      <c r="AH79" s="222"/>
      <c r="AI79" s="223"/>
      <c r="AJ79" s="224" t="str">
        <f t="shared" si="8"/>
        <v/>
      </c>
      <c r="AK79" s="225" t="str">
        <f>IF(AJ79="","",AJ79+AK78+'OS Offset'!I79)</f>
        <v/>
      </c>
      <c r="AL79" s="226">
        <f t="shared" si="9"/>
        <v>0</v>
      </c>
    </row>
    <row r="80" spans="1:38" ht="34.15" customHeight="1" x14ac:dyDescent="0.35">
      <c r="A80" s="243"/>
      <c r="B80" s="240"/>
      <c r="C80" s="232"/>
      <c r="D80" s="222"/>
      <c r="E80" s="222"/>
      <c r="F80" s="222"/>
      <c r="G80" s="237"/>
      <c r="H80" s="238"/>
      <c r="I80" s="233"/>
      <c r="J80" s="233"/>
      <c r="K80" s="233"/>
      <c r="L80" s="233"/>
      <c r="M80" s="233"/>
      <c r="N80" s="233"/>
      <c r="O80" s="233"/>
      <c r="P80" s="234"/>
      <c r="Q80" s="242" t="str">
        <f t="shared" si="6"/>
        <v/>
      </c>
      <c r="R80" s="225" t="str">
        <f>IF(Q80="","",Q80+R79+'OS Offset'!B80)</f>
        <v/>
      </c>
      <c r="S80" s="226">
        <f t="shared" si="7"/>
        <v>0</v>
      </c>
      <c r="T80" s="239"/>
      <c r="U80" s="240"/>
      <c r="V80" s="232"/>
      <c r="W80" s="222"/>
      <c r="X80" s="222"/>
      <c r="Y80" s="222"/>
      <c r="Z80" s="237"/>
      <c r="AA80" s="238"/>
      <c r="AB80" s="233"/>
      <c r="AC80" s="233"/>
      <c r="AD80" s="233"/>
      <c r="AE80" s="233"/>
      <c r="AF80" s="233"/>
      <c r="AG80" s="233"/>
      <c r="AH80" s="233"/>
      <c r="AI80" s="234"/>
      <c r="AJ80" s="235" t="str">
        <f t="shared" si="8"/>
        <v/>
      </c>
      <c r="AK80" s="225" t="str">
        <f>IF(AJ80="","",AJ80+AK79+'OS Offset'!I80)</f>
        <v/>
      </c>
      <c r="AL80" s="226">
        <f t="shared" si="9"/>
        <v>0</v>
      </c>
    </row>
    <row r="81" spans="1:38" ht="34.15" customHeight="1" x14ac:dyDescent="0.35">
      <c r="A81" s="229"/>
      <c r="B81" s="228"/>
      <c r="C81" s="229"/>
      <c r="D81" s="230"/>
      <c r="E81" s="230"/>
      <c r="F81" s="230"/>
      <c r="G81" s="231"/>
      <c r="H81" s="232"/>
      <c r="I81" s="222"/>
      <c r="J81" s="222"/>
      <c r="K81" s="222"/>
      <c r="L81" s="222"/>
      <c r="M81" s="222"/>
      <c r="N81" s="222"/>
      <c r="O81" s="222"/>
      <c r="P81" s="223"/>
      <c r="Q81" s="241" t="str">
        <f t="shared" si="6"/>
        <v/>
      </c>
      <c r="R81" s="225" t="str">
        <f>IF(Q81="","",Q81+R80+'OS Offset'!B81)</f>
        <v/>
      </c>
      <c r="S81" s="226">
        <f t="shared" si="7"/>
        <v>0</v>
      </c>
      <c r="T81" s="227"/>
      <c r="U81" s="228"/>
      <c r="V81" s="229"/>
      <c r="W81" s="230"/>
      <c r="X81" s="230"/>
      <c r="Y81" s="230"/>
      <c r="Z81" s="231"/>
      <c r="AA81" s="232"/>
      <c r="AB81" s="222"/>
      <c r="AC81" s="222"/>
      <c r="AD81" s="222"/>
      <c r="AE81" s="222"/>
      <c r="AF81" s="222"/>
      <c r="AG81" s="222"/>
      <c r="AH81" s="222"/>
      <c r="AI81" s="223"/>
      <c r="AJ81" s="224" t="str">
        <f t="shared" si="8"/>
        <v/>
      </c>
      <c r="AK81" s="225" t="str">
        <f>IF(AJ81="","",AJ81+AK80+'OS Offset'!I81)</f>
        <v/>
      </c>
      <c r="AL81" s="226">
        <f t="shared" si="9"/>
        <v>0</v>
      </c>
    </row>
    <row r="82" spans="1:38" ht="34.15" customHeight="1" x14ac:dyDescent="0.35">
      <c r="A82" s="243"/>
      <c r="B82" s="240"/>
      <c r="C82" s="232"/>
      <c r="D82" s="222"/>
      <c r="E82" s="222"/>
      <c r="F82" s="222"/>
      <c r="G82" s="237"/>
      <c r="H82" s="238"/>
      <c r="I82" s="233"/>
      <c r="J82" s="233"/>
      <c r="K82" s="233"/>
      <c r="L82" s="233"/>
      <c r="M82" s="233"/>
      <c r="N82" s="233"/>
      <c r="O82" s="233"/>
      <c r="P82" s="234"/>
      <c r="Q82" s="242" t="str">
        <f t="shared" si="6"/>
        <v/>
      </c>
      <c r="R82" s="225" t="str">
        <f>IF(Q82="","",Q82+R81+'OS Offset'!B82)</f>
        <v/>
      </c>
      <c r="S82" s="226">
        <f t="shared" si="7"/>
        <v>0</v>
      </c>
      <c r="T82" s="239"/>
      <c r="U82" s="240"/>
      <c r="V82" s="232"/>
      <c r="W82" s="222"/>
      <c r="X82" s="222"/>
      <c r="Y82" s="222"/>
      <c r="Z82" s="237"/>
      <c r="AA82" s="238"/>
      <c r="AB82" s="233"/>
      <c r="AC82" s="233"/>
      <c r="AD82" s="233"/>
      <c r="AE82" s="233"/>
      <c r="AF82" s="233"/>
      <c r="AG82" s="233"/>
      <c r="AH82" s="233"/>
      <c r="AI82" s="234"/>
      <c r="AJ82" s="235" t="str">
        <f t="shared" si="8"/>
        <v/>
      </c>
      <c r="AK82" s="225" t="str">
        <f>IF(AJ82="","",AJ82+AK81+'OS Offset'!I82)</f>
        <v/>
      </c>
      <c r="AL82" s="226">
        <f t="shared" si="9"/>
        <v>0</v>
      </c>
    </row>
    <row r="83" spans="1:38" ht="34.15" customHeight="1" thickBot="1" x14ac:dyDescent="0.4">
      <c r="A83" s="229"/>
      <c r="B83" s="228"/>
      <c r="C83" s="286"/>
      <c r="D83" s="290"/>
      <c r="E83" s="290"/>
      <c r="F83" s="290"/>
      <c r="G83" s="291"/>
      <c r="H83" s="232"/>
      <c r="I83" s="222"/>
      <c r="J83" s="222"/>
      <c r="K83" s="222"/>
      <c r="L83" s="222"/>
      <c r="M83" s="222"/>
      <c r="N83" s="222"/>
      <c r="O83" s="222"/>
      <c r="P83" s="223"/>
      <c r="Q83" s="241" t="str">
        <f t="shared" si="6"/>
        <v/>
      </c>
      <c r="R83" s="225" t="str">
        <f>IF(Q83="","",Q83+R82+'OS Offset'!B83)</f>
        <v/>
      </c>
      <c r="S83" s="226">
        <f t="shared" si="7"/>
        <v>0</v>
      </c>
      <c r="T83" s="293"/>
      <c r="U83" s="289"/>
      <c r="V83" s="286"/>
      <c r="W83" s="290"/>
      <c r="X83" s="290"/>
      <c r="Y83" s="290"/>
      <c r="Z83" s="291"/>
      <c r="AA83" s="287"/>
      <c r="AB83" s="285"/>
      <c r="AC83" s="285"/>
      <c r="AD83" s="285"/>
      <c r="AE83" s="285"/>
      <c r="AF83" s="285"/>
      <c r="AG83" s="285"/>
      <c r="AH83" s="285"/>
      <c r="AI83" s="294"/>
      <c r="AJ83" s="288" t="str">
        <f t="shared" si="8"/>
        <v/>
      </c>
      <c r="AK83" s="292" t="str">
        <f>IF(AJ83="","",AJ83+AK82+'OS Offset'!I83)</f>
        <v/>
      </c>
      <c r="AL83" s="226">
        <f t="shared" si="9"/>
        <v>0</v>
      </c>
    </row>
    <row r="84" spans="1:38" ht="31.9" customHeight="1" thickBot="1" x14ac:dyDescent="0.4">
      <c r="A84" s="349" t="str">
        <f>IF(COUNT(A46:A83),COUNT(A46:A83),"")</f>
        <v/>
      </c>
      <c r="B84" s="272" t="s">
        <v>110</v>
      </c>
      <c r="C84" s="344" t="str">
        <f>IF($A$84="","",COUNTIF(C$46:C$83, "X"))</f>
        <v/>
      </c>
      <c r="D84" s="345" t="str">
        <f>IF($A$84="","",COUNTIF(D$46:D$83, "X"))</f>
        <v/>
      </c>
      <c r="E84" s="345" t="str">
        <f>IF($A$84="","",COUNTIF(E$46:E$83, "X"))</f>
        <v/>
      </c>
      <c r="F84" s="345" t="str">
        <f>IF($A$84="","",COUNTIF(F$46:F$83, "X"))</f>
        <v/>
      </c>
      <c r="G84" s="346" t="str">
        <f>IF($A$84="","",COUNTIF(G$46:G$83, "X"))</f>
        <v/>
      </c>
      <c r="H84" s="271" t="str">
        <f t="shared" ref="H84:Q84" si="10">IF(COUNT(H46:H83),SUM(H46:H83),"")</f>
        <v/>
      </c>
      <c r="I84" s="268" t="str">
        <f t="shared" si="10"/>
        <v/>
      </c>
      <c r="J84" s="268" t="str">
        <f t="shared" si="10"/>
        <v/>
      </c>
      <c r="K84" s="268" t="str">
        <f t="shared" si="10"/>
        <v/>
      </c>
      <c r="L84" s="268" t="str">
        <f t="shared" si="10"/>
        <v/>
      </c>
      <c r="M84" s="268" t="str">
        <f t="shared" si="10"/>
        <v/>
      </c>
      <c r="N84" s="268" t="str">
        <f t="shared" si="10"/>
        <v/>
      </c>
      <c r="O84" s="268" t="str">
        <f t="shared" si="10"/>
        <v/>
      </c>
      <c r="P84" s="269" t="str">
        <f t="shared" si="10"/>
        <v/>
      </c>
      <c r="Q84" s="275" t="str">
        <f t="shared" si="10"/>
        <v/>
      </c>
      <c r="R84" s="276" t="str">
        <f>IF(A84="","",MAX(R46:R83))</f>
        <v/>
      </c>
      <c r="S84" s="273"/>
      <c r="T84" s="362" t="str">
        <f>IF(COUNT(T46:T83),COUNT(T46:T83),"")</f>
        <v/>
      </c>
      <c r="U84" s="363" t="s">
        <v>110</v>
      </c>
      <c r="V84" s="350" t="str">
        <f>IF($T$84="","",COUNTIF(V$46:V$83, "X"))</f>
        <v/>
      </c>
      <c r="W84" s="345" t="str">
        <f>IF($T$84="","",COUNTIF(W$46:W$83, "X"))</f>
        <v/>
      </c>
      <c r="X84" s="345" t="str">
        <f>IF($T$84="","",COUNTIF(X$46:X$83, "X"))</f>
        <v/>
      </c>
      <c r="Y84" s="345" t="str">
        <f>IF($T$84="","",COUNTIF(Y$46:Y$83, "X"))</f>
        <v/>
      </c>
      <c r="Z84" s="345" t="str">
        <f>IF($T$84="","",COUNTIF(Z$46:Z$83, "X"))</f>
        <v/>
      </c>
      <c r="AA84" s="358" t="str">
        <f t="shared" ref="AA84:AJ84" si="11">IF(COUNT(AA46:AA83),SUM(AA46:AA83),"")</f>
        <v/>
      </c>
      <c r="AB84" s="352" t="str">
        <f t="shared" si="11"/>
        <v/>
      </c>
      <c r="AC84" s="352" t="str">
        <f t="shared" si="11"/>
        <v/>
      </c>
      <c r="AD84" s="352" t="str">
        <f t="shared" si="11"/>
        <v/>
      </c>
      <c r="AE84" s="352" t="str">
        <f t="shared" si="11"/>
        <v/>
      </c>
      <c r="AF84" s="352" t="str">
        <f t="shared" si="11"/>
        <v/>
      </c>
      <c r="AG84" s="352" t="str">
        <f t="shared" si="11"/>
        <v/>
      </c>
      <c r="AH84" s="352" t="str">
        <f t="shared" si="11"/>
        <v/>
      </c>
      <c r="AI84" s="364" t="str">
        <f t="shared" si="11"/>
        <v/>
      </c>
      <c r="AJ84" s="365" t="str">
        <f t="shared" si="11"/>
        <v/>
      </c>
      <c r="AK84" s="356" t="str">
        <f>IF(T84="","",MAX(AK46:AK83))</f>
        <v/>
      </c>
      <c r="AL84" s="270"/>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7" type="noConversion"/>
  <printOptions horizontalCentered="1"/>
  <pageMargins left="0.75" right="0.75" top="0.74" bottom="0.4" header="0.41" footer="0.3"/>
  <pageSetup scale="48" firstPageNumber="0" fitToWidth="0" fitToHeight="0" orientation="portrait" horizontalDpi="4294967294" verticalDpi="4294967294" r:id="rId1"/>
  <headerFooter alignWithMargins="0">
    <oddHeader><![CDATA[&L&"Calibri,Regular"&34&K000000&G&A&R&"Calibri,Regular"&K000000
‘&A’ revision 2404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zoomScaleNormal="100" zoomScaleSheetLayoutView="75" zoomScalePageLayoutView="6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30" customHeight="1" x14ac:dyDescent="0.35">
      <c r="A1" s="1137" t="str">
        <f>Score!$A$1</f>
        <v>Home Team</v>
      </c>
      <c r="B1" s="1137"/>
      <c r="C1" s="1137"/>
      <c r="D1" s="1137"/>
      <c r="E1" s="1137"/>
      <c r="F1" s="1137"/>
      <c r="G1" s="1137"/>
      <c r="H1" s="1137"/>
      <c r="I1" s="1138" t="str">
        <f>IF(ISBLANK(IGRF!$B$12), "", IGRF!$B$12)</f>
        <v/>
      </c>
      <c r="J1" s="1138"/>
      <c r="K1" s="1138"/>
      <c r="L1" s="1139" t="str">
        <f>IF(ISBLANK(IGRF!$B$7), "", IGRF!$B$7)</f>
        <v/>
      </c>
      <c r="M1" s="1139"/>
      <c r="N1" s="1140" t="s">
        <v>612</v>
      </c>
      <c r="O1" s="1140"/>
      <c r="P1" s="1140"/>
      <c r="Q1" s="1137" t="str">
        <f>Score!$T$1</f>
        <v>Away Team</v>
      </c>
      <c r="R1" s="1137"/>
      <c r="S1" s="1137"/>
      <c r="T1" s="1137"/>
      <c r="U1" s="1137"/>
      <c r="V1" s="1137"/>
      <c r="W1" s="1137"/>
      <c r="X1" s="1137"/>
      <c r="Y1" s="1137"/>
      <c r="Z1" s="1138" t="str">
        <f>IF(ISBLANK(IGRF!$I$12), "", IGRF!$I$12)</f>
        <v/>
      </c>
      <c r="AA1" s="1138"/>
      <c r="AB1" s="368">
        <v>1</v>
      </c>
      <c r="AC1" s="1137" t="str">
        <f>A1</f>
        <v>Home Team</v>
      </c>
      <c r="AD1" s="1137"/>
      <c r="AE1" s="1137"/>
      <c r="AF1" s="1137"/>
      <c r="AG1" s="1137"/>
      <c r="AH1" s="1137"/>
      <c r="AI1" s="1137"/>
      <c r="AJ1" s="1137"/>
      <c r="AK1" s="1138" t="str">
        <f>I1</f>
        <v/>
      </c>
      <c r="AL1" s="1138"/>
      <c r="AM1" s="1138"/>
      <c r="AN1" s="1139" t="str">
        <f>L1</f>
        <v/>
      </c>
      <c r="AO1" s="1139"/>
      <c r="AP1" s="1140" t="s">
        <v>612</v>
      </c>
      <c r="AQ1" s="1140"/>
      <c r="AR1" s="1140"/>
      <c r="AS1" s="1137" t="str">
        <f>Q1</f>
        <v>Away Team</v>
      </c>
      <c r="AT1" s="1137"/>
      <c r="AU1" s="1137"/>
      <c r="AV1" s="1137"/>
      <c r="AW1" s="1137"/>
      <c r="AX1" s="1137"/>
      <c r="AY1" s="1137"/>
      <c r="AZ1" s="1137"/>
      <c r="BA1" s="1137"/>
      <c r="BB1" s="1138" t="str">
        <f>Z1</f>
        <v/>
      </c>
      <c r="BC1" s="1138"/>
      <c r="BD1" s="368">
        <v>2</v>
      </c>
    </row>
    <row r="2" spans="1:56" ht="15" customHeight="1" thickBot="1" x14ac:dyDescent="0.25">
      <c r="A2" s="1137"/>
      <c r="B2" s="1137"/>
      <c r="C2" s="1137"/>
      <c r="D2" s="1137"/>
      <c r="E2" s="1137"/>
      <c r="F2" s="1137"/>
      <c r="G2" s="1137"/>
      <c r="H2" s="1137"/>
      <c r="I2" s="1141" t="s">
        <v>187</v>
      </c>
      <c r="J2" s="1141"/>
      <c r="K2" s="1141"/>
      <c r="L2" s="1142" t="s">
        <v>190</v>
      </c>
      <c r="M2" s="1142"/>
      <c r="N2" s="1143" t="s">
        <v>181</v>
      </c>
      <c r="O2" s="1143"/>
      <c r="P2" s="1143"/>
      <c r="Q2" s="1137"/>
      <c r="R2" s="1137"/>
      <c r="S2" s="1137"/>
      <c r="T2" s="1137"/>
      <c r="U2" s="1137"/>
      <c r="V2" s="1137"/>
      <c r="W2" s="1137"/>
      <c r="X2" s="1137"/>
      <c r="Y2" s="1137"/>
      <c r="Z2" s="1144" t="s">
        <v>187</v>
      </c>
      <c r="AA2" s="1144"/>
      <c r="AB2" s="369" t="str">
        <f>IF(ISBLANK(IGRF!$L$3), "", "GAME " &amp; IGRF!$L$3)</f>
        <v/>
      </c>
      <c r="AC2" s="1137"/>
      <c r="AD2" s="1137"/>
      <c r="AE2" s="1137"/>
      <c r="AF2" s="1137"/>
      <c r="AG2" s="1137"/>
      <c r="AH2" s="1137"/>
      <c r="AI2" s="1137"/>
      <c r="AJ2" s="1137"/>
      <c r="AK2" s="1141" t="s">
        <v>187</v>
      </c>
      <c r="AL2" s="1141"/>
      <c r="AM2" s="1141"/>
      <c r="AN2" s="1142" t="s">
        <v>190</v>
      </c>
      <c r="AO2" s="1142"/>
      <c r="AP2" s="1143" t="s">
        <v>181</v>
      </c>
      <c r="AQ2" s="1143"/>
      <c r="AR2" s="1143"/>
      <c r="AS2" s="1137"/>
      <c r="AT2" s="1137"/>
      <c r="AU2" s="1137"/>
      <c r="AV2" s="1137"/>
      <c r="AW2" s="1137"/>
      <c r="AX2" s="1137"/>
      <c r="AY2" s="1137"/>
      <c r="AZ2" s="1137"/>
      <c r="BA2" s="1137"/>
      <c r="BB2" s="1144" t="s">
        <v>187</v>
      </c>
      <c r="BC2" s="1144"/>
      <c r="BD2" s="369" t="str">
        <f>AB2</f>
        <v/>
      </c>
    </row>
    <row r="3" spans="1:56" s="14" customFormat="1" ht="15" customHeight="1" thickBot="1" x14ac:dyDescent="0.25">
      <c r="A3" s="768" t="s">
        <v>111</v>
      </c>
      <c r="B3" s="1160" t="s">
        <v>278</v>
      </c>
      <c r="C3" s="1160"/>
      <c r="D3" s="1160"/>
      <c r="E3" s="1160"/>
      <c r="F3" s="1160"/>
      <c r="G3" s="1160"/>
      <c r="H3" s="1160"/>
      <c r="I3" s="1160"/>
      <c r="J3" s="1160"/>
      <c r="K3" s="769" t="s">
        <v>112</v>
      </c>
      <c r="L3" s="770" t="s">
        <v>74</v>
      </c>
      <c r="M3" s="1160" t="s">
        <v>179</v>
      </c>
      <c r="N3" s="1160"/>
      <c r="O3" s="1160"/>
      <c r="P3" s="770" t="s">
        <v>111</v>
      </c>
      <c r="Q3" s="1160" t="s">
        <v>278</v>
      </c>
      <c r="R3" s="1160"/>
      <c r="S3" s="1160"/>
      <c r="T3" s="1160"/>
      <c r="U3" s="1160"/>
      <c r="V3" s="1160"/>
      <c r="W3" s="1160"/>
      <c r="X3" s="1160"/>
      <c r="Y3" s="1160"/>
      <c r="Z3" s="769" t="s">
        <v>112</v>
      </c>
      <c r="AA3" s="771" t="s">
        <v>74</v>
      </c>
      <c r="AB3" s="13" t="s">
        <v>175</v>
      </c>
      <c r="AC3" s="367" t="s">
        <v>111</v>
      </c>
      <c r="AD3" s="1159" t="s">
        <v>278</v>
      </c>
      <c r="AE3" s="1159"/>
      <c r="AF3" s="1159"/>
      <c r="AG3" s="1159"/>
      <c r="AH3" s="1159"/>
      <c r="AI3" s="1159"/>
      <c r="AJ3" s="1159"/>
      <c r="AK3" s="1159"/>
      <c r="AL3" s="1159"/>
      <c r="AM3" s="215" t="s">
        <v>112</v>
      </c>
      <c r="AN3" s="366" t="s">
        <v>74</v>
      </c>
      <c r="AO3" s="1159" t="s">
        <v>179</v>
      </c>
      <c r="AP3" s="1159"/>
      <c r="AQ3" s="1159"/>
      <c r="AR3" s="366" t="s">
        <v>111</v>
      </c>
      <c r="AS3" s="1159" t="s">
        <v>278</v>
      </c>
      <c r="AT3" s="1159"/>
      <c r="AU3" s="1159"/>
      <c r="AV3" s="1159"/>
      <c r="AW3" s="1159"/>
      <c r="AX3" s="1159"/>
      <c r="AY3" s="1159"/>
      <c r="AZ3" s="1159"/>
      <c r="BA3" s="1159"/>
      <c r="BB3" s="215" t="s">
        <v>112</v>
      </c>
      <c r="BC3" s="366" t="s">
        <v>74</v>
      </c>
      <c r="BD3" s="13" t="s">
        <v>175</v>
      </c>
    </row>
    <row r="4" spans="1:56" ht="19.149999999999999" customHeight="1" thickBot="1" x14ac:dyDescent="0.25">
      <c r="A4" s="1148" t="str">
        <f>IF(IGRF!B14="","",IGRF!B14)</f>
        <v/>
      </c>
      <c r="B4" s="191" t="s">
        <v>121</v>
      </c>
      <c r="C4" s="192" t="s">
        <v>619</v>
      </c>
      <c r="D4" s="192"/>
      <c r="E4" s="192"/>
      <c r="F4" s="192"/>
      <c r="G4" s="370"/>
      <c r="H4" s="371"/>
      <c r="I4" s="372"/>
      <c r="J4" s="193"/>
      <c r="K4" s="766"/>
      <c r="L4" s="1150" t="str">
        <f>IF(COUNTA(B4:J4)=0,"",COUNTA(B4:J4))</f>
        <v/>
      </c>
      <c r="M4" s="1152">
        <v>1</v>
      </c>
      <c r="N4" s="1153"/>
      <c r="O4" s="1154"/>
      <c r="P4" s="1148" t="str">
        <f>IF(IGRF!I14="","",IGRF!I14)</f>
        <v/>
      </c>
      <c r="Q4" s="191" t="s">
        <v>119</v>
      </c>
      <c r="R4" s="192" t="s">
        <v>119</v>
      </c>
      <c r="S4" s="192" t="s">
        <v>126</v>
      </c>
      <c r="T4" s="192"/>
      <c r="U4" s="192"/>
      <c r="V4" s="370"/>
      <c r="W4" s="371"/>
      <c r="X4" s="372"/>
      <c r="Y4" s="193"/>
      <c r="Z4" s="766"/>
      <c r="AA4" s="1155" t="str">
        <f>IF(COUNTA(Q4:Y4)=0,"",COUNTA(Q4:Y4))</f>
        <v/>
      </c>
      <c r="AB4" s="616" t="s">
        <v>130</v>
      </c>
      <c r="AC4" s="1157" t="str">
        <f>IF(IGRF!B14="","",IGRF!B14)</f>
        <v/>
      </c>
      <c r="AD4" s="761"/>
      <c r="AE4" s="192"/>
      <c r="AF4" s="192" t="s">
        <v>116</v>
      </c>
      <c r="AG4" s="192" t="s">
        <v>130</v>
      </c>
      <c r="AH4" s="192" t="s">
        <v>115</v>
      </c>
      <c r="AI4" s="370" t="s">
        <v>115</v>
      </c>
      <c r="AJ4" s="371" t="s">
        <v>619</v>
      </c>
      <c r="AK4" s="372"/>
      <c r="AL4" s="193"/>
      <c r="AM4" s="766" t="s">
        <v>282</v>
      </c>
      <c r="AN4" s="1150" t="str">
        <f>IF(COUNTA(AD4:AL4)=0,"",COUNTA(AD4:AL4))</f>
        <v/>
      </c>
      <c r="AO4" s="1152">
        <v>1</v>
      </c>
      <c r="AP4" s="1153"/>
      <c r="AQ4" s="1154"/>
      <c r="AR4" s="1168" t="str">
        <f>IF(IGRF!I14="","",IGRF!I14)</f>
        <v/>
      </c>
      <c r="AS4" s="191"/>
      <c r="AT4" s="192"/>
      <c r="AU4" s="192"/>
      <c r="AV4" s="192" t="s">
        <v>119</v>
      </c>
      <c r="AW4" s="192" t="s">
        <v>119</v>
      </c>
      <c r="AX4" s="370" t="s">
        <v>126</v>
      </c>
      <c r="AY4" s="371"/>
      <c r="AZ4" s="372"/>
      <c r="BA4" s="193"/>
      <c r="BB4" s="766"/>
      <c r="BC4" s="1150" t="str">
        <f>IF(COUNTA(AS4:BA4)=0,"",COUNTA(AS4:BA4))</f>
        <v/>
      </c>
      <c r="BD4" s="616" t="s">
        <v>130</v>
      </c>
    </row>
    <row r="5" spans="1:56" ht="19.149999999999999" customHeight="1" thickBot="1" x14ac:dyDescent="0.25">
      <c r="A5" s="1149"/>
      <c r="B5" s="194" t="n">
        <v>9.0</v>
      </c>
      <c r="C5" s="195" t="n">
        <v>18.0</v>
      </c>
      <c r="D5" s="195"/>
      <c r="E5" s="195"/>
      <c r="F5" s="195"/>
      <c r="G5" s="373"/>
      <c r="H5" s="374"/>
      <c r="I5" s="375"/>
      <c r="J5" s="196"/>
      <c r="K5" s="767"/>
      <c r="L5" s="1151"/>
      <c r="M5" s="1145">
        <v>2</v>
      </c>
      <c r="N5" s="1146"/>
      <c r="O5" s="1147"/>
      <c r="P5" s="1149"/>
      <c r="Q5" s="194" t="n">
        <v>10.0</v>
      </c>
      <c r="R5" s="195" t="n">
        <v>10.0</v>
      </c>
      <c r="S5" s="195" t="n">
        <v>15.0</v>
      </c>
      <c r="T5" s="195"/>
      <c r="U5" s="195"/>
      <c r="V5" s="373"/>
      <c r="W5" s="374"/>
      <c r="X5" s="375"/>
      <c r="Y5" s="196"/>
      <c r="Z5" s="767"/>
      <c r="AA5" s="1156"/>
      <c r="AB5" s="745" t="s">
        <v>131</v>
      </c>
      <c r="AC5" s="1158"/>
      <c r="AD5" s="762"/>
      <c r="AE5" s="195"/>
      <c r="AF5" s="195" t="n">
        <v>1.0</v>
      </c>
      <c r="AG5" s="195" t="n">
        <v>4.0</v>
      </c>
      <c r="AH5" s="195" t="n">
        <v>4.0</v>
      </c>
      <c r="AI5" s="373" t="n">
        <v>10.0</v>
      </c>
      <c r="AJ5" s="374" t="n">
        <v>22.0</v>
      </c>
      <c r="AK5" s="375"/>
      <c r="AL5" s="196"/>
      <c r="AM5" s="767" t="n">
        <v>22.0</v>
      </c>
      <c r="AN5" s="1151"/>
      <c r="AO5" s="1145">
        <v>2</v>
      </c>
      <c r="AP5" s="1146"/>
      <c r="AQ5" s="1147"/>
      <c r="AR5" s="1169"/>
      <c r="AS5" s="194"/>
      <c r="AT5" s="195"/>
      <c r="AU5" s="195"/>
      <c r="AV5" s="195" t="n">
        <v>1.0</v>
      </c>
      <c r="AW5" s="195" t="n">
        <v>4.0</v>
      </c>
      <c r="AX5" s="373" t="n">
        <v>14.0</v>
      </c>
      <c r="AY5" s="374"/>
      <c r="AZ5" s="375"/>
      <c r="BA5" s="196"/>
      <c r="BB5" s="767"/>
      <c r="BC5" s="1151"/>
      <c r="BD5" s="623" t="s">
        <v>131</v>
      </c>
    </row>
    <row r="6" spans="1:56" ht="19.149999999999999" customHeight="1" x14ac:dyDescent="0.2">
      <c r="A6" s="1170" t="str">
        <f>IF(IGRF!B15="","",IGRF!B15)</f>
        <v/>
      </c>
      <c r="B6" s="197" t="s">
        <v>443</v>
      </c>
      <c r="C6" s="198" t="s">
        <v>117</v>
      </c>
      <c r="D6" s="198"/>
      <c r="E6" s="198"/>
      <c r="F6" s="198"/>
      <c r="G6" s="199"/>
      <c r="H6" s="376"/>
      <c r="I6" s="377"/>
      <c r="J6" s="200"/>
      <c r="K6" s="766"/>
      <c r="L6" s="1161" t="str">
        <f>IF(COUNTA(B6:J6)=0,"",COUNTA(B6:J6))</f>
        <v/>
      </c>
      <c r="M6" s="1163">
        <v>3</v>
      </c>
      <c r="N6" s="1164"/>
      <c r="O6" s="1165">
        <v>3</v>
      </c>
      <c r="P6" s="1170" t="str">
        <f>IF(IGRF!I15="","",IGRF!I15)</f>
        <v/>
      </c>
      <c r="Q6" s="197" t="s">
        <v>126</v>
      </c>
      <c r="R6" s="198" t="s">
        <v>443</v>
      </c>
      <c r="S6" s="198" t="s">
        <v>443</v>
      </c>
      <c r="T6" s="198"/>
      <c r="U6" s="198"/>
      <c r="V6" s="199"/>
      <c r="W6" s="376"/>
      <c r="X6" s="377"/>
      <c r="Y6" s="200"/>
      <c r="Z6" s="766"/>
      <c r="AA6" s="1172" t="str">
        <f>IF(COUNTA(Q6:Y6)=0,"",COUNTA(Q6:Y6))</f>
        <v/>
      </c>
      <c r="AB6" s="745" t="s">
        <v>102</v>
      </c>
      <c r="AC6" s="1173" t="str">
        <f>IF(IGRF!B15="","",IGRF!B15)</f>
        <v/>
      </c>
      <c r="AD6" s="763"/>
      <c r="AE6" s="198"/>
      <c r="AF6" s="198" t="s">
        <v>443</v>
      </c>
      <c r="AG6" s="198" t="s">
        <v>113</v>
      </c>
      <c r="AH6" s="198" t="s">
        <v>116</v>
      </c>
      <c r="AI6" s="199" t="s">
        <v>126</v>
      </c>
      <c r="AJ6" s="376" t="s">
        <v>123</v>
      </c>
      <c r="AK6" s="377"/>
      <c r="AL6" s="200"/>
      <c r="AM6" s="766" t="s">
        <v>282</v>
      </c>
      <c r="AN6" s="1161" t="str">
        <f>IF(COUNTA(AD6:AL6)=0,"",COUNTA(AD6:AL6))</f>
        <v/>
      </c>
      <c r="AO6" s="1163">
        <v>3</v>
      </c>
      <c r="AP6" s="1164"/>
      <c r="AQ6" s="1165"/>
      <c r="AR6" s="1166" t="str">
        <f>IF(IGRF!I15="","",IGRF!I15)</f>
        <v/>
      </c>
      <c r="AS6" s="197"/>
      <c r="AT6" s="198"/>
      <c r="AU6" s="198"/>
      <c r="AV6" s="198" t="s">
        <v>119</v>
      </c>
      <c r="AW6" s="198" t="s">
        <v>116</v>
      </c>
      <c r="AX6" s="199" t="s">
        <v>116</v>
      </c>
      <c r="AY6" s="376"/>
      <c r="AZ6" s="377"/>
      <c r="BA6" s="200"/>
      <c r="BB6" s="766"/>
      <c r="BC6" s="1161" t="str">
        <f>IF(COUNTA(AS6:BA6)=0,"",COUNTA(AS6:BA6))</f>
        <v/>
      </c>
      <c r="BD6" s="623" t="s">
        <v>102</v>
      </c>
    </row>
    <row r="7" spans="1:56" ht="19.149999999999999" customHeight="1" thickBot="1" x14ac:dyDescent="0.25">
      <c r="A7" s="1171"/>
      <c r="B7" s="220" t="n">
        <v>16.0</v>
      </c>
      <c r="C7" s="201" t="n">
        <v>19.0</v>
      </c>
      <c r="D7" s="201"/>
      <c r="E7" s="201"/>
      <c r="F7" s="201"/>
      <c r="G7" s="202"/>
      <c r="H7" s="378"/>
      <c r="I7" s="379"/>
      <c r="J7" s="221"/>
      <c r="K7" s="767"/>
      <c r="L7" s="1162"/>
      <c r="M7" s="1145">
        <v>4</v>
      </c>
      <c r="N7" s="1146"/>
      <c r="O7" s="1147">
        <v>4</v>
      </c>
      <c r="P7" s="1171"/>
      <c r="Q7" s="220" t="n">
        <v>5.0</v>
      </c>
      <c r="R7" s="201" t="n">
        <v>13.0</v>
      </c>
      <c r="S7" s="201" t="n">
        <v>15.0</v>
      </c>
      <c r="T7" s="201"/>
      <c r="U7" s="201"/>
      <c r="V7" s="202"/>
      <c r="W7" s="378"/>
      <c r="X7" s="379"/>
      <c r="Y7" s="221"/>
      <c r="Z7" s="767"/>
      <c r="AA7" s="1162"/>
      <c r="AB7" s="615" t="s">
        <v>58</v>
      </c>
      <c r="AC7" s="1174"/>
      <c r="AD7" s="764"/>
      <c r="AE7" s="201"/>
      <c r="AF7" s="201" t="n">
        <v>4.0</v>
      </c>
      <c r="AG7" s="201" t="n">
        <v>6.0</v>
      </c>
      <c r="AH7" s="201" t="n">
        <v>11.0</v>
      </c>
      <c r="AI7" s="202" t="n">
        <v>17.0</v>
      </c>
      <c r="AJ7" s="378" t="n">
        <v>22.0</v>
      </c>
      <c r="AK7" s="379"/>
      <c r="AL7" s="221"/>
      <c r="AM7" s="767" t="n">
        <v>22.0</v>
      </c>
      <c r="AN7" s="1162"/>
      <c r="AO7" s="1145">
        <v>4</v>
      </c>
      <c r="AP7" s="1146"/>
      <c r="AQ7" s="1147"/>
      <c r="AR7" s="1167"/>
      <c r="AS7" s="220"/>
      <c r="AT7" s="201"/>
      <c r="AU7" s="201"/>
      <c r="AV7" s="201" t="n">
        <v>6.0</v>
      </c>
      <c r="AW7" s="201" t="n">
        <v>17.0</v>
      </c>
      <c r="AX7" s="202" t="n">
        <v>20.0</v>
      </c>
      <c r="AY7" s="378"/>
      <c r="AZ7" s="379"/>
      <c r="BA7" s="221"/>
      <c r="BB7" s="767"/>
      <c r="BC7" s="1162"/>
      <c r="BD7" s="615" t="s">
        <v>58</v>
      </c>
    </row>
    <row r="8" spans="1:56" ht="19.149999999999999" customHeight="1" thickBot="1" x14ac:dyDescent="0.25">
      <c r="A8" s="1175" t="str">
        <f>IF(IGRF!B16="","",IGRF!B16)</f>
        <v/>
      </c>
      <c r="B8" s="191" t="s">
        <v>443</v>
      </c>
      <c r="C8" s="192" t="s">
        <v>126</v>
      </c>
      <c r="D8" s="192"/>
      <c r="E8" s="192"/>
      <c r="F8" s="192"/>
      <c r="G8" s="370"/>
      <c r="H8" s="371"/>
      <c r="I8" s="372"/>
      <c r="J8" s="193"/>
      <c r="K8" s="766"/>
      <c r="L8" s="1150" t="str">
        <f>IF(COUNTA(B8:J8)=0,"",COUNTA(B8:J8))</f>
        <v/>
      </c>
      <c r="M8" s="1163">
        <v>5</v>
      </c>
      <c r="N8" s="1164"/>
      <c r="O8" s="1165">
        <v>5</v>
      </c>
      <c r="P8" s="1175" t="str">
        <f>IF(IGRF!I16="","",IGRF!I16)</f>
        <v/>
      </c>
      <c r="Q8" s="191" t="s">
        <v>119</v>
      </c>
      <c r="R8" s="192" t="s">
        <v>119</v>
      </c>
      <c r="S8" s="192" t="s">
        <v>126</v>
      </c>
      <c r="T8" s="192" t="s">
        <v>443</v>
      </c>
      <c r="U8" s="192"/>
      <c r="V8" s="370"/>
      <c r="W8" s="371"/>
      <c r="X8" s="372"/>
      <c r="Y8" s="193"/>
      <c r="Z8" s="766"/>
      <c r="AA8" s="1150" t="str">
        <f>IF(COUNTA(Q8:Y8)=0,"",COUNTA(Q8:Y8))</f>
        <v/>
      </c>
      <c r="AB8" s="746" t="s">
        <v>121</v>
      </c>
      <c r="AC8" s="1176" t="str">
        <f>IF(IGRF!B16="","",IGRF!B16)</f>
        <v/>
      </c>
      <c r="AD8" s="761"/>
      <c r="AE8" s="192"/>
      <c r="AF8" s="192" t="s">
        <v>126</v>
      </c>
      <c r="AG8" s="192"/>
      <c r="AH8" s="192"/>
      <c r="AI8" s="370"/>
      <c r="AJ8" s="371"/>
      <c r="AK8" s="372"/>
      <c r="AL8" s="193"/>
      <c r="AM8" s="766"/>
      <c r="AN8" s="1150" t="str">
        <f>IF(COUNTA(AD8:AL8)=0,"",COUNTA(AD8:AL8))</f>
        <v/>
      </c>
      <c r="AO8" s="1163">
        <v>5</v>
      </c>
      <c r="AP8" s="1164"/>
      <c r="AQ8" s="1165"/>
      <c r="AR8" s="1169" t="str">
        <f>IF(IGRF!I16="","",IGRF!I16)</f>
        <v/>
      </c>
      <c r="AS8" s="191"/>
      <c r="AT8" s="192"/>
      <c r="AU8" s="192"/>
      <c r="AV8" s="192"/>
      <c r="AW8" s="192" t="s">
        <v>126</v>
      </c>
      <c r="AX8" s="370" t="s">
        <v>119</v>
      </c>
      <c r="AY8" s="371" t="s">
        <v>619</v>
      </c>
      <c r="AZ8" s="372"/>
      <c r="BA8" s="193"/>
      <c r="BB8" s="766" t="s">
        <v>282</v>
      </c>
      <c r="BC8" s="1150" t="str">
        <f>IF(COUNTA(AS8:BA8)=0,"",COUNTA(AS8:BA8))</f>
        <v/>
      </c>
      <c r="BD8" s="626" t="s">
        <v>121</v>
      </c>
    </row>
    <row r="9" spans="1:56" ht="19.149999999999999" customHeight="1" thickBot="1" x14ac:dyDescent="0.25">
      <c r="A9" s="1149"/>
      <c r="B9" s="194" t="n">
        <v>7.0</v>
      </c>
      <c r="C9" s="195" t="n">
        <v>23.0</v>
      </c>
      <c r="D9" s="195"/>
      <c r="E9" s="195"/>
      <c r="F9" s="195"/>
      <c r="G9" s="373"/>
      <c r="H9" s="374"/>
      <c r="I9" s="375"/>
      <c r="J9" s="196"/>
      <c r="K9" s="767"/>
      <c r="L9" s="1151"/>
      <c r="M9" s="1145">
        <v>6</v>
      </c>
      <c r="N9" s="1146"/>
      <c r="O9" s="1147">
        <v>6</v>
      </c>
      <c r="P9" s="1149"/>
      <c r="Q9" s="194" t="n">
        <v>1.0</v>
      </c>
      <c r="R9" s="195" t="n">
        <v>10.0</v>
      </c>
      <c r="S9" s="195" t="n">
        <v>17.0</v>
      </c>
      <c r="T9" s="195" t="n">
        <v>22.0</v>
      </c>
      <c r="U9" s="195"/>
      <c r="V9" s="373"/>
      <c r="W9" s="374"/>
      <c r="X9" s="375"/>
      <c r="Y9" s="196"/>
      <c r="Z9" s="767"/>
      <c r="AA9" s="1151"/>
      <c r="AB9" s="747" t="s">
        <v>122</v>
      </c>
      <c r="AC9" s="1176"/>
      <c r="AD9" s="762"/>
      <c r="AE9" s="195"/>
      <c r="AF9" s="195" t="n">
        <v>7.0</v>
      </c>
      <c r="AG9" s="195"/>
      <c r="AH9" s="195"/>
      <c r="AI9" s="373"/>
      <c r="AJ9" s="374"/>
      <c r="AK9" s="375"/>
      <c r="AL9" s="196"/>
      <c r="AM9" s="767"/>
      <c r="AN9" s="1151"/>
      <c r="AO9" s="1145">
        <v>6</v>
      </c>
      <c r="AP9" s="1146"/>
      <c r="AQ9" s="1147"/>
      <c r="AR9" s="1169"/>
      <c r="AS9" s="194"/>
      <c r="AT9" s="195"/>
      <c r="AU9" s="195"/>
      <c r="AV9" s="195"/>
      <c r="AW9" s="195" t="n">
        <v>15.0</v>
      </c>
      <c r="AX9" s="373" t="n">
        <v>19.0</v>
      </c>
      <c r="AY9" s="374" t="n">
        <v>22.0</v>
      </c>
      <c r="AZ9" s="375"/>
      <c r="BA9" s="196"/>
      <c r="BB9" s="767" t="n">
        <v>22.0</v>
      </c>
      <c r="BC9" s="1151"/>
      <c r="BD9" s="627" t="s">
        <v>122</v>
      </c>
    </row>
    <row r="10" spans="1:56" ht="19.149999999999999" customHeight="1" x14ac:dyDescent="0.2">
      <c r="A10" s="1170" t="str">
        <f>IF(IGRF!B17="","",IGRF!B17)</f>
        <v/>
      </c>
      <c r="B10" s="197" t="s">
        <v>116</v>
      </c>
      <c r="C10" s="198" t="s">
        <v>126</v>
      </c>
      <c r="D10" s="198" t="s">
        <v>119</v>
      </c>
      <c r="E10" s="198"/>
      <c r="F10" s="198"/>
      <c r="G10" s="199"/>
      <c r="H10" s="376"/>
      <c r="I10" s="377"/>
      <c r="J10" s="200"/>
      <c r="K10" s="766"/>
      <c r="L10" s="1161" t="str">
        <f>IF(COUNTA(B10:J10)=0,"",COUNTA(B10:J10))</f>
        <v/>
      </c>
      <c r="M10" s="1163">
        <v>7</v>
      </c>
      <c r="N10" s="1164"/>
      <c r="O10" s="1165">
        <v>7</v>
      </c>
      <c r="P10" s="1170" t="str">
        <f>IF(IGRF!I17="","",IGRF!I17)</f>
        <v/>
      </c>
      <c r="Q10" s="197" t="s">
        <v>121</v>
      </c>
      <c r="R10" s="198"/>
      <c r="S10" s="198"/>
      <c r="T10" s="198"/>
      <c r="U10" s="198"/>
      <c r="V10" s="199"/>
      <c r="W10" s="376"/>
      <c r="X10" s="377"/>
      <c r="Y10" s="200"/>
      <c r="Z10" s="766"/>
      <c r="AA10" s="1161" t="str">
        <f>IF(COUNTA(Q10:Y10)=0,"",COUNTA(Q10:Y10))</f>
        <v/>
      </c>
      <c r="AB10" s="748" t="s">
        <v>113</v>
      </c>
      <c r="AC10" s="1173" t="str">
        <f>IF(IGRF!B17="","",IGRF!B17)</f>
        <v/>
      </c>
      <c r="AD10" s="763"/>
      <c r="AE10" s="198"/>
      <c r="AF10" s="198"/>
      <c r="AG10" s="198" t="s">
        <v>116</v>
      </c>
      <c r="AH10" s="198" t="s">
        <v>123</v>
      </c>
      <c r="AI10" s="199"/>
      <c r="AJ10" s="376"/>
      <c r="AK10" s="377"/>
      <c r="AL10" s="200"/>
      <c r="AM10" s="766"/>
      <c r="AN10" s="1161" t="str">
        <f>IF(COUNTA(AD10:AL10)=0,"",COUNTA(AD10:AL10))</f>
        <v/>
      </c>
      <c r="AO10" s="1163">
        <v>7</v>
      </c>
      <c r="AP10" s="1164"/>
      <c r="AQ10" s="1165"/>
      <c r="AR10" s="1166" t="str">
        <f>IF(IGRF!I17="","",IGRF!I17)</f>
        <v/>
      </c>
      <c r="AS10" s="197"/>
      <c r="AT10" s="198" t="s">
        <v>116</v>
      </c>
      <c r="AU10" s="198" t="s">
        <v>116</v>
      </c>
      <c r="AV10" s="198" t="s">
        <v>619</v>
      </c>
      <c r="AW10" s="198"/>
      <c r="AX10" s="199"/>
      <c r="AY10" s="376"/>
      <c r="AZ10" s="377"/>
      <c r="BA10" s="200"/>
      <c r="BB10" s="766"/>
      <c r="BC10" s="1161" t="str">
        <f>IF(COUNTA(AS10:BA10)=0,"",COUNTA(AS10:BA10))</f>
        <v/>
      </c>
      <c r="BD10" s="628" t="s">
        <v>113</v>
      </c>
    </row>
    <row r="11" spans="1:56" ht="19.149999999999999" customHeight="1" thickBot="1" x14ac:dyDescent="0.25">
      <c r="A11" s="1171"/>
      <c r="B11" s="220" t="n">
        <v>3.0</v>
      </c>
      <c r="C11" s="201" t="n">
        <v>10.0</v>
      </c>
      <c r="D11" s="201" t="n">
        <v>23.0</v>
      </c>
      <c r="E11" s="201"/>
      <c r="F11" s="201"/>
      <c r="G11" s="202"/>
      <c r="H11" s="378"/>
      <c r="I11" s="379"/>
      <c r="J11" s="221"/>
      <c r="K11" s="767"/>
      <c r="L11" s="1162"/>
      <c r="M11" s="1145">
        <v>8</v>
      </c>
      <c r="N11" s="1146"/>
      <c r="O11" s="1147">
        <v>8</v>
      </c>
      <c r="P11" s="1171"/>
      <c r="Q11" s="220" t="n">
        <v>17.0</v>
      </c>
      <c r="R11" s="201"/>
      <c r="S11" s="201"/>
      <c r="T11" s="201"/>
      <c r="U11" s="201"/>
      <c r="V11" s="202"/>
      <c r="W11" s="378"/>
      <c r="X11" s="379"/>
      <c r="Y11" s="221"/>
      <c r="Z11" s="767"/>
      <c r="AA11" s="1162"/>
      <c r="AB11" s="747" t="s">
        <v>114</v>
      </c>
      <c r="AC11" s="1174"/>
      <c r="AD11" s="764"/>
      <c r="AE11" s="201"/>
      <c r="AF11" s="201"/>
      <c r="AG11" s="201" t="n">
        <v>1.0</v>
      </c>
      <c r="AH11" s="201" t="n">
        <v>5.0</v>
      </c>
      <c r="AI11" s="202"/>
      <c r="AJ11" s="378"/>
      <c r="AK11" s="379"/>
      <c r="AL11" s="221"/>
      <c r="AM11" s="767"/>
      <c r="AN11" s="1162"/>
      <c r="AO11" s="1145">
        <v>8</v>
      </c>
      <c r="AP11" s="1146"/>
      <c r="AQ11" s="1147"/>
      <c r="AR11" s="1167"/>
      <c r="AS11" s="220"/>
      <c r="AT11" s="201" t="n">
        <v>1.0</v>
      </c>
      <c r="AU11" s="201" t="n">
        <v>5.0</v>
      </c>
      <c r="AV11" s="201" t="n">
        <v>19.0</v>
      </c>
      <c r="AW11" s="201"/>
      <c r="AX11" s="202"/>
      <c r="AY11" s="378"/>
      <c r="AZ11" s="379"/>
      <c r="BA11" s="221"/>
      <c r="BB11" s="767"/>
      <c r="BC11" s="1162"/>
      <c r="BD11" s="627" t="s">
        <v>114</v>
      </c>
    </row>
    <row r="12" spans="1:56" ht="19.149999999999999" customHeight="1" thickBot="1" x14ac:dyDescent="0.25">
      <c r="A12" s="1175" t="str">
        <f>IF(IGRF!B18="","",IGRF!B18)</f>
        <v/>
      </c>
      <c r="B12" s="191" t="s">
        <v>126</v>
      </c>
      <c r="C12" s="192" t="s">
        <v>126</v>
      </c>
      <c r="D12" s="192"/>
      <c r="E12" s="192"/>
      <c r="F12" s="192"/>
      <c r="G12" s="370"/>
      <c r="H12" s="371"/>
      <c r="I12" s="372"/>
      <c r="J12" s="193"/>
      <c r="K12" s="766"/>
      <c r="L12" s="1150" t="str">
        <f>IF(COUNTA(B12:J12)=0,"",COUNTA(B12:J12))</f>
        <v/>
      </c>
      <c r="M12" s="1163">
        <v>9</v>
      </c>
      <c r="N12" s="1164"/>
      <c r="O12" s="1165">
        <v>9</v>
      </c>
      <c r="P12" s="1175" t="str">
        <f>IF(IGRF!I18="","",IGRF!I18)</f>
        <v/>
      </c>
      <c r="Q12" s="191" t="s">
        <v>116</v>
      </c>
      <c r="R12" s="192" t="s">
        <v>121</v>
      </c>
      <c r="S12" s="192" t="s">
        <v>116</v>
      </c>
      <c r="T12" s="192"/>
      <c r="U12" s="192"/>
      <c r="V12" s="370"/>
      <c r="W12" s="371"/>
      <c r="X12" s="372"/>
      <c r="Y12" s="193"/>
      <c r="Z12" s="766"/>
      <c r="AA12" s="1150" t="str">
        <f>IF(COUNTA(Q12:Y12)=0,"",COUNTA(Q12:Y12))</f>
        <v/>
      </c>
      <c r="AB12" s="748" t="s">
        <v>124</v>
      </c>
      <c r="AC12" s="1176" t="str">
        <f>IF(IGRF!B18="","",IGRF!B18)</f>
        <v/>
      </c>
      <c r="AD12" s="761"/>
      <c r="AE12" s="192"/>
      <c r="AF12" s="192" t="s">
        <v>117</v>
      </c>
      <c r="AG12" s="192" t="s">
        <v>126</v>
      </c>
      <c r="AH12" s="192" t="s">
        <v>443</v>
      </c>
      <c r="AI12" s="370"/>
      <c r="AJ12" s="371"/>
      <c r="AK12" s="372"/>
      <c r="AL12" s="193"/>
      <c r="AM12" s="766"/>
      <c r="AN12" s="1150" t="str">
        <f>IF(COUNTA(AD12:AL12)=0,"",COUNTA(AD12:AL12))</f>
        <v/>
      </c>
      <c r="AO12" s="1163">
        <v>9</v>
      </c>
      <c r="AP12" s="1164"/>
      <c r="AQ12" s="1165"/>
      <c r="AR12" s="1169" t="str">
        <f>IF(IGRF!I18="","",IGRF!I18)</f>
        <v/>
      </c>
      <c r="AS12" s="191"/>
      <c r="AT12" s="192"/>
      <c r="AU12" s="192"/>
      <c r="AV12" s="192" t="s">
        <v>113</v>
      </c>
      <c r="AW12" s="192" t="s">
        <v>113</v>
      </c>
      <c r="AX12" s="370"/>
      <c r="AY12" s="371"/>
      <c r="AZ12" s="372"/>
      <c r="BA12" s="193"/>
      <c r="BB12" s="766"/>
      <c r="BC12" s="1150" t="str">
        <f>IF(COUNTA(AS12:BA12)=0,"",COUNTA(AS12:BA12))</f>
        <v/>
      </c>
      <c r="BD12" s="628" t="s">
        <v>124</v>
      </c>
    </row>
    <row r="13" spans="1:56" ht="19.149999999999999" customHeight="1" thickBot="1" x14ac:dyDescent="0.25">
      <c r="A13" s="1149"/>
      <c r="B13" s="194" t="n">
        <v>6.0</v>
      </c>
      <c r="C13" s="195" t="n">
        <v>14.0</v>
      </c>
      <c r="D13" s="195"/>
      <c r="E13" s="195"/>
      <c r="F13" s="195"/>
      <c r="G13" s="373"/>
      <c r="H13" s="374"/>
      <c r="I13" s="375"/>
      <c r="J13" s="196"/>
      <c r="K13" s="767"/>
      <c r="L13" s="1151"/>
      <c r="M13" s="1145">
        <v>10</v>
      </c>
      <c r="N13" s="1146"/>
      <c r="O13" s="1147">
        <v>10</v>
      </c>
      <c r="P13" s="1149"/>
      <c r="Q13" s="194" t="n">
        <v>1.0</v>
      </c>
      <c r="R13" s="195" t="n">
        <v>15.0</v>
      </c>
      <c r="S13" s="195" t="n">
        <v>15.0</v>
      </c>
      <c r="T13" s="195"/>
      <c r="U13" s="195"/>
      <c r="V13" s="373"/>
      <c r="W13" s="374"/>
      <c r="X13" s="375"/>
      <c r="Y13" s="196"/>
      <c r="Z13" s="767"/>
      <c r="AA13" s="1151"/>
      <c r="AB13" s="747" t="s">
        <v>125</v>
      </c>
      <c r="AC13" s="1176"/>
      <c r="AD13" s="762"/>
      <c r="AE13" s="195"/>
      <c r="AF13" s="195" t="n">
        <v>1.0</v>
      </c>
      <c r="AG13" s="195" t="n">
        <v>5.0</v>
      </c>
      <c r="AH13" s="195" t="n">
        <v>6.0</v>
      </c>
      <c r="AI13" s="373"/>
      <c r="AJ13" s="374"/>
      <c r="AK13" s="375"/>
      <c r="AL13" s="196"/>
      <c r="AM13" s="767"/>
      <c r="AN13" s="1151"/>
      <c r="AO13" s="1145">
        <v>10</v>
      </c>
      <c r="AP13" s="1146"/>
      <c r="AQ13" s="1147"/>
      <c r="AR13" s="1169"/>
      <c r="AS13" s="194"/>
      <c r="AT13" s="195"/>
      <c r="AU13" s="195"/>
      <c r="AV13" s="195" t="n">
        <v>4.0</v>
      </c>
      <c r="AW13" s="195" t="n">
        <v>19.0</v>
      </c>
      <c r="AX13" s="373"/>
      <c r="AY13" s="374"/>
      <c r="AZ13" s="375"/>
      <c r="BA13" s="196"/>
      <c r="BB13" s="767"/>
      <c r="BC13" s="1151"/>
      <c r="BD13" s="627" t="s">
        <v>125</v>
      </c>
    </row>
    <row r="14" spans="1:56" ht="19.149999999999999" customHeight="1" x14ac:dyDescent="0.2">
      <c r="A14" s="1170" t="str">
        <f>IF(IGRF!B19="","",IGRF!B19)</f>
        <v/>
      </c>
      <c r="B14" s="197" t="s">
        <v>116</v>
      </c>
      <c r="C14" s="198" t="s">
        <v>119</v>
      </c>
      <c r="D14" s="198" t="s">
        <v>119</v>
      </c>
      <c r="E14" s="198"/>
      <c r="F14" s="198"/>
      <c r="G14" s="199"/>
      <c r="H14" s="376"/>
      <c r="I14" s="377"/>
      <c r="J14" s="200"/>
      <c r="K14" s="766"/>
      <c r="L14" s="1161" t="str">
        <f>IF(COUNTA(B14:J14)=0,"",COUNTA(B14:J14))</f>
        <v/>
      </c>
      <c r="M14" s="1163">
        <v>11</v>
      </c>
      <c r="N14" s="1164"/>
      <c r="O14" s="1165">
        <v>11</v>
      </c>
      <c r="P14" s="1170" t="str">
        <f>IF(IGRF!I19="","",IGRF!I19)</f>
        <v/>
      </c>
      <c r="Q14" s="197"/>
      <c r="R14" s="198"/>
      <c r="S14" s="198"/>
      <c r="T14" s="198"/>
      <c r="U14" s="198"/>
      <c r="V14" s="199"/>
      <c r="W14" s="376"/>
      <c r="X14" s="377"/>
      <c r="Y14" s="200"/>
      <c r="Z14" s="766"/>
      <c r="AA14" s="1161" t="str">
        <f>IF(COUNTA(Q14:Y14)=0,"",COUNTA(Q14:Y14))</f>
        <v/>
      </c>
      <c r="AB14" s="749" t="s">
        <v>118</v>
      </c>
      <c r="AC14" s="1173" t="str">
        <f>IF(IGRF!B19="","",IGRF!B19)</f>
        <v/>
      </c>
      <c r="AD14" s="763"/>
      <c r="AE14" s="198"/>
      <c r="AF14" s="198"/>
      <c r="AG14" s="198" t="s">
        <v>127</v>
      </c>
      <c r="AH14" s="198" t="s">
        <v>127</v>
      </c>
      <c r="AI14" s="199" t="s">
        <v>443</v>
      </c>
      <c r="AJ14" s="376" t="s">
        <v>443</v>
      </c>
      <c r="AK14" s="377"/>
      <c r="AL14" s="200"/>
      <c r="AM14" s="766" t="s">
        <v>282</v>
      </c>
      <c r="AN14" s="1161" t="str">
        <f>IF(COUNTA(AD14:AL14)=0,"",COUNTA(AD14:AL14))</f>
        <v/>
      </c>
      <c r="AO14" s="1163">
        <v>11</v>
      </c>
      <c r="AP14" s="1164"/>
      <c r="AQ14" s="1165"/>
      <c r="AR14" s="1166" t="str">
        <f>IF(IGRF!I19="","",IGRF!I19)</f>
        <v/>
      </c>
      <c r="AS14" s="197" t="s">
        <v>119</v>
      </c>
      <c r="AT14" s="198" t="s">
        <v>119</v>
      </c>
      <c r="AU14" s="198" t="s">
        <v>127</v>
      </c>
      <c r="AV14" s="198" t="s">
        <v>121</v>
      </c>
      <c r="AW14" s="198" t="s">
        <v>443</v>
      </c>
      <c r="AX14" s="199"/>
      <c r="AY14" s="376"/>
      <c r="AZ14" s="377"/>
      <c r="BA14" s="200"/>
      <c r="BB14" s="766"/>
      <c r="BC14" s="1161" t="str">
        <f>IF(COUNTA(AS14:BA14)=0,"",COUNTA(AS14:BA14))</f>
        <v/>
      </c>
      <c r="BD14" s="617" t="s">
        <v>118</v>
      </c>
    </row>
    <row r="15" spans="1:56" ht="19.149999999999999" customHeight="1" thickBot="1" x14ac:dyDescent="0.25">
      <c r="A15" s="1171"/>
      <c r="B15" s="220" t="n">
        <v>7.0</v>
      </c>
      <c r="C15" s="201" t="n">
        <v>9.0</v>
      </c>
      <c r="D15" s="201" t="n">
        <v>13.0</v>
      </c>
      <c r="E15" s="201"/>
      <c r="F15" s="201"/>
      <c r="G15" s="202"/>
      <c r="H15" s="378"/>
      <c r="I15" s="379"/>
      <c r="J15" s="221"/>
      <c r="K15" s="767"/>
      <c r="L15" s="1162"/>
      <c r="M15" s="1145">
        <v>12</v>
      </c>
      <c r="N15" s="1146"/>
      <c r="O15" s="1147">
        <v>12</v>
      </c>
      <c r="P15" s="1171"/>
      <c r="Q15" s="220"/>
      <c r="R15" s="201"/>
      <c r="S15" s="201"/>
      <c r="T15" s="201"/>
      <c r="U15" s="201"/>
      <c r="V15" s="202"/>
      <c r="W15" s="378"/>
      <c r="X15" s="379"/>
      <c r="Y15" s="221"/>
      <c r="Z15" s="767"/>
      <c r="AA15" s="1162"/>
      <c r="AB15" s="750" t="s">
        <v>424</v>
      </c>
      <c r="AC15" s="1174"/>
      <c r="AD15" s="764"/>
      <c r="AE15" s="201"/>
      <c r="AF15" s="201"/>
      <c r="AG15" s="201" t="n">
        <v>3.0</v>
      </c>
      <c r="AH15" s="201" t="n">
        <v>4.0</v>
      </c>
      <c r="AI15" s="202" t="n">
        <v>15.0</v>
      </c>
      <c r="AJ15" s="378" t="n">
        <v>17.0</v>
      </c>
      <c r="AK15" s="379"/>
      <c r="AL15" s="221"/>
      <c r="AM15" s="767" t="n">
        <v>17.0</v>
      </c>
      <c r="AN15" s="1162"/>
      <c r="AO15" s="1145">
        <v>12</v>
      </c>
      <c r="AP15" s="1146"/>
      <c r="AQ15" s="1147"/>
      <c r="AR15" s="1167"/>
      <c r="AS15" s="220" t="n">
        <v>4.0</v>
      </c>
      <c r="AT15" s="201" t="n">
        <v>6.0</v>
      </c>
      <c r="AU15" s="201" t="n">
        <v>11.0</v>
      </c>
      <c r="AV15" s="201" t="n">
        <v>14.0</v>
      </c>
      <c r="AW15" s="201" t="n">
        <v>17.0</v>
      </c>
      <c r="AX15" s="202"/>
      <c r="AY15" s="378"/>
      <c r="AZ15" s="379"/>
      <c r="BA15" s="221"/>
      <c r="BB15" s="767"/>
      <c r="BC15" s="1162"/>
      <c r="BD15" s="622" t="s">
        <v>424</v>
      </c>
    </row>
    <row r="16" spans="1:56" ht="19.149999999999999" customHeight="1" thickBot="1" x14ac:dyDescent="0.25">
      <c r="A16" s="1175" t="str">
        <f>IF(IGRF!B20="","",IGRF!B20)</f>
        <v/>
      </c>
      <c r="B16" s="191" t="s">
        <v>118</v>
      </c>
      <c r="C16" s="192" t="s">
        <v>117</v>
      </c>
      <c r="D16" s="192" t="s">
        <v>443</v>
      </c>
      <c r="E16" s="192"/>
      <c r="F16" s="192"/>
      <c r="G16" s="370"/>
      <c r="H16" s="371"/>
      <c r="I16" s="372"/>
      <c r="J16" s="193"/>
      <c r="K16" s="766"/>
      <c r="L16" s="1150" t="str">
        <f>IF(COUNTA(B16:J16)=0,"",COUNTA(B16:J16))</f>
        <v/>
      </c>
      <c r="M16" s="1163">
        <v>13</v>
      </c>
      <c r="N16" s="1164"/>
      <c r="O16" s="1165">
        <v>13</v>
      </c>
      <c r="P16" s="1175" t="str">
        <f>IF(IGRF!I20="","",IGRF!I20)</f>
        <v/>
      </c>
      <c r="Q16" s="191"/>
      <c r="R16" s="192"/>
      <c r="S16" s="192"/>
      <c r="T16" s="192"/>
      <c r="U16" s="192"/>
      <c r="V16" s="370"/>
      <c r="W16" s="371"/>
      <c r="X16" s="372"/>
      <c r="Y16" s="193"/>
      <c r="Z16" s="766"/>
      <c r="AA16" s="1150" t="str">
        <f>IF(COUNTA(Q16:Y16)=0,"",COUNTA(Q16:Y16))</f>
        <v/>
      </c>
      <c r="AB16" s="749" t="s">
        <v>119</v>
      </c>
      <c r="AC16" s="1176" t="str">
        <f>IF(IGRF!B20="","",IGRF!B20)</f>
        <v/>
      </c>
      <c r="AD16" s="761"/>
      <c r="AE16" s="192"/>
      <c r="AF16" s="192"/>
      <c r="AG16" s="192" t="s">
        <v>127</v>
      </c>
      <c r="AH16" s="192" t="s">
        <v>119</v>
      </c>
      <c r="AI16" s="370" t="s">
        <v>443</v>
      </c>
      <c r="AJ16" s="371"/>
      <c r="AK16" s="372"/>
      <c r="AL16" s="193"/>
      <c r="AM16" s="766"/>
      <c r="AN16" s="1150" t="str">
        <f>IF(COUNTA(AD16:AL16)=0,"",COUNTA(AD16:AL16))</f>
        <v/>
      </c>
      <c r="AO16" s="1163">
        <v>13</v>
      </c>
      <c r="AP16" s="1164"/>
      <c r="AQ16" s="1165"/>
      <c r="AR16" s="1169" t="str">
        <f>IF(IGRF!I20="","",IGRF!I20)</f>
        <v/>
      </c>
      <c r="AS16" s="191"/>
      <c r="AT16" s="192"/>
      <c r="AU16" s="192"/>
      <c r="AV16" s="192"/>
      <c r="AW16" s="192"/>
      <c r="AX16" s="370"/>
      <c r="AY16" s="371"/>
      <c r="AZ16" s="372"/>
      <c r="BA16" s="193"/>
      <c r="BB16" s="766"/>
      <c r="BC16" s="1150" t="str">
        <f>IF(COUNTA(AS16:BA16)=0,"",COUNTA(AS16:BA16))</f>
        <v/>
      </c>
      <c r="BD16" s="617" t="s">
        <v>119</v>
      </c>
    </row>
    <row r="17" spans="1:56" ht="19.149999999999999" customHeight="1" thickBot="1" x14ac:dyDescent="0.25">
      <c r="A17" s="1149"/>
      <c r="B17" s="194" t="n">
        <v>1.0</v>
      </c>
      <c r="C17" s="195" t="n">
        <v>4.0</v>
      </c>
      <c r="D17" s="195" t="n">
        <v>15.0</v>
      </c>
      <c r="E17" s="195"/>
      <c r="F17" s="195"/>
      <c r="G17" s="373"/>
      <c r="H17" s="374"/>
      <c r="I17" s="375"/>
      <c r="J17" s="196"/>
      <c r="K17" s="767"/>
      <c r="L17" s="1151"/>
      <c r="M17" s="1145">
        <v>14</v>
      </c>
      <c r="N17" s="1146"/>
      <c r="O17" s="1147">
        <v>14</v>
      </c>
      <c r="P17" s="1149"/>
      <c r="Q17" s="194"/>
      <c r="R17" s="195"/>
      <c r="S17" s="195"/>
      <c r="T17" s="195"/>
      <c r="U17" s="195"/>
      <c r="V17" s="373"/>
      <c r="W17" s="374"/>
      <c r="X17" s="375"/>
      <c r="Y17" s="196"/>
      <c r="Z17" s="767"/>
      <c r="AA17" s="1151"/>
      <c r="AB17" s="750" t="s">
        <v>120</v>
      </c>
      <c r="AC17" s="1176"/>
      <c r="AD17" s="762"/>
      <c r="AE17" s="195"/>
      <c r="AF17" s="195"/>
      <c r="AG17" s="195" t="n">
        <v>3.0</v>
      </c>
      <c r="AH17" s="195" t="n">
        <v>7.0</v>
      </c>
      <c r="AI17" s="373" t="n">
        <v>11.0</v>
      </c>
      <c r="AJ17" s="374"/>
      <c r="AK17" s="375"/>
      <c r="AL17" s="196"/>
      <c r="AM17" s="767"/>
      <c r="AN17" s="1151"/>
      <c r="AO17" s="1145">
        <v>14</v>
      </c>
      <c r="AP17" s="1146"/>
      <c r="AQ17" s="1147"/>
      <c r="AR17" s="1169"/>
      <c r="AS17" s="194"/>
      <c r="AT17" s="195"/>
      <c r="AU17" s="195"/>
      <c r="AV17" s="195"/>
      <c r="AW17" s="195"/>
      <c r="AX17" s="373"/>
      <c r="AY17" s="374"/>
      <c r="AZ17" s="375"/>
      <c r="BA17" s="196"/>
      <c r="BB17" s="767"/>
      <c r="BC17" s="1151"/>
      <c r="BD17" s="622" t="s">
        <v>120</v>
      </c>
    </row>
    <row r="18" spans="1:56" ht="19.149999999999999" customHeight="1" x14ac:dyDescent="0.2">
      <c r="A18" s="1170" t="str">
        <f>IF(IGRF!B21="","",IGRF!B21)</f>
        <v/>
      </c>
      <c r="B18" s="197" t="s">
        <v>116</v>
      </c>
      <c r="C18" s="198" t="s">
        <v>443</v>
      </c>
      <c r="D18" s="198"/>
      <c r="E18" s="198"/>
      <c r="F18" s="198"/>
      <c r="G18" s="199"/>
      <c r="H18" s="376"/>
      <c r="I18" s="377"/>
      <c r="J18" s="200"/>
      <c r="K18" s="766"/>
      <c r="L18" s="1161" t="str">
        <f>IF(COUNTA(B18:J18)=0,"",COUNTA(B18:J18))</f>
        <v/>
      </c>
      <c r="M18" s="1163">
        <v>15</v>
      </c>
      <c r="N18" s="1164"/>
      <c r="O18" s="1165">
        <v>15</v>
      </c>
      <c r="P18" s="1170" t="str">
        <f>IF(IGRF!I21="","",IGRF!I21)</f>
        <v/>
      </c>
      <c r="Q18" s="197" t="s">
        <v>443</v>
      </c>
      <c r="R18" s="198" t="s">
        <v>443</v>
      </c>
      <c r="S18" s="198"/>
      <c r="T18" s="198"/>
      <c r="U18" s="198"/>
      <c r="V18" s="199"/>
      <c r="W18" s="376"/>
      <c r="X18" s="377"/>
      <c r="Y18" s="200"/>
      <c r="Z18" s="766"/>
      <c r="AA18" s="1172" t="str">
        <f>IF(COUNTA(Q18:Y18)=0,"",COUNTA(Q18:Y18))</f>
        <v/>
      </c>
      <c r="AB18" s="749" t="s">
        <v>115</v>
      </c>
      <c r="AC18" s="1173" t="str">
        <f>IF(IGRF!B21="","",IGRF!B21)</f>
        <v/>
      </c>
      <c r="AD18" s="763"/>
      <c r="AE18" s="198"/>
      <c r="AF18" s="198" t="s">
        <v>443</v>
      </c>
      <c r="AG18" s="198" t="s">
        <v>126</v>
      </c>
      <c r="AH18" s="198" t="s">
        <v>124</v>
      </c>
      <c r="AI18" s="199" t="s">
        <v>619</v>
      </c>
      <c r="AJ18" s="376" t="s">
        <v>126</v>
      </c>
      <c r="AK18" s="377"/>
      <c r="AL18" s="200"/>
      <c r="AM18" s="766" t="s">
        <v>282</v>
      </c>
      <c r="AN18" s="1161" t="str">
        <f>IF(COUNTA(AD18:AL18)=0,"",COUNTA(AD18:AL18))</f>
        <v/>
      </c>
      <c r="AO18" s="1163">
        <v>15</v>
      </c>
      <c r="AP18" s="1164"/>
      <c r="AQ18" s="1165"/>
      <c r="AR18" s="1166" t="str">
        <f>IF(IGRF!I21="","",IGRF!I21)</f>
        <v/>
      </c>
      <c r="AS18" s="197"/>
      <c r="AT18" s="198"/>
      <c r="AU18" s="198" t="s">
        <v>443</v>
      </c>
      <c r="AV18" s="198" t="s">
        <v>126</v>
      </c>
      <c r="AW18" s="198" t="s">
        <v>121</v>
      </c>
      <c r="AX18" s="199"/>
      <c r="AY18" s="376"/>
      <c r="AZ18" s="377"/>
      <c r="BA18" s="200"/>
      <c r="BB18" s="766"/>
      <c r="BC18" s="1161" t="str">
        <f>IF(COUNTA(AS18:BA18)=0,"",COUNTA(AS18:BA18))</f>
        <v/>
      </c>
      <c r="BD18" s="617" t="s">
        <v>115</v>
      </c>
    </row>
    <row r="19" spans="1:56" ht="19.149999999999999" customHeight="1" thickBot="1" x14ac:dyDescent="0.25">
      <c r="A19" s="1171"/>
      <c r="B19" s="220" t="n">
        <v>4.0</v>
      </c>
      <c r="C19" s="201" t="n">
        <v>12.0</v>
      </c>
      <c r="D19" s="201"/>
      <c r="E19" s="201"/>
      <c r="F19" s="201"/>
      <c r="G19" s="202"/>
      <c r="H19" s="378"/>
      <c r="I19" s="379"/>
      <c r="J19" s="221"/>
      <c r="K19" s="767"/>
      <c r="L19" s="1162"/>
      <c r="M19" s="1145">
        <v>16</v>
      </c>
      <c r="N19" s="1146"/>
      <c r="O19" s="1147">
        <v>16</v>
      </c>
      <c r="P19" s="1171"/>
      <c r="Q19" s="220" t="n">
        <v>3.0</v>
      </c>
      <c r="R19" s="201" t="n">
        <v>14.0</v>
      </c>
      <c r="S19" s="201"/>
      <c r="T19" s="201"/>
      <c r="U19" s="201"/>
      <c r="V19" s="202"/>
      <c r="W19" s="378"/>
      <c r="X19" s="379"/>
      <c r="Y19" s="221"/>
      <c r="Z19" s="767"/>
      <c r="AA19" s="1177"/>
      <c r="AB19" s="745" t="s">
        <v>425</v>
      </c>
      <c r="AC19" s="1174"/>
      <c r="AD19" s="764"/>
      <c r="AE19" s="201"/>
      <c r="AF19" s="201" t="n">
        <v>17.0</v>
      </c>
      <c r="AG19" s="201" t="n">
        <v>17.0</v>
      </c>
      <c r="AH19" s="201" t="n">
        <v>17.0</v>
      </c>
      <c r="AI19" s="202" t="n">
        <v>20.0</v>
      </c>
      <c r="AJ19" s="378" t="n">
        <v>22.0</v>
      </c>
      <c r="AK19" s="379"/>
      <c r="AL19" s="221"/>
      <c r="AM19" s="767" t="n">
        <v>22.0</v>
      </c>
      <c r="AN19" s="1162"/>
      <c r="AO19" s="1145">
        <v>16</v>
      </c>
      <c r="AP19" s="1146"/>
      <c r="AQ19" s="1147"/>
      <c r="AR19" s="1167"/>
      <c r="AS19" s="220"/>
      <c r="AT19" s="201"/>
      <c r="AU19" s="201" t="n">
        <v>9.0</v>
      </c>
      <c r="AV19" s="201" t="n">
        <v>16.0</v>
      </c>
      <c r="AW19" s="201" t="n">
        <v>17.0</v>
      </c>
      <c r="AX19" s="202"/>
      <c r="AY19" s="378"/>
      <c r="AZ19" s="379"/>
      <c r="BA19" s="221"/>
      <c r="BB19" s="767"/>
      <c r="BC19" s="1162"/>
      <c r="BD19" s="623" t="s">
        <v>425</v>
      </c>
    </row>
    <row r="20" spans="1:56" ht="19.149999999999999" customHeight="1" thickBot="1" x14ac:dyDescent="0.25">
      <c r="A20" s="1175" t="str">
        <f>IF(IGRF!B22="","",IGRF!B22)</f>
        <v/>
      </c>
      <c r="B20" s="191" t="s">
        <v>443</v>
      </c>
      <c r="C20" s="192"/>
      <c r="D20" s="192"/>
      <c r="E20" s="192"/>
      <c r="F20" s="192"/>
      <c r="G20" s="370"/>
      <c r="H20" s="371"/>
      <c r="I20" s="372"/>
      <c r="J20" s="193"/>
      <c r="K20" s="766"/>
      <c r="L20" s="1150" t="str">
        <f>IF(COUNTA(B20:J20)=0,"",COUNTA(B20:J20))</f>
        <v/>
      </c>
      <c r="M20" s="1163">
        <v>17</v>
      </c>
      <c r="N20" s="1164"/>
      <c r="O20" s="1165">
        <v>17</v>
      </c>
      <c r="P20" s="1175" t="str">
        <f>IF(IGRF!I22="","",IGRF!I22)</f>
        <v/>
      </c>
      <c r="Q20" s="191" t="s">
        <v>126</v>
      </c>
      <c r="R20" s="192" t="s">
        <v>119</v>
      </c>
      <c r="S20" s="192" t="s">
        <v>126</v>
      </c>
      <c r="T20" s="192"/>
      <c r="U20" s="192"/>
      <c r="V20" s="370"/>
      <c r="W20" s="371"/>
      <c r="X20" s="372"/>
      <c r="Y20" s="193"/>
      <c r="Z20" s="766"/>
      <c r="AA20" s="1155" t="str">
        <f>IF(COUNTA(Q20:Y20)=0,"",COUNTA(Q20:Y20))</f>
        <v/>
      </c>
      <c r="AB20" s="749" t="s">
        <v>126</v>
      </c>
      <c r="AC20" s="1176" t="str">
        <f>IF(IGRF!B22="","",IGRF!B22)</f>
        <v/>
      </c>
      <c r="AD20" s="761"/>
      <c r="AE20" s="192" t="s">
        <v>117</v>
      </c>
      <c r="AF20" s="192" t="s">
        <v>113</v>
      </c>
      <c r="AG20" s="192" t="s">
        <v>619</v>
      </c>
      <c r="AH20" s="192" t="s">
        <v>129</v>
      </c>
      <c r="AI20" s="370"/>
      <c r="AJ20" s="371"/>
      <c r="AK20" s="372"/>
      <c r="AL20" s="193"/>
      <c r="AM20" s="766"/>
      <c r="AN20" s="1150" t="str">
        <f>IF(COUNTA(AD20:AL20)=0,"",COUNTA(AD20:AL20))</f>
        <v/>
      </c>
      <c r="AO20" s="1163">
        <v>17</v>
      </c>
      <c r="AP20" s="1164"/>
      <c r="AQ20" s="1165"/>
      <c r="AR20" s="1169" t="str">
        <f>IF(IGRF!I22="","",IGRF!I22)</f>
        <v/>
      </c>
      <c r="AS20" s="191"/>
      <c r="AT20" s="192"/>
      <c r="AU20" s="192"/>
      <c r="AV20" s="192" t="s">
        <v>119</v>
      </c>
      <c r="AW20" s="192" t="s">
        <v>123</v>
      </c>
      <c r="AX20" s="370"/>
      <c r="AY20" s="371"/>
      <c r="AZ20" s="372"/>
      <c r="BA20" s="193"/>
      <c r="BB20" s="766"/>
      <c r="BC20" s="1150" t="str">
        <f>IF(COUNTA(AS20:BA20)=0,"",COUNTA(AS20:BA20))</f>
        <v/>
      </c>
      <c r="BD20" s="618" t="s">
        <v>126</v>
      </c>
    </row>
    <row r="21" spans="1:56" ht="19.149999999999999" customHeight="1" thickBot="1" x14ac:dyDescent="0.25">
      <c r="A21" s="1149"/>
      <c r="B21" s="194" t="n">
        <v>18.0</v>
      </c>
      <c r="C21" s="195"/>
      <c r="D21" s="195"/>
      <c r="E21" s="195"/>
      <c r="F21" s="195"/>
      <c r="G21" s="373"/>
      <c r="H21" s="374"/>
      <c r="I21" s="375"/>
      <c r="J21" s="196"/>
      <c r="K21" s="767"/>
      <c r="L21" s="1151"/>
      <c r="M21" s="1145">
        <v>18</v>
      </c>
      <c r="N21" s="1146"/>
      <c r="O21" s="1147">
        <v>18</v>
      </c>
      <c r="P21" s="1149"/>
      <c r="Q21" s="194" t="n">
        <v>10.0</v>
      </c>
      <c r="R21" s="195" t="n">
        <v>12.0</v>
      </c>
      <c r="S21" s="195" t="n">
        <v>15.0</v>
      </c>
      <c r="T21" s="195"/>
      <c r="U21" s="195"/>
      <c r="V21" s="373"/>
      <c r="W21" s="374"/>
      <c r="X21" s="375"/>
      <c r="Y21" s="196"/>
      <c r="Z21" s="767"/>
      <c r="AA21" s="1156"/>
      <c r="AB21" s="745" t="s">
        <v>426</v>
      </c>
      <c r="AC21" s="1176"/>
      <c r="AD21" s="762"/>
      <c r="AE21" s="195" t="n">
        <v>1.0</v>
      </c>
      <c r="AF21" s="195" t="n">
        <v>11.0</v>
      </c>
      <c r="AG21" s="195" t="n">
        <v>20.0</v>
      </c>
      <c r="AH21" s="195" t="n">
        <v>21.0</v>
      </c>
      <c r="AI21" s="373"/>
      <c r="AJ21" s="374"/>
      <c r="AK21" s="375"/>
      <c r="AL21" s="196"/>
      <c r="AM21" s="767"/>
      <c r="AN21" s="1151"/>
      <c r="AO21" s="1145">
        <v>18</v>
      </c>
      <c r="AP21" s="1146"/>
      <c r="AQ21" s="1147"/>
      <c r="AR21" s="1169"/>
      <c r="AS21" s="194"/>
      <c r="AT21" s="195"/>
      <c r="AU21" s="195"/>
      <c r="AV21" s="195" t="n">
        <v>5.0</v>
      </c>
      <c r="AW21" s="195" t="n">
        <v>17.0</v>
      </c>
      <c r="AX21" s="373"/>
      <c r="AY21" s="374"/>
      <c r="AZ21" s="375"/>
      <c r="BA21" s="196"/>
      <c r="BB21" s="767"/>
      <c r="BC21" s="1151"/>
      <c r="BD21" s="623" t="s">
        <v>426</v>
      </c>
    </row>
    <row r="22" spans="1:56" ht="19.149999999999999" customHeight="1" x14ac:dyDescent="0.2">
      <c r="A22" s="1170" t="str">
        <f>IF(IGRF!B23="","",IGRF!B23)</f>
        <v/>
      </c>
      <c r="B22" s="197"/>
      <c r="C22" s="198"/>
      <c r="D22" s="198"/>
      <c r="E22" s="198"/>
      <c r="F22" s="198"/>
      <c r="G22" s="199"/>
      <c r="H22" s="376"/>
      <c r="I22" s="377"/>
      <c r="J22" s="200"/>
      <c r="K22" s="766"/>
      <c r="L22" s="1161" t="str">
        <f>IF(COUNTA(B22:J22)=0,"",COUNTA(B22:J22))</f>
        <v/>
      </c>
      <c r="M22" s="1163">
        <v>19</v>
      </c>
      <c r="N22" s="1164"/>
      <c r="O22" s="1165">
        <v>19</v>
      </c>
      <c r="P22" s="1170" t="str">
        <f>IF(IGRF!I23="","",IGRF!I23)</f>
        <v/>
      </c>
      <c r="Q22" s="197" t="s">
        <v>121</v>
      </c>
      <c r="R22" s="198"/>
      <c r="S22" s="198"/>
      <c r="T22" s="198"/>
      <c r="U22" s="198"/>
      <c r="V22" s="199"/>
      <c r="W22" s="376"/>
      <c r="X22" s="377"/>
      <c r="Y22" s="200"/>
      <c r="Z22" s="766"/>
      <c r="AA22" s="1172" t="str">
        <f>IF(COUNTA(Q22:Y22)=0,"",COUNTA(Q22:Y22))</f>
        <v/>
      </c>
      <c r="AB22" s="748" t="s">
        <v>117</v>
      </c>
      <c r="AC22" s="1173" t="str">
        <f>IF(IGRF!B23="","",IGRF!B23)</f>
        <v/>
      </c>
      <c r="AD22" s="763"/>
      <c r="AE22" s="198"/>
      <c r="AF22" s="198"/>
      <c r="AG22" s="198"/>
      <c r="AH22" s="198"/>
      <c r="AI22" s="199"/>
      <c r="AJ22" s="376"/>
      <c r="AK22" s="377"/>
      <c r="AL22" s="200"/>
      <c r="AM22" s="766"/>
      <c r="AN22" s="1161" t="str">
        <f>IF(COUNTA(AD22:AL22)=0,"",COUNTA(AD22:AL22))</f>
        <v/>
      </c>
      <c r="AO22" s="1163">
        <v>19</v>
      </c>
      <c r="AP22" s="1164"/>
      <c r="AQ22" s="1165"/>
      <c r="AR22" s="1166" t="str">
        <f>IF(IGRF!I23="","",IGRF!I23)</f>
        <v/>
      </c>
      <c r="AS22" s="197"/>
      <c r="AT22" s="198"/>
      <c r="AU22" s="198"/>
      <c r="AV22" s="198"/>
      <c r="AW22" s="198"/>
      <c r="AX22" s="199"/>
      <c r="AY22" s="376"/>
      <c r="AZ22" s="377"/>
      <c r="BA22" s="200"/>
      <c r="BB22" s="766"/>
      <c r="BC22" s="1161" t="str">
        <f>IF(COUNTA(AS22:BA22)=0,"",COUNTA(AS22:BA22))</f>
        <v/>
      </c>
      <c r="BD22" s="629" t="s">
        <v>117</v>
      </c>
    </row>
    <row r="23" spans="1:56" ht="19.149999999999999" customHeight="1" thickBot="1" x14ac:dyDescent="0.25">
      <c r="A23" s="1171"/>
      <c r="B23" s="220"/>
      <c r="C23" s="201"/>
      <c r="D23" s="201"/>
      <c r="E23" s="201"/>
      <c r="F23" s="201"/>
      <c r="G23" s="202"/>
      <c r="H23" s="378"/>
      <c r="I23" s="379"/>
      <c r="J23" s="221"/>
      <c r="K23" s="767"/>
      <c r="L23" s="1162"/>
      <c r="M23" s="1145">
        <v>20</v>
      </c>
      <c r="N23" s="1146"/>
      <c r="O23" s="1147">
        <v>20</v>
      </c>
      <c r="P23" s="1171"/>
      <c r="Q23" s="220" t="n">
        <v>19.0</v>
      </c>
      <c r="R23" s="201"/>
      <c r="S23" s="201"/>
      <c r="T23" s="201"/>
      <c r="U23" s="201"/>
      <c r="V23" s="202"/>
      <c r="W23" s="378"/>
      <c r="X23" s="379"/>
      <c r="Y23" s="221"/>
      <c r="Z23" s="767"/>
      <c r="AA23" s="1177"/>
      <c r="AB23" s="751" t="s">
        <v>427</v>
      </c>
      <c r="AC23" s="1174"/>
      <c r="AD23" s="764"/>
      <c r="AE23" s="201"/>
      <c r="AF23" s="201"/>
      <c r="AG23" s="201"/>
      <c r="AH23" s="201"/>
      <c r="AI23" s="202"/>
      <c r="AJ23" s="378"/>
      <c r="AK23" s="379"/>
      <c r="AL23" s="221"/>
      <c r="AM23" s="767"/>
      <c r="AN23" s="1162"/>
      <c r="AO23" s="1145">
        <v>20</v>
      </c>
      <c r="AP23" s="1146"/>
      <c r="AQ23" s="1147"/>
      <c r="AR23" s="1167"/>
      <c r="AS23" s="220"/>
      <c r="AT23" s="201"/>
      <c r="AU23" s="201"/>
      <c r="AV23" s="201"/>
      <c r="AW23" s="201"/>
      <c r="AX23" s="202"/>
      <c r="AY23" s="378"/>
      <c r="AZ23" s="379"/>
      <c r="BA23" s="221"/>
      <c r="BB23" s="767"/>
      <c r="BC23" s="1162"/>
      <c r="BD23" s="630" t="s">
        <v>427</v>
      </c>
    </row>
    <row r="24" spans="1:56" ht="19.149999999999999" customHeight="1" thickBot="1" x14ac:dyDescent="0.25">
      <c r="A24" s="1175" t="str">
        <f>IF(IGRF!B24="","",IGRF!B24)</f>
        <v/>
      </c>
      <c r="B24" s="191"/>
      <c r="C24" s="192"/>
      <c r="D24" s="192"/>
      <c r="E24" s="192"/>
      <c r="F24" s="192"/>
      <c r="G24" s="370"/>
      <c r="H24" s="371"/>
      <c r="I24" s="372"/>
      <c r="J24" s="193"/>
      <c r="K24" s="766"/>
      <c r="L24" s="1150" t="str">
        <f>IF(COUNTA(B24:J24)=0,"",COUNTA(B24:J24))</f>
        <v/>
      </c>
      <c r="M24" s="1163">
        <v>21</v>
      </c>
      <c r="N24" s="1164"/>
      <c r="O24" s="1165">
        <v>21</v>
      </c>
      <c r="P24" s="1175" t="str">
        <f>IF(IGRF!I24="","",IGRF!I24)</f>
        <v/>
      </c>
      <c r="Q24" s="191"/>
      <c r="R24" s="192"/>
      <c r="S24" s="192"/>
      <c r="T24" s="192"/>
      <c r="U24" s="192"/>
      <c r="V24" s="370"/>
      <c r="W24" s="371"/>
      <c r="X24" s="372"/>
      <c r="Y24" s="193"/>
      <c r="Z24" s="766"/>
      <c r="AA24" s="1155" t="str">
        <f>IF(COUNTA(Q24:Y24)=0,"",COUNTA(Q24:Y24))</f>
        <v/>
      </c>
      <c r="AB24" s="752" t="s">
        <v>432</v>
      </c>
      <c r="AC24" s="1176" t="str">
        <f>IF(IGRF!B24="","",IGRF!B24)</f>
        <v/>
      </c>
      <c r="AD24" s="761"/>
      <c r="AE24" s="192"/>
      <c r="AF24" s="192"/>
      <c r="AG24" s="192"/>
      <c r="AH24" s="192"/>
      <c r="AI24" s="370"/>
      <c r="AJ24" s="371"/>
      <c r="AK24" s="372"/>
      <c r="AL24" s="193"/>
      <c r="AM24" s="766"/>
      <c r="AN24" s="1150" t="str">
        <f>IF(COUNTA(AD24:AL24)=0,"",COUNTA(AD24:AL24))</f>
        <v/>
      </c>
      <c r="AO24" s="1163">
        <v>21</v>
      </c>
      <c r="AP24" s="1164"/>
      <c r="AQ24" s="1165"/>
      <c r="AR24" s="1169" t="str">
        <f>IF(IGRF!I24="","",IGRF!I24)</f>
        <v/>
      </c>
      <c r="AS24" s="191"/>
      <c r="AT24" s="192"/>
      <c r="AU24" s="192"/>
      <c r="AV24" s="192"/>
      <c r="AW24" s="192"/>
      <c r="AX24" s="370"/>
      <c r="AY24" s="371"/>
      <c r="AZ24" s="372"/>
      <c r="BA24" s="193"/>
      <c r="BB24" s="766"/>
      <c r="BC24" s="1150" t="str">
        <f>IF(COUNTA(AS24:BA24)=0,"",COUNTA(AS24:BA24))</f>
        <v/>
      </c>
      <c r="BD24" s="631" t="s">
        <v>432</v>
      </c>
    </row>
    <row r="25" spans="1:56" ht="19.149999999999999" customHeight="1" thickBot="1" x14ac:dyDescent="0.25">
      <c r="A25" s="1149"/>
      <c r="B25" s="194"/>
      <c r="C25" s="195"/>
      <c r="D25" s="195"/>
      <c r="E25" s="195"/>
      <c r="F25" s="195"/>
      <c r="G25" s="373"/>
      <c r="H25" s="374"/>
      <c r="I25" s="375"/>
      <c r="J25" s="196"/>
      <c r="K25" s="767"/>
      <c r="L25" s="1151"/>
      <c r="M25" s="1145">
        <v>22</v>
      </c>
      <c r="N25" s="1146"/>
      <c r="O25" s="1147">
        <v>22</v>
      </c>
      <c r="P25" s="1149"/>
      <c r="Q25" s="194"/>
      <c r="R25" s="195"/>
      <c r="S25" s="195"/>
      <c r="T25" s="195"/>
      <c r="U25" s="195"/>
      <c r="V25" s="373"/>
      <c r="W25" s="374"/>
      <c r="X25" s="375"/>
      <c r="Y25" s="196"/>
      <c r="Z25" s="767"/>
      <c r="AA25" s="1151"/>
      <c r="AB25" s="632" t="s">
        <v>436</v>
      </c>
      <c r="AC25" s="1176"/>
      <c r="AD25" s="762"/>
      <c r="AE25" s="195"/>
      <c r="AF25" s="195"/>
      <c r="AG25" s="195"/>
      <c r="AH25" s="195"/>
      <c r="AI25" s="373"/>
      <c r="AJ25" s="374"/>
      <c r="AK25" s="375"/>
      <c r="AL25" s="196"/>
      <c r="AM25" s="767"/>
      <c r="AN25" s="1151"/>
      <c r="AO25" s="1145">
        <v>22</v>
      </c>
      <c r="AP25" s="1146"/>
      <c r="AQ25" s="1147"/>
      <c r="AR25" s="1169"/>
      <c r="AS25" s="194"/>
      <c r="AT25" s="195"/>
      <c r="AU25" s="195"/>
      <c r="AV25" s="195"/>
      <c r="AW25" s="195"/>
      <c r="AX25" s="373"/>
      <c r="AY25" s="374"/>
      <c r="AZ25" s="375"/>
      <c r="BA25" s="196"/>
      <c r="BB25" s="767"/>
      <c r="BC25" s="1151"/>
      <c r="BD25" s="632" t="s">
        <v>436</v>
      </c>
    </row>
    <row r="26" spans="1:56" ht="19.149999999999999" customHeight="1" x14ac:dyDescent="0.2">
      <c r="A26" s="1170" t="str">
        <f>IF(IGRF!B25="","",IGRF!B25)</f>
        <v/>
      </c>
      <c r="B26" s="197"/>
      <c r="C26" s="198"/>
      <c r="D26" s="198"/>
      <c r="E26" s="198"/>
      <c r="F26" s="198"/>
      <c r="G26" s="199"/>
      <c r="H26" s="376"/>
      <c r="I26" s="377"/>
      <c r="J26" s="200"/>
      <c r="K26" s="766"/>
      <c r="L26" s="1161" t="str">
        <f>IF(COUNTA(B26:J26)=0,"",COUNTA(B26:J26))</f>
        <v/>
      </c>
      <c r="M26" s="1163">
        <v>23</v>
      </c>
      <c r="N26" s="1164"/>
      <c r="O26" s="1165">
        <v>23</v>
      </c>
      <c r="P26" s="1170" t="str">
        <f>IF(IGRF!I25="","",IGRF!I25)</f>
        <v/>
      </c>
      <c r="Q26" s="197"/>
      <c r="R26" s="198"/>
      <c r="S26" s="198"/>
      <c r="T26" s="198"/>
      <c r="U26" s="198"/>
      <c r="V26" s="199"/>
      <c r="W26" s="376"/>
      <c r="X26" s="377"/>
      <c r="Y26" s="200"/>
      <c r="Z26" s="766"/>
      <c r="AA26" s="1161" t="str">
        <f>IF(COUNTA(Q26:Y26)=0,"",COUNTA(Q26:Y26))</f>
        <v/>
      </c>
      <c r="AB26" s="748" t="s">
        <v>443</v>
      </c>
      <c r="AC26" s="1173" t="str">
        <f>IF(IGRF!B25="","",IGRF!B25)</f>
        <v/>
      </c>
      <c r="AD26" s="763"/>
      <c r="AE26" s="198"/>
      <c r="AF26" s="198"/>
      <c r="AG26" s="198"/>
      <c r="AH26" s="198"/>
      <c r="AI26" s="199"/>
      <c r="AJ26" s="376"/>
      <c r="AK26" s="377"/>
      <c r="AL26" s="200"/>
      <c r="AM26" s="766"/>
      <c r="AN26" s="1161" t="str">
        <f>IF(COUNTA(AD26:AL26)=0,"",COUNTA(AD26:AL26))</f>
        <v/>
      </c>
      <c r="AO26" s="1163">
        <v>23</v>
      </c>
      <c r="AP26" s="1164"/>
      <c r="AQ26" s="1165"/>
      <c r="AR26" s="1166" t="str">
        <f>IF(IGRF!I25="","",IGRF!I25)</f>
        <v/>
      </c>
      <c r="AS26" s="197"/>
      <c r="AT26" s="198"/>
      <c r="AU26" s="198"/>
      <c r="AV26" s="198"/>
      <c r="AW26" s="198"/>
      <c r="AX26" s="199"/>
      <c r="AY26" s="376"/>
      <c r="AZ26" s="377"/>
      <c r="BA26" s="200"/>
      <c r="BB26" s="766"/>
      <c r="BC26" s="1161" t="str">
        <f>IF(COUNTA(AS26:BA26)=0,"",COUNTA(AS26:BA26))</f>
        <v/>
      </c>
      <c r="BD26" s="629" t="s">
        <v>443</v>
      </c>
    </row>
    <row r="27" spans="1:56" ht="19.149999999999999" customHeight="1" thickBot="1" x14ac:dyDescent="0.25">
      <c r="A27" s="1171"/>
      <c r="B27" s="220"/>
      <c r="C27" s="201"/>
      <c r="D27" s="201"/>
      <c r="E27" s="201"/>
      <c r="F27" s="201"/>
      <c r="G27" s="202"/>
      <c r="H27" s="378"/>
      <c r="I27" s="379"/>
      <c r="J27" s="221"/>
      <c r="K27" s="767"/>
      <c r="L27" s="1162"/>
      <c r="M27" s="1145">
        <v>24</v>
      </c>
      <c r="N27" s="1146"/>
      <c r="O27" s="1147">
        <v>24</v>
      </c>
      <c r="P27" s="1171"/>
      <c r="Q27" s="220"/>
      <c r="R27" s="201"/>
      <c r="S27" s="201"/>
      <c r="T27" s="201"/>
      <c r="U27" s="201"/>
      <c r="V27" s="202"/>
      <c r="W27" s="378"/>
      <c r="X27" s="379"/>
      <c r="Y27" s="221"/>
      <c r="Z27" s="767"/>
      <c r="AA27" s="1177"/>
      <c r="AB27" s="751" t="s">
        <v>428</v>
      </c>
      <c r="AC27" s="1174"/>
      <c r="AD27" s="764"/>
      <c r="AE27" s="201"/>
      <c r="AF27" s="201"/>
      <c r="AG27" s="201"/>
      <c r="AH27" s="201"/>
      <c r="AI27" s="202"/>
      <c r="AJ27" s="378"/>
      <c r="AK27" s="379"/>
      <c r="AL27" s="221"/>
      <c r="AM27" s="767"/>
      <c r="AN27" s="1162"/>
      <c r="AO27" s="1145">
        <v>24</v>
      </c>
      <c r="AP27" s="1146"/>
      <c r="AQ27" s="1147"/>
      <c r="AR27" s="1167"/>
      <c r="AS27" s="220"/>
      <c r="AT27" s="201"/>
      <c r="AU27" s="201"/>
      <c r="AV27" s="201"/>
      <c r="AW27" s="201"/>
      <c r="AX27" s="202"/>
      <c r="AY27" s="378"/>
      <c r="AZ27" s="379"/>
      <c r="BA27" s="221"/>
      <c r="BB27" s="767"/>
      <c r="BC27" s="1162"/>
      <c r="BD27" s="630" t="s">
        <v>428</v>
      </c>
    </row>
    <row r="28" spans="1:56" ht="19.149999999999999" customHeight="1" thickBot="1" x14ac:dyDescent="0.25">
      <c r="A28" s="1175" t="str">
        <f>IF(IGRF!B26="","",IGRF!B26)</f>
        <v/>
      </c>
      <c r="B28" s="191"/>
      <c r="C28" s="192"/>
      <c r="D28" s="192"/>
      <c r="E28" s="192"/>
      <c r="F28" s="192"/>
      <c r="G28" s="370"/>
      <c r="H28" s="371"/>
      <c r="I28" s="372"/>
      <c r="J28" s="193"/>
      <c r="K28" s="766"/>
      <c r="L28" s="1150" t="str">
        <f>IF(COUNTA(B28:J28)=0,"",COUNTA(B28:J28))</f>
        <v/>
      </c>
      <c r="M28" s="1163">
        <v>25</v>
      </c>
      <c r="N28" s="1164"/>
      <c r="O28" s="1165">
        <v>25</v>
      </c>
      <c r="P28" s="1175" t="str">
        <f>IF(IGRF!I26="","",IGRF!I26)</f>
        <v/>
      </c>
      <c r="Q28" s="191"/>
      <c r="R28" s="192"/>
      <c r="S28" s="192"/>
      <c r="T28" s="192"/>
      <c r="U28" s="192"/>
      <c r="V28" s="370"/>
      <c r="W28" s="371"/>
      <c r="X28" s="372"/>
      <c r="Y28" s="193"/>
      <c r="Z28" s="766"/>
      <c r="AA28" s="1155" t="str">
        <f>IF(COUNTA(Q28:Y28)=0,"",COUNTA(Q28:Y28))</f>
        <v/>
      </c>
      <c r="AB28" s="752" t="s">
        <v>433</v>
      </c>
      <c r="AC28" s="1176" t="str">
        <f>IF(IGRF!B26="","",IGRF!B26)</f>
        <v/>
      </c>
      <c r="AD28" s="761"/>
      <c r="AE28" s="192"/>
      <c r="AF28" s="192"/>
      <c r="AG28" s="192"/>
      <c r="AH28" s="192"/>
      <c r="AI28" s="370"/>
      <c r="AJ28" s="371"/>
      <c r="AK28" s="372"/>
      <c r="AL28" s="193"/>
      <c r="AM28" s="766"/>
      <c r="AN28" s="1150" t="str">
        <f>IF(COUNTA(AD28:AL28)=0,"",COUNTA(AD28:AL28))</f>
        <v/>
      </c>
      <c r="AO28" s="1163">
        <v>25</v>
      </c>
      <c r="AP28" s="1164"/>
      <c r="AQ28" s="1165"/>
      <c r="AR28" s="1169" t="str">
        <f>IF(IGRF!I26="","",IGRF!I26)</f>
        <v/>
      </c>
      <c r="AS28" s="191"/>
      <c r="AT28" s="192"/>
      <c r="AU28" s="192"/>
      <c r="AV28" s="192"/>
      <c r="AW28" s="192"/>
      <c r="AX28" s="370"/>
      <c r="AY28" s="371"/>
      <c r="AZ28" s="372"/>
      <c r="BA28" s="193"/>
      <c r="BB28" s="766"/>
      <c r="BC28" s="1150" t="str">
        <f>IF(COUNTA(AS28:BA28)=0,"",COUNTA(AS28:BA28))</f>
        <v/>
      </c>
      <c r="BD28" s="631" t="s">
        <v>433</v>
      </c>
    </row>
    <row r="29" spans="1:56" ht="19.149999999999999" customHeight="1" thickBot="1" x14ac:dyDescent="0.25">
      <c r="A29" s="1149"/>
      <c r="B29" s="194"/>
      <c r="C29" s="195"/>
      <c r="D29" s="195"/>
      <c r="E29" s="195"/>
      <c r="F29" s="195"/>
      <c r="G29" s="373"/>
      <c r="H29" s="374"/>
      <c r="I29" s="375"/>
      <c r="J29" s="196"/>
      <c r="K29" s="767"/>
      <c r="L29" s="1151"/>
      <c r="M29" s="1145">
        <v>26</v>
      </c>
      <c r="N29" s="1146"/>
      <c r="O29" s="1147">
        <v>26</v>
      </c>
      <c r="P29" s="1149"/>
      <c r="Q29" s="194"/>
      <c r="R29" s="195"/>
      <c r="S29" s="195"/>
      <c r="T29" s="195"/>
      <c r="U29" s="195"/>
      <c r="V29" s="373"/>
      <c r="W29" s="374"/>
      <c r="X29" s="375"/>
      <c r="Y29" s="196"/>
      <c r="Z29" s="767"/>
      <c r="AA29" s="1156"/>
      <c r="AB29" s="749" t="s">
        <v>127</v>
      </c>
      <c r="AC29" s="1176"/>
      <c r="AD29" s="762"/>
      <c r="AE29" s="195"/>
      <c r="AF29" s="195"/>
      <c r="AG29" s="195"/>
      <c r="AH29" s="195"/>
      <c r="AI29" s="373"/>
      <c r="AJ29" s="374"/>
      <c r="AK29" s="375"/>
      <c r="AL29" s="196"/>
      <c r="AM29" s="767"/>
      <c r="AN29" s="1151"/>
      <c r="AO29" s="1145">
        <v>26</v>
      </c>
      <c r="AP29" s="1146"/>
      <c r="AQ29" s="1147"/>
      <c r="AR29" s="1169"/>
      <c r="AS29" s="194"/>
      <c r="AT29" s="195"/>
      <c r="AU29" s="195"/>
      <c r="AV29" s="195"/>
      <c r="AW29" s="195"/>
      <c r="AX29" s="373"/>
      <c r="AY29" s="374"/>
      <c r="AZ29" s="375"/>
      <c r="BA29" s="196"/>
      <c r="BB29" s="767"/>
      <c r="BC29" s="1151"/>
      <c r="BD29" s="618" t="s">
        <v>127</v>
      </c>
    </row>
    <row r="30" spans="1:56" ht="19.149999999999999" customHeight="1" x14ac:dyDescent="0.2">
      <c r="A30" s="1170" t="str">
        <f>IF(IGRF!B27="","",IGRF!B27)</f>
        <v/>
      </c>
      <c r="B30" s="197"/>
      <c r="C30" s="198"/>
      <c r="D30" s="198"/>
      <c r="E30" s="198"/>
      <c r="F30" s="198"/>
      <c r="G30" s="199"/>
      <c r="H30" s="376"/>
      <c r="I30" s="377"/>
      <c r="J30" s="200"/>
      <c r="K30" s="766"/>
      <c r="L30" s="1161" t="str">
        <f>IF(COUNTA(B30:J30)=0,"",COUNTA(B30:J30))</f>
        <v/>
      </c>
      <c r="M30" s="1163">
        <v>27</v>
      </c>
      <c r="N30" s="1164"/>
      <c r="O30" s="1165">
        <v>27</v>
      </c>
      <c r="P30" s="1170" t="str">
        <f>IF(IGRF!I27="","",IGRF!I27)</f>
        <v/>
      </c>
      <c r="Q30" s="197"/>
      <c r="R30" s="198"/>
      <c r="S30" s="198"/>
      <c r="T30" s="198"/>
      <c r="U30" s="198"/>
      <c r="V30" s="199"/>
      <c r="W30" s="376"/>
      <c r="X30" s="377"/>
      <c r="Y30" s="200"/>
      <c r="Z30" s="766"/>
      <c r="AA30" s="1172" t="str">
        <f>IF(COUNTA(Q30:Y30)=0,"",COUNTA(Q30:Y30))</f>
        <v/>
      </c>
      <c r="AB30" s="753" t="s">
        <v>429</v>
      </c>
      <c r="AC30" s="1173" t="str">
        <f>IF(IGRF!B27="","",IGRF!B27)</f>
        <v/>
      </c>
      <c r="AD30" s="763"/>
      <c r="AE30" s="198"/>
      <c r="AF30" s="198"/>
      <c r="AG30" s="198"/>
      <c r="AH30" s="198"/>
      <c r="AI30" s="199"/>
      <c r="AJ30" s="376"/>
      <c r="AK30" s="377"/>
      <c r="AL30" s="200"/>
      <c r="AM30" s="766"/>
      <c r="AN30" s="1161" t="str">
        <f>IF(COUNTA(AD30:AL30)=0,"",COUNTA(AD30:AL30))</f>
        <v/>
      </c>
      <c r="AO30" s="1163">
        <v>27</v>
      </c>
      <c r="AP30" s="1164"/>
      <c r="AQ30" s="1165"/>
      <c r="AR30" s="1166" t="str">
        <f>IF(IGRF!I27="","",IGRF!I27)</f>
        <v/>
      </c>
      <c r="AS30" s="197"/>
      <c r="AT30" s="198"/>
      <c r="AU30" s="198"/>
      <c r="AV30" s="198"/>
      <c r="AW30" s="198"/>
      <c r="AX30" s="199"/>
      <c r="AY30" s="376"/>
      <c r="AZ30" s="377"/>
      <c r="BA30" s="200"/>
      <c r="BB30" s="766"/>
      <c r="BC30" s="1161" t="str">
        <f>IF(COUNTA(AS30:BA30)=0,"",COUNTA(AS30:BA30))</f>
        <v/>
      </c>
      <c r="BD30" s="625" t="s">
        <v>429</v>
      </c>
    </row>
    <row r="31" spans="1:56" ht="19.149999999999999" customHeight="1" thickBot="1" x14ac:dyDescent="0.25">
      <c r="A31" s="1171"/>
      <c r="B31" s="220"/>
      <c r="C31" s="201"/>
      <c r="D31" s="201"/>
      <c r="E31" s="201"/>
      <c r="F31" s="201"/>
      <c r="G31" s="202"/>
      <c r="H31" s="378"/>
      <c r="I31" s="379"/>
      <c r="J31" s="221"/>
      <c r="K31" s="767"/>
      <c r="L31" s="1162"/>
      <c r="M31" s="1145">
        <v>28</v>
      </c>
      <c r="N31" s="1146"/>
      <c r="O31" s="1147">
        <v>28</v>
      </c>
      <c r="P31" s="1171"/>
      <c r="Q31" s="220"/>
      <c r="R31" s="201"/>
      <c r="S31" s="201"/>
      <c r="T31" s="201"/>
      <c r="U31" s="201"/>
      <c r="V31" s="202"/>
      <c r="W31" s="378"/>
      <c r="X31" s="379"/>
      <c r="Y31" s="221"/>
      <c r="Z31" s="767"/>
      <c r="AA31" s="1177"/>
      <c r="AB31" s="754" t="s">
        <v>434</v>
      </c>
      <c r="AC31" s="1174"/>
      <c r="AD31" s="764"/>
      <c r="AE31" s="201"/>
      <c r="AF31" s="201"/>
      <c r="AG31" s="201"/>
      <c r="AH31" s="201"/>
      <c r="AI31" s="202"/>
      <c r="AJ31" s="378"/>
      <c r="AK31" s="379"/>
      <c r="AL31" s="221"/>
      <c r="AM31" s="767"/>
      <c r="AN31" s="1162"/>
      <c r="AO31" s="1145">
        <v>28</v>
      </c>
      <c r="AP31" s="1146"/>
      <c r="AQ31" s="1147"/>
      <c r="AR31" s="1167"/>
      <c r="AS31" s="220"/>
      <c r="AT31" s="201"/>
      <c r="AU31" s="201"/>
      <c r="AV31" s="201"/>
      <c r="AW31" s="201"/>
      <c r="AX31" s="202"/>
      <c r="AY31" s="378"/>
      <c r="AZ31" s="379"/>
      <c r="BA31" s="221"/>
      <c r="BB31" s="767"/>
      <c r="BC31" s="1162"/>
      <c r="BD31" s="624" t="s">
        <v>434</v>
      </c>
    </row>
    <row r="32" spans="1:56" ht="19.149999999999999" customHeight="1" thickBot="1" x14ac:dyDescent="0.25">
      <c r="A32" s="1175" t="str">
        <f>IF(IGRF!B28="","",IGRF!B28)</f>
        <v/>
      </c>
      <c r="B32" s="191"/>
      <c r="C32" s="192"/>
      <c r="D32" s="192"/>
      <c r="E32" s="192"/>
      <c r="F32" s="192"/>
      <c r="G32" s="370"/>
      <c r="H32" s="371"/>
      <c r="I32" s="372"/>
      <c r="J32" s="193"/>
      <c r="K32" s="766"/>
      <c r="L32" s="1150" t="str">
        <f>IF(COUNTA(B32:J32)=0,"",COUNTA(B32:J32))</f>
        <v/>
      </c>
      <c r="M32" s="1163">
        <v>29</v>
      </c>
      <c r="N32" s="1164"/>
      <c r="O32" s="1165">
        <v>29</v>
      </c>
      <c r="P32" s="1175" t="str">
        <f>IF(IGRF!I28="","",IGRF!I28)</f>
        <v/>
      </c>
      <c r="Q32" s="191"/>
      <c r="R32" s="192"/>
      <c r="S32" s="192"/>
      <c r="T32" s="192"/>
      <c r="U32" s="192"/>
      <c r="V32" s="370"/>
      <c r="W32" s="371"/>
      <c r="X32" s="372"/>
      <c r="Y32" s="193"/>
      <c r="Z32" s="766"/>
      <c r="AA32" s="1155" t="str">
        <f>IF(COUNTA(Q32:Y32)=0,"",COUNTA(Q32:Y32))</f>
        <v/>
      </c>
      <c r="AB32" s="754" t="s">
        <v>56</v>
      </c>
      <c r="AC32" s="1176" t="str">
        <f>IF(IGRF!B28="","",IGRF!B28)</f>
        <v/>
      </c>
      <c r="AD32" s="761"/>
      <c r="AE32" s="192"/>
      <c r="AF32" s="192"/>
      <c r="AG32" s="192"/>
      <c r="AH32" s="192"/>
      <c r="AI32" s="370"/>
      <c r="AJ32" s="371"/>
      <c r="AK32" s="372"/>
      <c r="AL32" s="193"/>
      <c r="AM32" s="766"/>
      <c r="AN32" s="1150" t="str">
        <f>IF(COUNTA(AD32:AL32)=0,"",COUNTA(AD32:AL32))</f>
        <v/>
      </c>
      <c r="AO32" s="1163">
        <v>29</v>
      </c>
      <c r="AP32" s="1164"/>
      <c r="AQ32" s="1165"/>
      <c r="AR32" s="1169" t="str">
        <f>IF(IGRF!I28="","",IGRF!I28)</f>
        <v/>
      </c>
      <c r="AS32" s="191"/>
      <c r="AT32" s="192"/>
      <c r="AU32" s="192"/>
      <c r="AV32" s="192"/>
      <c r="AW32" s="192"/>
      <c r="AX32" s="370"/>
      <c r="AY32" s="371"/>
      <c r="AZ32" s="372"/>
      <c r="BA32" s="193"/>
      <c r="BB32" s="766"/>
      <c r="BC32" s="1150" t="str">
        <f>IF(COUNTA(AS32:BA32)=0,"",COUNTA(AS32:BA32))</f>
        <v/>
      </c>
      <c r="BD32" s="624" t="s">
        <v>56</v>
      </c>
    </row>
    <row r="33" spans="1:56" ht="19.149999999999999" customHeight="1" thickBot="1" x14ac:dyDescent="0.25">
      <c r="A33" s="1149"/>
      <c r="B33" s="194"/>
      <c r="C33" s="195"/>
      <c r="D33" s="195"/>
      <c r="E33" s="195"/>
      <c r="F33" s="195"/>
      <c r="G33" s="373"/>
      <c r="H33" s="374"/>
      <c r="I33" s="375"/>
      <c r="J33" s="196"/>
      <c r="K33" s="767"/>
      <c r="L33" s="1151"/>
      <c r="M33" s="1145">
        <v>30</v>
      </c>
      <c r="N33" s="1146"/>
      <c r="O33" s="1147">
        <v>30</v>
      </c>
      <c r="P33" s="1149"/>
      <c r="Q33" s="194"/>
      <c r="R33" s="195"/>
      <c r="S33" s="195"/>
      <c r="T33" s="195"/>
      <c r="U33" s="195"/>
      <c r="V33" s="373"/>
      <c r="W33" s="374"/>
      <c r="X33" s="375"/>
      <c r="Y33" s="196"/>
      <c r="Z33" s="767"/>
      <c r="AA33" s="1156"/>
      <c r="AB33" s="755" t="s">
        <v>437</v>
      </c>
      <c r="AC33" s="1176"/>
      <c r="AD33" s="762"/>
      <c r="AE33" s="195"/>
      <c r="AF33" s="195"/>
      <c r="AG33" s="195"/>
      <c r="AH33" s="195"/>
      <c r="AI33" s="373"/>
      <c r="AJ33" s="374"/>
      <c r="AK33" s="375"/>
      <c r="AL33" s="196"/>
      <c r="AM33" s="767"/>
      <c r="AN33" s="1151"/>
      <c r="AO33" s="1145">
        <v>30</v>
      </c>
      <c r="AP33" s="1146"/>
      <c r="AQ33" s="1147"/>
      <c r="AR33" s="1169"/>
      <c r="AS33" s="194"/>
      <c r="AT33" s="195"/>
      <c r="AU33" s="195"/>
      <c r="AV33" s="195"/>
      <c r="AW33" s="195"/>
      <c r="AX33" s="373"/>
      <c r="AY33" s="374"/>
      <c r="AZ33" s="375"/>
      <c r="BA33" s="196"/>
      <c r="BB33" s="767"/>
      <c r="BC33" s="1151"/>
      <c r="BD33" s="613" t="s">
        <v>437</v>
      </c>
    </row>
    <row r="34" spans="1:56" ht="19.149999999999999" customHeight="1" x14ac:dyDescent="0.2">
      <c r="A34" s="1170" t="str">
        <f>IF(IGRF!B29="","",IGRF!B29)</f>
        <v/>
      </c>
      <c r="B34" s="197"/>
      <c r="C34" s="198"/>
      <c r="D34" s="198"/>
      <c r="E34" s="198"/>
      <c r="F34" s="198"/>
      <c r="G34" s="199"/>
      <c r="H34" s="376"/>
      <c r="I34" s="377"/>
      <c r="J34" s="200"/>
      <c r="K34" s="766"/>
      <c r="L34" s="1161" t="str">
        <f>IF(COUNTA(B34:J34)=0,"",COUNTA(B34:J34))</f>
        <v/>
      </c>
      <c r="M34" s="1163">
        <v>31</v>
      </c>
      <c r="N34" s="1164"/>
      <c r="O34" s="1165">
        <v>31</v>
      </c>
      <c r="P34" s="1170" t="str">
        <f>IF(IGRF!I29="","",IGRF!I29)</f>
        <v/>
      </c>
      <c r="Q34" s="197"/>
      <c r="R34" s="198"/>
      <c r="S34" s="198"/>
      <c r="T34" s="198"/>
      <c r="U34" s="198"/>
      <c r="V34" s="199"/>
      <c r="W34" s="376"/>
      <c r="X34" s="377"/>
      <c r="Y34" s="200"/>
      <c r="Z34" s="766"/>
      <c r="AA34" s="1172" t="str">
        <f>IF(COUNTA(Q34:Y34)=0,"",COUNTA(Q34:Y34))</f>
        <v/>
      </c>
      <c r="AB34" s="756" t="s">
        <v>438</v>
      </c>
      <c r="AC34" s="1173" t="str">
        <f>IF(IGRF!B29="","",IGRF!B29)</f>
        <v/>
      </c>
      <c r="AD34" s="763"/>
      <c r="AE34" s="198"/>
      <c r="AF34" s="198"/>
      <c r="AG34" s="198"/>
      <c r="AH34" s="198"/>
      <c r="AI34" s="199"/>
      <c r="AJ34" s="376"/>
      <c r="AK34" s="377"/>
      <c r="AL34" s="200"/>
      <c r="AM34" s="766"/>
      <c r="AN34" s="1161" t="str">
        <f>IF(COUNTA(AD34:AL34)=0,"",COUNTA(AD34:AL34))</f>
        <v/>
      </c>
      <c r="AO34" s="1163">
        <v>31</v>
      </c>
      <c r="AP34" s="1164"/>
      <c r="AQ34" s="1165"/>
      <c r="AR34" s="1166" t="str">
        <f>IF(IGRF!I29="","",IGRF!I29)</f>
        <v/>
      </c>
      <c r="AS34" s="197"/>
      <c r="AT34" s="198"/>
      <c r="AU34" s="198"/>
      <c r="AV34" s="198"/>
      <c r="AW34" s="198"/>
      <c r="AX34" s="199"/>
      <c r="AY34" s="376"/>
      <c r="AZ34" s="377"/>
      <c r="BA34" s="200"/>
      <c r="BB34" s="766"/>
      <c r="BC34" s="1161" t="str">
        <f>IF(COUNTA(AS34:BA34)=0,"",COUNTA(AS34:BA34))</f>
        <v/>
      </c>
      <c r="BD34" s="614" t="s">
        <v>438</v>
      </c>
    </row>
    <row r="35" spans="1:56" ht="19.149999999999999" customHeight="1" thickBot="1" x14ac:dyDescent="0.25">
      <c r="A35" s="1171"/>
      <c r="B35" s="220"/>
      <c r="C35" s="201"/>
      <c r="D35" s="201"/>
      <c r="E35" s="201"/>
      <c r="F35" s="201"/>
      <c r="G35" s="202"/>
      <c r="H35" s="378"/>
      <c r="I35" s="379"/>
      <c r="J35" s="221"/>
      <c r="K35" s="767"/>
      <c r="L35" s="1162"/>
      <c r="M35" s="1145">
        <v>32</v>
      </c>
      <c r="N35" s="1146"/>
      <c r="O35" s="1147">
        <v>32</v>
      </c>
      <c r="P35" s="1171"/>
      <c r="Q35" s="220"/>
      <c r="R35" s="201"/>
      <c r="S35" s="201"/>
      <c r="T35" s="201"/>
      <c r="U35" s="201"/>
      <c r="V35" s="202"/>
      <c r="W35" s="378"/>
      <c r="X35" s="379"/>
      <c r="Y35" s="221"/>
      <c r="Z35" s="767"/>
      <c r="AA35" s="1177"/>
      <c r="AB35" s="756" t="s">
        <v>276</v>
      </c>
      <c r="AC35" s="1174"/>
      <c r="AD35" s="764"/>
      <c r="AE35" s="201"/>
      <c r="AF35" s="201"/>
      <c r="AG35" s="201"/>
      <c r="AH35" s="201"/>
      <c r="AI35" s="202"/>
      <c r="AJ35" s="378"/>
      <c r="AK35" s="379"/>
      <c r="AL35" s="221"/>
      <c r="AM35" s="767"/>
      <c r="AN35" s="1162"/>
      <c r="AO35" s="1145">
        <v>32</v>
      </c>
      <c r="AP35" s="1146"/>
      <c r="AQ35" s="1147"/>
      <c r="AR35" s="1167"/>
      <c r="AS35" s="220"/>
      <c r="AT35" s="201"/>
      <c r="AU35" s="201"/>
      <c r="AV35" s="201"/>
      <c r="AW35" s="201"/>
      <c r="AX35" s="202"/>
      <c r="AY35" s="378"/>
      <c r="AZ35" s="379"/>
      <c r="BA35" s="221"/>
      <c r="BB35" s="767"/>
      <c r="BC35" s="1162"/>
      <c r="BD35" s="614" t="s">
        <v>276</v>
      </c>
    </row>
    <row r="36" spans="1:56" ht="19.149999999999999" customHeight="1" thickBot="1" x14ac:dyDescent="0.25">
      <c r="A36" s="1175" t="str">
        <f>IF(IGRF!B30="","",IGRF!B30)</f>
        <v/>
      </c>
      <c r="B36" s="191"/>
      <c r="C36" s="192"/>
      <c r="D36" s="192"/>
      <c r="E36" s="192"/>
      <c r="F36" s="192"/>
      <c r="G36" s="370"/>
      <c r="H36" s="371"/>
      <c r="I36" s="372"/>
      <c r="J36" s="193"/>
      <c r="K36" s="766"/>
      <c r="L36" s="1150" t="str">
        <f>IF(COUNTA(B36:J36)=0,"",COUNTA(B36:J36))</f>
        <v/>
      </c>
      <c r="M36" s="1163">
        <v>33</v>
      </c>
      <c r="N36" s="1164"/>
      <c r="O36" s="1165">
        <v>33</v>
      </c>
      <c r="P36" s="1175" t="str">
        <f>IF(IGRF!I30="","",IGRF!I30)</f>
        <v/>
      </c>
      <c r="Q36" s="191"/>
      <c r="R36" s="192"/>
      <c r="S36" s="192"/>
      <c r="T36" s="192"/>
      <c r="U36" s="192"/>
      <c r="V36" s="370"/>
      <c r="W36" s="371"/>
      <c r="X36" s="372"/>
      <c r="Y36" s="193"/>
      <c r="Z36" s="766"/>
      <c r="AA36" s="1155" t="str">
        <f>IF(COUNTA(Q36:Y36)=0,"",COUNTA(Q36:Y36))</f>
        <v/>
      </c>
      <c r="AB36" s="748" t="s">
        <v>116</v>
      </c>
      <c r="AC36" s="1176" t="str">
        <f>IF(IGRF!B30="","",IGRF!B30)</f>
        <v/>
      </c>
      <c r="AD36" s="761"/>
      <c r="AE36" s="192"/>
      <c r="AF36" s="192"/>
      <c r="AG36" s="192"/>
      <c r="AH36" s="192"/>
      <c r="AI36" s="370"/>
      <c r="AJ36" s="371"/>
      <c r="AK36" s="372"/>
      <c r="AL36" s="193"/>
      <c r="AM36" s="766"/>
      <c r="AN36" s="1150" t="str">
        <f>IF(COUNTA(AD36:AL36)=0,"",COUNTA(AD36:AL36))</f>
        <v/>
      </c>
      <c r="AO36" s="1163">
        <v>33</v>
      </c>
      <c r="AP36" s="1164"/>
      <c r="AQ36" s="1165"/>
      <c r="AR36" s="1169" t="str">
        <f>IF(IGRF!I30="","",IGRF!I30)</f>
        <v/>
      </c>
      <c r="AS36" s="191"/>
      <c r="AT36" s="192"/>
      <c r="AU36" s="192"/>
      <c r="AV36" s="192"/>
      <c r="AW36" s="192"/>
      <c r="AX36" s="370"/>
      <c r="AY36" s="371"/>
      <c r="AZ36" s="372"/>
      <c r="BA36" s="193"/>
      <c r="BB36" s="766"/>
      <c r="BC36" s="1150" t="str">
        <f>IF(COUNTA(AS36:BA36)=0,"",COUNTA(AS36:BA36))</f>
        <v/>
      </c>
      <c r="BD36" s="629" t="s">
        <v>116</v>
      </c>
    </row>
    <row r="37" spans="1:56" ht="19.149999999999999" customHeight="1" thickBot="1" x14ac:dyDescent="0.25">
      <c r="A37" s="1149"/>
      <c r="B37" s="194"/>
      <c r="C37" s="195"/>
      <c r="D37" s="195"/>
      <c r="E37" s="195"/>
      <c r="F37" s="195"/>
      <c r="G37" s="373"/>
      <c r="H37" s="374"/>
      <c r="I37" s="375"/>
      <c r="J37" s="196"/>
      <c r="K37" s="767"/>
      <c r="L37" s="1151"/>
      <c r="M37" s="1145">
        <v>34</v>
      </c>
      <c r="N37" s="1146"/>
      <c r="O37" s="1147">
        <v>34</v>
      </c>
      <c r="P37" s="1149"/>
      <c r="Q37" s="194"/>
      <c r="R37" s="195"/>
      <c r="S37" s="195"/>
      <c r="T37" s="195"/>
      <c r="U37" s="195"/>
      <c r="V37" s="373"/>
      <c r="W37" s="374"/>
      <c r="X37" s="375"/>
      <c r="Y37" s="196"/>
      <c r="Z37" s="767"/>
      <c r="AA37" s="1156"/>
      <c r="AB37" s="751" t="s">
        <v>430</v>
      </c>
      <c r="AC37" s="1176"/>
      <c r="AD37" s="762"/>
      <c r="AE37" s="195"/>
      <c r="AF37" s="195"/>
      <c r="AG37" s="195"/>
      <c r="AH37" s="195"/>
      <c r="AI37" s="373"/>
      <c r="AJ37" s="374"/>
      <c r="AK37" s="375"/>
      <c r="AL37" s="196"/>
      <c r="AM37" s="767"/>
      <c r="AN37" s="1151"/>
      <c r="AO37" s="1145">
        <v>34</v>
      </c>
      <c r="AP37" s="1146"/>
      <c r="AQ37" s="1147"/>
      <c r="AR37" s="1169"/>
      <c r="AS37" s="194"/>
      <c r="AT37" s="195"/>
      <c r="AU37" s="195"/>
      <c r="AV37" s="195"/>
      <c r="AW37" s="195"/>
      <c r="AX37" s="373"/>
      <c r="AY37" s="374"/>
      <c r="AZ37" s="375"/>
      <c r="BA37" s="196"/>
      <c r="BB37" s="767"/>
      <c r="BC37" s="1151"/>
      <c r="BD37" s="630" t="s">
        <v>430</v>
      </c>
    </row>
    <row r="38" spans="1:56" ht="19.149999999999999" customHeight="1" thickBot="1" x14ac:dyDescent="0.25">
      <c r="A38" s="1170" t="str">
        <f>IF(IGRF!B31="","",IGRF!B31)</f>
        <v/>
      </c>
      <c r="B38" s="197"/>
      <c r="C38" s="198"/>
      <c r="D38" s="198"/>
      <c r="E38" s="198"/>
      <c r="F38" s="198"/>
      <c r="G38" s="199"/>
      <c r="H38" s="376"/>
      <c r="I38" s="377"/>
      <c r="J38" s="200"/>
      <c r="K38" s="766"/>
      <c r="L38" s="1161" t="str">
        <f>IF(COUNTA(B38:J38)=0,"",COUNTA(B38:J38))</f>
        <v/>
      </c>
      <c r="M38" s="1163">
        <v>35</v>
      </c>
      <c r="N38" s="1164"/>
      <c r="O38" s="1165">
        <v>35</v>
      </c>
      <c r="P38" s="1170" t="str">
        <f>IF(IGRF!I31="","",IGRF!I31)</f>
        <v/>
      </c>
      <c r="Q38" s="197"/>
      <c r="R38" s="198"/>
      <c r="S38" s="198"/>
      <c r="T38" s="198"/>
      <c r="U38" s="198"/>
      <c r="V38" s="199"/>
      <c r="W38" s="376"/>
      <c r="X38" s="377"/>
      <c r="Y38" s="200"/>
      <c r="Z38" s="766"/>
      <c r="AA38" s="1172" t="str">
        <f>IF(COUNTA(Q38:Y38)=0,"",COUNTA(Q38:Y38))</f>
        <v/>
      </c>
      <c r="AB38" s="633" t="s">
        <v>435</v>
      </c>
      <c r="AC38" s="1173" t="str">
        <f>IF(IGRF!B31="","",IGRF!B31)</f>
        <v/>
      </c>
      <c r="AD38" s="763"/>
      <c r="AE38" s="198"/>
      <c r="AF38" s="198"/>
      <c r="AG38" s="198"/>
      <c r="AH38" s="198"/>
      <c r="AI38" s="199"/>
      <c r="AJ38" s="376"/>
      <c r="AK38" s="377"/>
      <c r="AL38" s="200"/>
      <c r="AM38" s="766"/>
      <c r="AN38" s="1161" t="str">
        <f>IF(COUNTA(AD38:AL38)=0,"",COUNTA(AD38:AL38))</f>
        <v/>
      </c>
      <c r="AO38" s="1163">
        <v>35</v>
      </c>
      <c r="AP38" s="1164"/>
      <c r="AQ38" s="1165"/>
      <c r="AR38" s="1166" t="str">
        <f>IF(IGRF!I31="","",IGRF!I31)</f>
        <v/>
      </c>
      <c r="AS38" s="197"/>
      <c r="AT38" s="198"/>
      <c r="AU38" s="198"/>
      <c r="AV38" s="198"/>
      <c r="AW38" s="198"/>
      <c r="AX38" s="199"/>
      <c r="AY38" s="376"/>
      <c r="AZ38" s="377"/>
      <c r="BA38" s="200"/>
      <c r="BB38" s="766"/>
      <c r="BC38" s="1161" t="str">
        <f>IF(COUNTA(AS38:BA38)=0,"",COUNTA(AS38:BA38))</f>
        <v/>
      </c>
      <c r="BD38" s="633" t="s">
        <v>435</v>
      </c>
    </row>
    <row r="39" spans="1:56" ht="19.149999999999999" customHeight="1" thickBot="1" x14ac:dyDescent="0.25">
      <c r="A39" s="1171"/>
      <c r="B39" s="220"/>
      <c r="C39" s="201"/>
      <c r="D39" s="201"/>
      <c r="E39" s="201"/>
      <c r="F39" s="201"/>
      <c r="G39" s="202"/>
      <c r="H39" s="378"/>
      <c r="I39" s="379"/>
      <c r="J39" s="221"/>
      <c r="K39" s="767"/>
      <c r="L39" s="1162"/>
      <c r="M39" s="1145">
        <v>36</v>
      </c>
      <c r="N39" s="1146"/>
      <c r="O39" s="1147">
        <v>36</v>
      </c>
      <c r="P39" s="1171"/>
      <c r="Q39" s="220"/>
      <c r="R39" s="201"/>
      <c r="S39" s="201"/>
      <c r="T39" s="201"/>
      <c r="U39" s="201"/>
      <c r="V39" s="202"/>
      <c r="W39" s="378"/>
      <c r="X39" s="379"/>
      <c r="Y39" s="221"/>
      <c r="Z39" s="767"/>
      <c r="AA39" s="1177"/>
      <c r="AB39" s="749" t="s">
        <v>129</v>
      </c>
      <c r="AC39" s="1174"/>
      <c r="AD39" s="764"/>
      <c r="AE39" s="201"/>
      <c r="AF39" s="201"/>
      <c r="AG39" s="201"/>
      <c r="AH39" s="201"/>
      <c r="AI39" s="202"/>
      <c r="AJ39" s="378"/>
      <c r="AK39" s="379"/>
      <c r="AL39" s="221"/>
      <c r="AM39" s="767"/>
      <c r="AN39" s="1162"/>
      <c r="AO39" s="1145">
        <v>36</v>
      </c>
      <c r="AP39" s="1146"/>
      <c r="AQ39" s="1147"/>
      <c r="AR39" s="1167"/>
      <c r="AS39" s="220"/>
      <c r="AT39" s="201"/>
      <c r="AU39" s="201"/>
      <c r="AV39" s="201"/>
      <c r="AW39" s="201"/>
      <c r="AX39" s="202"/>
      <c r="AY39" s="378"/>
      <c r="AZ39" s="379"/>
      <c r="BA39" s="221"/>
      <c r="BB39" s="767"/>
      <c r="BC39" s="1162"/>
      <c r="BD39" s="618" t="s">
        <v>129</v>
      </c>
    </row>
    <row r="40" spans="1:56" ht="19.149999999999999" customHeight="1" thickBot="1" x14ac:dyDescent="0.25">
      <c r="A40" s="1175" t="str">
        <f>IF(IGRF!B32="","",IGRF!B32)</f>
        <v/>
      </c>
      <c r="B40" s="191"/>
      <c r="C40" s="192"/>
      <c r="D40" s="192"/>
      <c r="E40" s="192"/>
      <c r="F40" s="192"/>
      <c r="G40" s="370"/>
      <c r="H40" s="371"/>
      <c r="I40" s="372"/>
      <c r="J40" s="193"/>
      <c r="K40" s="766"/>
      <c r="L40" s="1150" t="str">
        <f>IF(COUNTA(B40:J40)=0,"",COUNTA(B40:J40))</f>
        <v/>
      </c>
      <c r="M40" s="1163">
        <v>37</v>
      </c>
      <c r="N40" s="1164"/>
      <c r="O40" s="1165">
        <v>37</v>
      </c>
      <c r="P40" s="1175" t="str">
        <f>IF(IGRF!I32="","",IGRF!I32)</f>
        <v/>
      </c>
      <c r="Q40" s="191"/>
      <c r="R40" s="192"/>
      <c r="S40" s="192"/>
      <c r="T40" s="192"/>
      <c r="U40" s="192"/>
      <c r="V40" s="370"/>
      <c r="W40" s="371"/>
      <c r="X40" s="372"/>
      <c r="Y40" s="193"/>
      <c r="Z40" s="766"/>
      <c r="AA40" s="1155" t="str">
        <f>IF(COUNTA(Q40:Y40)=0,"",COUNTA(Q40:Y40))</f>
        <v/>
      </c>
      <c r="AB40" s="745" t="s">
        <v>431</v>
      </c>
      <c r="AC40" s="1176" t="str">
        <f>IF(IGRF!B32="","",IGRF!B32)</f>
        <v/>
      </c>
      <c r="AD40" s="761"/>
      <c r="AE40" s="192"/>
      <c r="AF40" s="192"/>
      <c r="AG40" s="192"/>
      <c r="AH40" s="192"/>
      <c r="AI40" s="370"/>
      <c r="AJ40" s="371"/>
      <c r="AK40" s="372"/>
      <c r="AL40" s="193"/>
      <c r="AM40" s="766"/>
      <c r="AN40" s="1150" t="str">
        <f>IF(COUNTA(AD40:AL40)=0,"",COUNTA(AD40:AL40))</f>
        <v/>
      </c>
      <c r="AO40" s="1163">
        <v>37</v>
      </c>
      <c r="AP40" s="1164"/>
      <c r="AQ40" s="1165"/>
      <c r="AR40" s="1169" t="str">
        <f>IF(IGRF!I32="","",IGRF!I32)</f>
        <v/>
      </c>
      <c r="AS40" s="191"/>
      <c r="AT40" s="192"/>
      <c r="AU40" s="192"/>
      <c r="AV40" s="192"/>
      <c r="AW40" s="192"/>
      <c r="AX40" s="370"/>
      <c r="AY40" s="371"/>
      <c r="AZ40" s="372"/>
      <c r="BA40" s="193"/>
      <c r="BB40" s="766"/>
      <c r="BC40" s="1150" t="str">
        <f>IF(COUNTA(AS40:BA40)=0,"",COUNTA(AS40:BA40))</f>
        <v/>
      </c>
      <c r="BD40" s="623" t="s">
        <v>431</v>
      </c>
    </row>
    <row r="41" spans="1:56" ht="19.149999999999999" customHeight="1" thickBot="1" x14ac:dyDescent="0.25">
      <c r="A41" s="1149"/>
      <c r="B41" s="194"/>
      <c r="C41" s="195"/>
      <c r="D41" s="195"/>
      <c r="E41" s="195"/>
      <c r="F41" s="195"/>
      <c r="G41" s="373"/>
      <c r="H41" s="374"/>
      <c r="I41" s="375"/>
      <c r="J41" s="196"/>
      <c r="K41" s="767"/>
      <c r="L41" s="1151"/>
      <c r="M41" s="1145">
        <v>38</v>
      </c>
      <c r="N41" s="1146"/>
      <c r="O41" s="1147">
        <v>38</v>
      </c>
      <c r="P41" s="1149"/>
      <c r="Q41" s="194"/>
      <c r="R41" s="195"/>
      <c r="S41" s="195"/>
      <c r="T41" s="195"/>
      <c r="U41" s="195"/>
      <c r="V41" s="373"/>
      <c r="W41" s="374"/>
      <c r="X41" s="375"/>
      <c r="Y41" s="196"/>
      <c r="Z41" s="767"/>
      <c r="AA41" s="1156"/>
      <c r="AB41" s="635" t="s">
        <v>176</v>
      </c>
      <c r="AC41" s="1176"/>
      <c r="AD41" s="762"/>
      <c r="AE41" s="195"/>
      <c r="AF41" s="195"/>
      <c r="AG41" s="195"/>
      <c r="AH41" s="195"/>
      <c r="AI41" s="373"/>
      <c r="AJ41" s="374"/>
      <c r="AK41" s="375"/>
      <c r="AL41" s="196"/>
      <c r="AM41" s="767"/>
      <c r="AN41" s="1151"/>
      <c r="AO41" s="1145">
        <v>38</v>
      </c>
      <c r="AP41" s="1146"/>
      <c r="AQ41" s="1147"/>
      <c r="AR41" s="1169"/>
      <c r="AS41" s="194"/>
      <c r="AT41" s="195"/>
      <c r="AU41" s="195"/>
      <c r="AV41" s="195"/>
      <c r="AW41" s="195"/>
      <c r="AX41" s="373"/>
      <c r="AY41" s="374"/>
      <c r="AZ41" s="375"/>
      <c r="BA41" s="196"/>
      <c r="BB41" s="767"/>
      <c r="BC41" s="1151"/>
      <c r="BD41" s="635" t="s">
        <v>176</v>
      </c>
    </row>
    <row r="42" spans="1:56" ht="19.149999999999999" customHeight="1" x14ac:dyDescent="0.2">
      <c r="A42" s="1170" t="str">
        <f>IF(IGRF!B33="","",IGRF!B33)</f>
        <v/>
      </c>
      <c r="B42" s="197"/>
      <c r="C42" s="198"/>
      <c r="D42" s="198"/>
      <c r="E42" s="198"/>
      <c r="F42" s="198"/>
      <c r="G42" s="199"/>
      <c r="H42" s="376"/>
      <c r="I42" s="377"/>
      <c r="J42" s="200"/>
      <c r="K42" s="766"/>
      <c r="L42" s="1161" t="str">
        <f>IF(COUNTA(B42:J42)=0,"",COUNTA(B42:J42))</f>
        <v/>
      </c>
      <c r="M42" s="1163"/>
      <c r="N42" s="1164"/>
      <c r="O42" s="1165">
        <v>39</v>
      </c>
      <c r="P42" s="1170" t="str">
        <f>IF(IGRF!I33="","",IGRF!I33)</f>
        <v/>
      </c>
      <c r="Q42" s="197"/>
      <c r="R42" s="198"/>
      <c r="S42" s="198"/>
      <c r="T42" s="198"/>
      <c r="U42" s="198"/>
      <c r="V42" s="199"/>
      <c r="W42" s="376"/>
      <c r="X42" s="377"/>
      <c r="Y42" s="200"/>
      <c r="Z42" s="766"/>
      <c r="AA42" s="1172" t="str">
        <f>IF(COUNTA(Q42:Y42)=0,"",COUNTA(Q42:Y42))</f>
        <v/>
      </c>
      <c r="AB42" s="748" t="s">
        <v>123</v>
      </c>
      <c r="AC42" s="1173" t="str">
        <f>IF(IGRF!B33="","",IGRF!B33)</f>
        <v/>
      </c>
      <c r="AD42" s="763"/>
      <c r="AE42" s="198"/>
      <c r="AF42" s="198"/>
      <c r="AG42" s="198"/>
      <c r="AH42" s="198"/>
      <c r="AI42" s="199"/>
      <c r="AJ42" s="376"/>
      <c r="AK42" s="377"/>
      <c r="AL42" s="200"/>
      <c r="AM42" s="766"/>
      <c r="AN42" s="1161" t="str">
        <f>IF(COUNTA(AD42:AL42)=0,"",COUNTA(AD42:AL42))</f>
        <v/>
      </c>
      <c r="AO42" s="1163"/>
      <c r="AP42" s="1164"/>
      <c r="AQ42" s="1165"/>
      <c r="AR42" s="1166" t="str">
        <f>IF(IGRF!I33="","",IGRF!I33)</f>
        <v/>
      </c>
      <c r="AS42" s="197"/>
      <c r="AT42" s="198"/>
      <c r="AU42" s="198"/>
      <c r="AV42" s="198"/>
      <c r="AW42" s="198"/>
      <c r="AX42" s="199"/>
      <c r="AY42" s="376"/>
      <c r="AZ42" s="377"/>
      <c r="BA42" s="200"/>
      <c r="BB42" s="766"/>
      <c r="BC42" s="1161" t="str">
        <f>IF(COUNTA(AS42:BA42)=0,"",COUNTA(AS42:BA42))</f>
        <v/>
      </c>
      <c r="BD42" s="629" t="s">
        <v>123</v>
      </c>
    </row>
    <row r="43" spans="1:56" ht="19.149999999999999" customHeight="1" thickBot="1" x14ac:dyDescent="0.25">
      <c r="A43" s="1181"/>
      <c r="B43" s="203"/>
      <c r="C43" s="204"/>
      <c r="D43" s="204"/>
      <c r="E43" s="204"/>
      <c r="F43" s="204"/>
      <c r="G43" s="205"/>
      <c r="H43" s="518"/>
      <c r="I43" s="380"/>
      <c r="J43" s="206"/>
      <c r="K43" s="767"/>
      <c r="L43" s="1178"/>
      <c r="M43" s="1180"/>
      <c r="N43" s="1146"/>
      <c r="O43" s="1147">
        <v>40</v>
      </c>
      <c r="P43" s="1181"/>
      <c r="Q43" s="203"/>
      <c r="R43" s="204"/>
      <c r="S43" s="204"/>
      <c r="T43" s="204"/>
      <c r="U43" s="204"/>
      <c r="V43" s="205"/>
      <c r="W43" s="518"/>
      <c r="X43" s="380"/>
      <c r="Y43" s="206"/>
      <c r="Z43" s="767"/>
      <c r="AA43" s="1182"/>
      <c r="AB43" s="757" t="s">
        <v>57</v>
      </c>
      <c r="AC43" s="1183"/>
      <c r="AD43" s="765"/>
      <c r="AE43" s="204"/>
      <c r="AF43" s="204"/>
      <c r="AG43" s="204"/>
      <c r="AH43" s="204"/>
      <c r="AI43" s="205"/>
      <c r="AJ43" s="518"/>
      <c r="AK43" s="380"/>
      <c r="AL43" s="206"/>
      <c r="AM43" s="767"/>
      <c r="AN43" s="1178"/>
      <c r="AO43" s="1180"/>
      <c r="AP43" s="1146"/>
      <c r="AQ43" s="1147"/>
      <c r="AR43" s="1179"/>
      <c r="AS43" s="203"/>
      <c r="AT43" s="204"/>
      <c r="AU43" s="204"/>
      <c r="AV43" s="204"/>
      <c r="AW43" s="204"/>
      <c r="AX43" s="205"/>
      <c r="AY43" s="518"/>
      <c r="AZ43" s="380"/>
      <c r="BA43" s="206"/>
      <c r="BB43" s="767"/>
      <c r="BC43" s="1178"/>
      <c r="BD43" s="634" t="s">
        <v>57</v>
      </c>
    </row>
    <row r="44" spans="1:56" s="15" customFormat="1" ht="16.5" customHeight="1" x14ac:dyDescent="0.2">
      <c r="A44" s="1184" t="s">
        <v>277</v>
      </c>
      <c r="B44" s="1185"/>
      <c r="C44" s="372"/>
      <c r="D44" s="192"/>
      <c r="E44" s="503">
        <f>COUNTA(C44:D44)</f>
        <v>0</v>
      </c>
      <c r="F44" s="1200" t="s">
        <v>289</v>
      </c>
      <c r="G44" s="1200"/>
      <c r="H44" s="1200"/>
      <c r="I44" s="1200"/>
      <c r="J44" s="1200"/>
      <c r="K44" s="1201"/>
      <c r="L44" s="1198" t="str">
        <f>IF(SUM(L4:L43)=0,"",SUM(L4:L43,E44))</f>
        <v/>
      </c>
      <c r="M44" s="1197"/>
      <c r="N44" s="1164"/>
      <c r="O44" s="1165">
        <v>41</v>
      </c>
      <c r="P44" s="1184" t="s">
        <v>277</v>
      </c>
      <c r="Q44" s="1185"/>
      <c r="R44" s="372"/>
      <c r="S44" s="192"/>
      <c r="T44" s="503">
        <f>COUNTA(R44:S44)</f>
        <v>0</v>
      </c>
      <c r="U44" s="1200" t="s">
        <v>289</v>
      </c>
      <c r="V44" s="1200"/>
      <c r="W44" s="1200"/>
      <c r="X44" s="1200"/>
      <c r="Y44" s="1200"/>
      <c r="Z44" s="1201"/>
      <c r="AA44" s="1193" t="str">
        <f>IF(SUM(AA4:AA43)=0,"",SUM(AA4:AA43,T44))</f>
        <v/>
      </c>
      <c r="AB44" s="758" t="s">
        <v>525</v>
      </c>
      <c r="AC44" s="1186" t="s">
        <v>277</v>
      </c>
      <c r="AD44" s="1187"/>
      <c r="AE44" s="372"/>
      <c r="AF44" s="192"/>
      <c r="AG44" s="503">
        <f>COUNTA(AE44:AF44)</f>
        <v>0</v>
      </c>
      <c r="AH44" s="1200" t="s">
        <v>290</v>
      </c>
      <c r="AI44" s="1200"/>
      <c r="AJ44" s="1200"/>
      <c r="AK44" s="1200"/>
      <c r="AL44" s="1200"/>
      <c r="AM44" s="1201"/>
      <c r="AN44" s="1195" t="str">
        <f>IF(SUM(AN4:AN43)=0,"",SUM(AN4:AN43,AG44))</f>
        <v/>
      </c>
      <c r="AO44" s="1197"/>
      <c r="AP44" s="1164"/>
      <c r="AQ44" s="1165"/>
      <c r="AR44" s="1184" t="s">
        <v>277</v>
      </c>
      <c r="AS44" s="1185"/>
      <c r="AT44" s="372"/>
      <c r="AU44" s="192"/>
      <c r="AV44" s="503">
        <f>COUNTA(AT44:AU44)</f>
        <v>0</v>
      </c>
      <c r="AW44" s="1200" t="s">
        <v>290</v>
      </c>
      <c r="AX44" s="1200"/>
      <c r="AY44" s="1200"/>
      <c r="AZ44" s="1200"/>
      <c r="BA44" s="1200"/>
      <c r="BB44" s="1201"/>
      <c r="BC44" s="1188" t="str">
        <f>IF(SUM(BC4:BC43)=0,"",SUM(BC4:BC43,AV44))</f>
        <v/>
      </c>
      <c r="BD44" s="758" t="s">
        <v>525</v>
      </c>
    </row>
    <row r="45" spans="1:56" s="17" customFormat="1" ht="16.5" customHeight="1" thickBot="1" x14ac:dyDescent="0.25">
      <c r="A45" s="498"/>
      <c r="B45" s="499"/>
      <c r="C45" s="375"/>
      <c r="D45" s="195"/>
      <c r="E45" s="502"/>
      <c r="F45" s="1202"/>
      <c r="G45" s="1202"/>
      <c r="H45" s="1202"/>
      <c r="I45" s="1202"/>
      <c r="J45" s="1202"/>
      <c r="K45" s="1203"/>
      <c r="L45" s="1199"/>
      <c r="M45" s="1190"/>
      <c r="N45" s="1191"/>
      <c r="O45" s="1192">
        <v>42</v>
      </c>
      <c r="P45" s="498"/>
      <c r="Q45" s="499"/>
      <c r="R45" s="375"/>
      <c r="S45" s="195"/>
      <c r="T45" s="502"/>
      <c r="U45" s="1202"/>
      <c r="V45" s="1202"/>
      <c r="W45" s="1202"/>
      <c r="X45" s="1202"/>
      <c r="Y45" s="1202"/>
      <c r="Z45" s="1203"/>
      <c r="AA45" s="1194"/>
      <c r="AB45" s="633" t="s">
        <v>526</v>
      </c>
      <c r="AC45" s="759"/>
      <c r="AD45" s="760"/>
      <c r="AE45" s="375"/>
      <c r="AF45" s="195"/>
      <c r="AG45" s="502"/>
      <c r="AH45" s="1202"/>
      <c r="AI45" s="1202"/>
      <c r="AJ45" s="1202"/>
      <c r="AK45" s="1202"/>
      <c r="AL45" s="1202"/>
      <c r="AM45" s="1203"/>
      <c r="AN45" s="1196"/>
      <c r="AO45" s="1190"/>
      <c r="AP45" s="1191"/>
      <c r="AQ45" s="1192"/>
      <c r="AR45" s="500"/>
      <c r="AS45" s="501"/>
      <c r="AT45" s="375"/>
      <c r="AU45" s="195"/>
      <c r="AV45" s="502"/>
      <c r="AW45" s="1202"/>
      <c r="AX45" s="1202"/>
      <c r="AY45" s="1202"/>
      <c r="AZ45" s="1202"/>
      <c r="BA45" s="1202"/>
      <c r="BB45" s="1203"/>
      <c r="BC45" s="1189"/>
      <c r="BD45" s="633" t="s">
        <v>526</v>
      </c>
    </row>
    <row r="47" spans="1:56" x14ac:dyDescent="0.2">
      <c r="A47" s="16"/>
      <c r="B47" s="16"/>
      <c r="C47" s="16"/>
      <c r="D47" s="16"/>
      <c r="E47" s="16"/>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7" type="noConversion"/>
  <conditionalFormatting sqref="AT44:AU45 AS4:BB43 AE44:AF45 AD4:AM43">
    <cfRule type="expression" dxfId="11" priority="10">
      <formula>NOT(ISBLANK(B4))</formula>
    </cfRule>
  </conditionalFormatting>
  <printOptions horizontalCentered="1"/>
  <pageMargins left="1" right="0.5" top="0.7" bottom="0.35" header="0.36" footer="0"/>
  <pageSetup scale="61" fitToWidth="2" orientation="landscape" horizontalDpi="4294967294" verticalDpi="4294967294" r:id="rId1"/>
  <headerFooter>
    <oddHeader><![CDATA[&L&"Calibri,Regular"&34&K000000&G&A&C
&R&"Calibri,Regular"&K000000
‘&A’ revision 2404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zoomScaleNormal="100" zoomScaleSheetLayoutView="10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1"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1"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8" customFormat="1" ht="28.9" customHeight="1" x14ac:dyDescent="0.35">
      <c r="A1" s="1210" t="str">
        <f>Score!$A$1</f>
        <v>Home Team</v>
      </c>
      <c r="B1" s="1210"/>
      <c r="C1" s="1210"/>
      <c r="D1" s="1210"/>
      <c r="E1" s="1210"/>
      <c r="F1" s="1210"/>
      <c r="G1" s="1210"/>
      <c r="H1" s="1216" t="str">
        <f>IF(ISBLANK(IGRF!$B$12), "", IGRF!$B$12)</f>
        <v/>
      </c>
      <c r="I1" s="1216"/>
      <c r="J1" s="1216"/>
      <c r="K1" s="1216"/>
      <c r="L1" s="1217" t="str">
        <f>IF(ISBLANK(IGRF!$B$7), "", IGRF!$B$7)</f>
        <v/>
      </c>
      <c r="M1" s="1217"/>
      <c r="N1" s="1217"/>
      <c r="O1" s="1217"/>
      <c r="P1" s="1208"/>
      <c r="Q1" s="1208"/>
      <c r="R1" s="1208"/>
      <c r="S1" s="1208"/>
      <c r="T1" s="1208"/>
      <c r="U1" s="1208"/>
      <c r="V1" s="1208"/>
      <c r="W1" s="1208"/>
      <c r="X1" s="1208"/>
      <c r="Y1" s="1208"/>
      <c r="Z1" s="602">
        <v>1</v>
      </c>
      <c r="AA1" s="1210" t="str">
        <f>Score!T1</f>
        <v>Away Team</v>
      </c>
      <c r="AB1" s="1210"/>
      <c r="AC1" s="1210"/>
      <c r="AD1" s="1210"/>
      <c r="AE1" s="1210"/>
      <c r="AF1" s="1210"/>
      <c r="AG1" s="1210"/>
      <c r="AH1" s="1216" t="str">
        <f>IF(ISBLANK(IGRF!$I$12), "", IGRF!$I$12)</f>
        <v/>
      </c>
      <c r="AI1" s="1216"/>
      <c r="AJ1" s="1216"/>
      <c r="AK1" s="1216"/>
      <c r="AL1" s="1217" t="str">
        <f>L1</f>
        <v/>
      </c>
      <c r="AM1" s="1217"/>
      <c r="AN1" s="1217"/>
      <c r="AO1" s="1217"/>
      <c r="AP1" s="1208"/>
      <c r="AQ1" s="1208"/>
      <c r="AR1" s="1208"/>
      <c r="AS1" s="1208"/>
      <c r="AT1" s="1208"/>
      <c r="AU1" s="1208"/>
      <c r="AV1" s="1208"/>
      <c r="AW1" s="1208"/>
      <c r="AX1" s="1208"/>
      <c r="AY1" s="1208"/>
      <c r="AZ1" s="602">
        <v>1</v>
      </c>
    </row>
    <row r="2" spans="1:52" s="298" customFormat="1" ht="15" customHeight="1" thickBot="1" x14ac:dyDescent="0.25">
      <c r="A2" s="1211"/>
      <c r="B2" s="1211"/>
      <c r="C2" s="1211"/>
      <c r="D2" s="1211"/>
      <c r="E2" s="1211"/>
      <c r="F2" s="1211"/>
      <c r="G2" s="1211"/>
      <c r="H2" s="1218" t="s">
        <v>187</v>
      </c>
      <c r="I2" s="1218"/>
      <c r="J2" s="1218"/>
      <c r="K2" s="1218"/>
      <c r="L2" s="1219" t="s">
        <v>190</v>
      </c>
      <c r="M2" s="1219"/>
      <c r="N2" s="1219"/>
      <c r="O2" s="1219"/>
      <c r="P2" s="1209" t="s">
        <v>182</v>
      </c>
      <c r="Q2" s="1209"/>
      <c r="R2" s="1209"/>
      <c r="S2" s="1209"/>
      <c r="T2" s="1209"/>
      <c r="U2" s="1209"/>
      <c r="V2" s="1209"/>
      <c r="W2" s="1209"/>
      <c r="X2" s="1209"/>
      <c r="Y2" s="1209"/>
      <c r="Z2" s="603" t="str">
        <f>IF(ISBLANK(IGRF!$L$3), "", "GAME " &amp; IGRF!$L$3)</f>
        <v/>
      </c>
      <c r="AA2" s="1211"/>
      <c r="AB2" s="1211"/>
      <c r="AC2" s="1211"/>
      <c r="AD2" s="1211"/>
      <c r="AE2" s="1211"/>
      <c r="AF2" s="1211"/>
      <c r="AG2" s="1211"/>
      <c r="AH2" s="1218" t="s">
        <v>187</v>
      </c>
      <c r="AI2" s="1218"/>
      <c r="AJ2" s="1218"/>
      <c r="AK2" s="1218"/>
      <c r="AL2" s="1219" t="s">
        <v>190</v>
      </c>
      <c r="AM2" s="1219"/>
      <c r="AN2" s="1219"/>
      <c r="AO2" s="1219"/>
      <c r="AP2" s="1209" t="s">
        <v>182</v>
      </c>
      <c r="AQ2" s="1209"/>
      <c r="AR2" s="1209"/>
      <c r="AS2" s="1209"/>
      <c r="AT2" s="1209"/>
      <c r="AU2" s="1209"/>
      <c r="AV2" s="1209"/>
      <c r="AW2" s="1209"/>
      <c r="AX2" s="1209"/>
      <c r="AY2" s="1209"/>
      <c r="AZ2" s="603" t="str">
        <f>Z2</f>
        <v/>
      </c>
    </row>
    <row r="3" spans="1:52" s="299" customFormat="1" ht="13.5" customHeight="1" thickBot="1" x14ac:dyDescent="0.25">
      <c r="A3" s="300" t="s">
        <v>265</v>
      </c>
      <c r="B3" s="301" t="s">
        <v>188</v>
      </c>
      <c r="C3" s="517" t="s">
        <v>106</v>
      </c>
      <c r="D3" s="1204" t="s">
        <v>266</v>
      </c>
      <c r="E3" s="1204"/>
      <c r="F3" s="1204"/>
      <c r="G3" s="517" t="s">
        <v>104</v>
      </c>
      <c r="H3" s="1204" t="s">
        <v>266</v>
      </c>
      <c r="I3" s="1204"/>
      <c r="J3" s="1204"/>
      <c r="K3" s="517" t="s">
        <v>105</v>
      </c>
      <c r="L3" s="1204" t="s">
        <v>266</v>
      </c>
      <c r="M3" s="1204"/>
      <c r="N3" s="1204"/>
      <c r="O3" s="517" t="s">
        <v>105</v>
      </c>
      <c r="P3" s="1204" t="s">
        <v>266</v>
      </c>
      <c r="Q3" s="1204"/>
      <c r="R3" s="1204"/>
      <c r="S3" s="517" t="s">
        <v>105</v>
      </c>
      <c r="T3" s="1204" t="s">
        <v>266</v>
      </c>
      <c r="U3" s="1204"/>
      <c r="V3" s="1204"/>
      <c r="W3" s="340"/>
      <c r="X3" s="1205" t="s">
        <v>183</v>
      </c>
      <c r="Y3" s="1206"/>
      <c r="Z3" s="1207"/>
      <c r="AA3" s="300" t="s">
        <v>265</v>
      </c>
      <c r="AB3" s="301" t="s">
        <v>188</v>
      </c>
      <c r="AC3" s="517" t="s">
        <v>106</v>
      </c>
      <c r="AD3" s="1204" t="s">
        <v>266</v>
      </c>
      <c r="AE3" s="1204"/>
      <c r="AF3" s="1204"/>
      <c r="AG3" s="517" t="s">
        <v>104</v>
      </c>
      <c r="AH3" s="1204" t="s">
        <v>266</v>
      </c>
      <c r="AI3" s="1204"/>
      <c r="AJ3" s="1204"/>
      <c r="AK3" s="517" t="s">
        <v>105</v>
      </c>
      <c r="AL3" s="1204" t="s">
        <v>266</v>
      </c>
      <c r="AM3" s="1204"/>
      <c r="AN3" s="1204"/>
      <c r="AO3" s="517" t="s">
        <v>105</v>
      </c>
      <c r="AP3" s="1204" t="s">
        <v>266</v>
      </c>
      <c r="AQ3" s="1204"/>
      <c r="AR3" s="1204"/>
      <c r="AS3" s="517" t="s">
        <v>105</v>
      </c>
      <c r="AT3" s="1204" t="s">
        <v>266</v>
      </c>
      <c r="AU3" s="1204"/>
      <c r="AV3" s="1204"/>
      <c r="AW3" s="340"/>
      <c r="AX3" s="1205" t="s">
        <v>183</v>
      </c>
      <c r="AY3" s="1206"/>
      <c r="AZ3" s="1207"/>
    </row>
    <row r="4" spans="1:52" ht="31.9" customHeight="1" thickBot="1" x14ac:dyDescent="0.25">
      <c r="A4" s="524" t="str">
        <f>IF(Score!A4="", "",Score!A4 )</f>
        <v/>
      </c>
      <c r="B4" s="525"/>
      <c r="C4" s="526" t="str">
        <f>IF(Score!B4="", "",Score!B4 )</f>
        <v/>
      </c>
      <c r="D4" s="527"/>
      <c r="E4" s="527"/>
      <c r="F4" s="527"/>
      <c r="G4" s="528" t="s">
        <v>641</v>
      </c>
      <c r="H4" s="527"/>
      <c r="I4" s="527"/>
      <c r="J4" s="527"/>
      <c r="K4" s="528" t="s">
        <v>643</v>
      </c>
      <c r="L4" s="527"/>
      <c r="M4" s="527"/>
      <c r="N4" s="527"/>
      <c r="O4" s="528" t="s">
        <v>645</v>
      </c>
      <c r="P4" s="527"/>
      <c r="Q4" s="527"/>
      <c r="R4" s="527"/>
      <c r="S4" s="528" t="s">
        <v>647</v>
      </c>
      <c r="T4" s="527" t="s">
        <v>661</v>
      </c>
      <c r="U4" s="527"/>
      <c r="V4" s="529"/>
      <c r="W4" s="339" t="str">
        <f>IF(A4="","",SUMIF(SK!B$3:B$78,ROW(),SK!D$3:D$78))</f>
        <v/>
      </c>
      <c r="X4" s="17"/>
      <c r="Y4" s="772" t="str">
        <f>IF(IGRF!B14="","",IGRF!B14)</f>
        <v/>
      </c>
      <c r="Z4" s="513" t="str">
        <f>IF(IGRF!C14="","",IGRF!C14)</f>
        <v/>
      </c>
      <c r="AA4" s="310" t="str">
        <f>IF(Score!T4="", "",Score!T4 )</f>
        <v/>
      </c>
      <c r="AB4" s="525"/>
      <c r="AC4" s="526" t="str">
        <f>IF(Score!U4="", "",Score!U4 )</f>
        <v/>
      </c>
      <c r="AD4" s="527"/>
      <c r="AE4" s="527"/>
      <c r="AF4" s="527"/>
      <c r="AG4" s="528" t="s">
        <v>615</v>
      </c>
      <c r="AH4" s="527"/>
      <c r="AI4" s="527"/>
      <c r="AJ4" s="527"/>
      <c r="AK4" s="528" t="s">
        <v>627</v>
      </c>
      <c r="AL4" s="527"/>
      <c r="AM4" s="527"/>
      <c r="AN4" s="527"/>
      <c r="AO4" s="528" t="s">
        <v>613</v>
      </c>
      <c r="AP4" s="527"/>
      <c r="AQ4" s="527"/>
      <c r="AR4" s="527"/>
      <c r="AS4" s="528" t="s">
        <v>617</v>
      </c>
      <c r="AT4" s="527"/>
      <c r="AU4" s="527"/>
      <c r="AV4" s="529"/>
      <c r="AW4" s="339" t="str">
        <f>IF(AA4="","",SUMIF(SK!R$3:R$78,ROW(),SK!T$3:T$78))</f>
        <v/>
      </c>
      <c r="AX4" s="17"/>
      <c r="AY4" s="772" t="str">
        <f>IF(IGRF!I14="","",IGRF!I14)</f>
        <v/>
      </c>
      <c r="AZ4" s="513" t="str">
        <f>IF(IGRF!J14="","",IGRF!J14)</f>
        <v/>
      </c>
    </row>
    <row r="5" spans="1:52" ht="31.9" customHeight="1" thickBot="1" x14ac:dyDescent="0.25">
      <c r="A5" s="307" t="str">
        <f>IF(Score!A5="", "",Score!A5 )</f>
        <v/>
      </c>
      <c r="B5" s="311"/>
      <c r="C5" s="309" t="str">
        <f>IF(Score!B5="", "",Score!B5 )</f>
        <v/>
      </c>
      <c r="D5" s="324"/>
      <c r="E5" s="324"/>
      <c r="F5" s="324"/>
      <c r="G5" s="327" t="s">
        <v>637</v>
      </c>
      <c r="H5" s="324"/>
      <c r="I5" s="324"/>
      <c r="J5" s="324"/>
      <c r="K5" s="327" t="s">
        <v>651</v>
      </c>
      <c r="L5" s="324"/>
      <c r="M5" s="324"/>
      <c r="N5" s="324"/>
      <c r="O5" s="327" t="s">
        <v>645</v>
      </c>
      <c r="P5" s="324"/>
      <c r="Q5" s="324"/>
      <c r="R5" s="324"/>
      <c r="S5" s="327" t="s">
        <v>647</v>
      </c>
      <c r="T5" s="324" t="s">
        <v>664</v>
      </c>
      <c r="U5" s="324"/>
      <c r="V5" s="326"/>
      <c r="W5" s="339" t="str">
        <f>IF(A5="","",SUMIF(SK!B$3:B$78,ROW(),SK!D$3:D$78))</f>
        <v/>
      </c>
      <c r="X5" s="17"/>
      <c r="Z5" s="17"/>
      <c r="AA5" s="311" t="str">
        <f>IF(Score!T5="", "",Score!T5 )</f>
        <v/>
      </c>
      <c r="AB5" s="311"/>
      <c r="AC5" s="309" t="str">
        <f>IF(Score!U5="", "",Score!U5 )</f>
        <v/>
      </c>
      <c r="AD5" s="324" t="s">
        <v>664</v>
      </c>
      <c r="AE5" s="324"/>
      <c r="AF5" s="324"/>
      <c r="AG5" s="327" t="s">
        <v>615</v>
      </c>
      <c r="AH5" s="324"/>
      <c r="AI5" s="324"/>
      <c r="AJ5" s="324"/>
      <c r="AK5" s="327" t="s">
        <v>627</v>
      </c>
      <c r="AL5" s="324"/>
      <c r="AM5" s="324"/>
      <c r="AN5" s="324"/>
      <c r="AO5" s="327" t="s">
        <v>613</v>
      </c>
      <c r="AP5" s="324"/>
      <c r="AQ5" s="324"/>
      <c r="AR5" s="324"/>
      <c r="AS5" s="327" t="s">
        <v>617</v>
      </c>
      <c r="AT5" s="324" t="s">
        <v>664</v>
      </c>
      <c r="AU5" s="324"/>
      <c r="AV5" s="326"/>
      <c r="AW5" s="339" t="str">
        <f>IF(AA5="","",SUMIF(SK!R$3:R$78,ROW(),SK!T$3:T$78))</f>
        <v/>
      </c>
      <c r="AX5" s="17"/>
      <c r="AY5" s="551"/>
      <c r="AZ5" s="17"/>
    </row>
    <row r="6" spans="1:52" ht="31.9" customHeight="1" thickBot="1" x14ac:dyDescent="0.25">
      <c r="A6" s="306" t="str">
        <f>IF(Score!A6="", "",Score!A6 )</f>
        <v/>
      </c>
      <c r="B6" s="310"/>
      <c r="C6" s="308" t="str">
        <f>IF(Score!B6="", "",Score!B6 )</f>
        <v/>
      </c>
      <c r="D6" s="324"/>
      <c r="E6" s="324"/>
      <c r="F6" s="324"/>
      <c r="G6" s="325" t="s">
        <v>641</v>
      </c>
      <c r="H6" s="324" t="s">
        <v>661</v>
      </c>
      <c r="I6" s="324"/>
      <c r="J6" s="324"/>
      <c r="K6" s="325" t="s">
        <v>643</v>
      </c>
      <c r="L6" s="324"/>
      <c r="M6" s="324"/>
      <c r="N6" s="324"/>
      <c r="O6" s="325" t="s">
        <v>651</v>
      </c>
      <c r="P6" s="324"/>
      <c r="Q6" s="324"/>
      <c r="R6" s="324"/>
      <c r="S6" s="325" t="s">
        <v>639</v>
      </c>
      <c r="T6" s="324"/>
      <c r="U6" s="324"/>
      <c r="V6" s="326"/>
      <c r="W6" s="339" t="str">
        <f>IF(A6="","",SUMIF(SK!B$3:B$78,ROW(),SK!D$3:D$78))</f>
        <v/>
      </c>
      <c r="X6" s="17"/>
      <c r="Y6" s="772" t="str">
        <f>IF(IGRF!B15="","",IGRF!B15)</f>
        <v/>
      </c>
      <c r="Z6" s="513" t="str">
        <f>IF(IGRF!C15="","",IGRF!C15)</f>
        <v/>
      </c>
      <c r="AA6" s="310" t="str">
        <f>IF(Score!T6="", "",Score!T6 )</f>
        <v/>
      </c>
      <c r="AB6" s="310"/>
      <c r="AC6" s="308" t="str">
        <f>IF(Score!U6="", "",Score!U6 )</f>
        <v/>
      </c>
      <c r="AD6" s="324"/>
      <c r="AE6" s="324"/>
      <c r="AF6" s="324"/>
      <c r="AG6" s="325" t="s">
        <v>615</v>
      </c>
      <c r="AH6" s="324"/>
      <c r="AI6" s="324"/>
      <c r="AJ6" s="324"/>
      <c r="AK6" s="325" t="s">
        <v>627</v>
      </c>
      <c r="AL6" s="324"/>
      <c r="AM6" s="324"/>
      <c r="AN6" s="324"/>
      <c r="AO6" s="325" t="s">
        <v>613</v>
      </c>
      <c r="AP6" s="324"/>
      <c r="AQ6" s="324"/>
      <c r="AR6" s="324"/>
      <c r="AS6" s="325" t="s">
        <v>629</v>
      </c>
      <c r="AT6" s="324"/>
      <c r="AU6" s="324"/>
      <c r="AV6" s="326"/>
      <c r="AW6" s="339" t="str">
        <f>IF(AA6="","",SUMIF(SK!R$3:R$78,ROW(),SK!T$3:T$78))</f>
        <v/>
      </c>
      <c r="AX6" s="17"/>
      <c r="AY6" s="772" t="str">
        <f>IF(IGRF!I15="","",IGRF!I15)</f>
        <v/>
      </c>
      <c r="AZ6" s="513" t="str">
        <f>IF(IGRF!J15="","",IGRF!J15)</f>
        <v/>
      </c>
    </row>
    <row r="7" spans="1:52" ht="31.9" customHeight="1" thickBot="1" x14ac:dyDescent="0.25">
      <c r="A7" s="307" t="str">
        <f>IF(Score!A7="", "",Score!A7 )</f>
        <v/>
      </c>
      <c r="B7" s="311"/>
      <c r="C7" s="309" t="str">
        <f>IF(Score!B7="", "",Score!B7 )</f>
        <v/>
      </c>
      <c r="D7" s="324"/>
      <c r="E7" s="324"/>
      <c r="F7" s="324"/>
      <c r="G7" s="327"/>
      <c r="H7" s="324"/>
      <c r="I7" s="324"/>
      <c r="J7" s="324"/>
      <c r="K7" s="327"/>
      <c r="L7" s="324"/>
      <c r="M7" s="324"/>
      <c r="N7" s="324"/>
      <c r="O7" s="327"/>
      <c r="P7" s="324"/>
      <c r="Q7" s="324"/>
      <c r="R7" s="324"/>
      <c r="S7" s="327"/>
      <c r="T7" s="324"/>
      <c r="U7" s="324"/>
      <c r="V7" s="326"/>
      <c r="W7" s="339" t="str">
        <f>IF(A7="","",SUMIF(SK!B$3:B$78,ROW(),SK!D$3:D$78))</f>
        <v/>
      </c>
      <c r="X7" s="17"/>
      <c r="Z7" s="17"/>
      <c r="AA7" s="311" t="str">
        <f>IF(Score!T7="", "",Score!T7 )</f>
        <v/>
      </c>
      <c r="AB7" s="311" t="s">
        <v>116</v>
      </c>
      <c r="AC7" s="309" t="str">
        <f>IF(Score!U7="", "",Score!U7 )</f>
        <v/>
      </c>
      <c r="AD7" s="324"/>
      <c r="AE7" s="324"/>
      <c r="AF7" s="324"/>
      <c r="AG7" s="327" t="s">
        <v>620</v>
      </c>
      <c r="AH7" s="324"/>
      <c r="AI7" s="324"/>
      <c r="AJ7" s="324"/>
      <c r="AK7" s="327" t="s">
        <v>627</v>
      </c>
      <c r="AL7" s="324"/>
      <c r="AM7" s="324"/>
      <c r="AN7" s="324"/>
      <c r="AO7" s="327" t="s">
        <v>613</v>
      </c>
      <c r="AP7" s="324"/>
      <c r="AQ7" s="324"/>
      <c r="AR7" s="324"/>
      <c r="AS7" s="327" t="s">
        <v>629</v>
      </c>
      <c r="AT7" s="324"/>
      <c r="AU7" s="324"/>
      <c r="AV7" s="326"/>
      <c r="AW7" s="339" t="str">
        <f>IF(AA7="","",SUMIF(SK!R$3:R$78,ROW(),SK!T$3:T$78))</f>
        <v/>
      </c>
      <c r="AX7" s="17"/>
      <c r="AY7" s="551"/>
      <c r="AZ7" s="17"/>
    </row>
    <row r="8" spans="1:52" ht="31.9" customHeight="1" thickBot="1" x14ac:dyDescent="0.25">
      <c r="A8" s="306" t="str">
        <f>IF(Score!A8="", "",Score!A8 )</f>
        <v/>
      </c>
      <c r="B8" s="310"/>
      <c r="C8" s="308" t="str">
        <f>IF(Score!B8="", "",Score!B8 )</f>
        <v/>
      </c>
      <c r="D8" s="324" t="s">
        <v>667</v>
      </c>
      <c r="E8" s="324"/>
      <c r="F8" s="324"/>
      <c r="G8" s="325" t="s">
        <v>641</v>
      </c>
      <c r="H8" s="324" t="s">
        <v>664</v>
      </c>
      <c r="I8" s="324"/>
      <c r="J8" s="324"/>
      <c r="K8" s="325" t="s">
        <v>645</v>
      </c>
      <c r="L8" s="324"/>
      <c r="M8" s="324"/>
      <c r="N8" s="324"/>
      <c r="O8" s="325" t="s">
        <v>637</v>
      </c>
      <c r="P8" s="324"/>
      <c r="Q8" s="324"/>
      <c r="R8" s="324"/>
      <c r="S8" s="325" t="s">
        <v>647</v>
      </c>
      <c r="T8" s="324" t="s">
        <v>661</v>
      </c>
      <c r="U8" s="324"/>
      <c r="V8" s="326"/>
      <c r="W8" s="339" t="str">
        <f>IF(A8="","",SUMIF(SK!B$3:B$78,ROW(),SK!D$3:D$78))</f>
        <v/>
      </c>
      <c r="X8" s="17"/>
      <c r="Y8" s="772" t="str">
        <f>IF(IGRF!B16="","",IGRF!B16)</f>
        <v/>
      </c>
      <c r="Z8" s="513" t="str">
        <f>IF(IGRF!C16="","",IGRF!C16)</f>
        <v/>
      </c>
      <c r="AA8" s="310" t="str">
        <f>IF(Score!T8="", "",Score!T8 )</f>
        <v/>
      </c>
      <c r="AB8" s="310"/>
      <c r="AC8" s="308" t="str">
        <f>IF(Score!U8="", "",Score!U8 )</f>
        <v/>
      </c>
      <c r="AD8" s="324"/>
      <c r="AE8" s="324"/>
      <c r="AF8" s="324"/>
      <c r="AG8" s="325" t="s">
        <v>624</v>
      </c>
      <c r="AH8" s="324"/>
      <c r="AI8" s="324"/>
      <c r="AJ8" s="324"/>
      <c r="AK8" s="325" t="s">
        <v>627</v>
      </c>
      <c r="AL8" s="324" t="s">
        <v>664</v>
      </c>
      <c r="AM8" s="324"/>
      <c r="AN8" s="324"/>
      <c r="AO8" s="325" t="s">
        <v>629</v>
      </c>
      <c r="AP8" s="324"/>
      <c r="AQ8" s="324"/>
      <c r="AR8" s="324"/>
      <c r="AS8" s="325" t="s">
        <v>617</v>
      </c>
      <c r="AT8" s="324"/>
      <c r="AU8" s="324"/>
      <c r="AV8" s="326"/>
      <c r="AW8" s="339" t="str">
        <f>IF(AA8="","",SUMIF(SK!R$3:R$78,ROW(),SK!T$3:T$78))</f>
        <v/>
      </c>
      <c r="AX8" s="17"/>
      <c r="AY8" s="772" t="str">
        <f>IF(IGRF!I16="","",IGRF!I16)</f>
        <v/>
      </c>
      <c r="AZ8" s="513" t="str">
        <f>IF(IGRF!J16="","",IGRF!J16)</f>
        <v/>
      </c>
    </row>
    <row r="9" spans="1:52" ht="31.9" customHeight="1" thickBot="1" x14ac:dyDescent="0.25">
      <c r="A9" s="307" t="str">
        <f>IF(Score!A9="", "",Score!A9 )</f>
        <v/>
      </c>
      <c r="B9" s="311"/>
      <c r="C9" s="309" t="str">
        <f>IF(Score!B9="", "",Score!B9 )</f>
        <v/>
      </c>
      <c r="D9" s="324"/>
      <c r="E9" s="324"/>
      <c r="F9" s="324"/>
      <c r="G9" s="327" t="s">
        <v>639</v>
      </c>
      <c r="H9" s="324"/>
      <c r="I9" s="324"/>
      <c r="J9" s="324"/>
      <c r="K9" s="327" t="s">
        <v>651</v>
      </c>
      <c r="L9" s="324"/>
      <c r="M9" s="324"/>
      <c r="N9" s="324"/>
      <c r="O9" s="327" t="s">
        <v>645</v>
      </c>
      <c r="P9" s="324"/>
      <c r="Q9" s="324"/>
      <c r="R9" s="324"/>
      <c r="S9" s="327" t="s">
        <v>647</v>
      </c>
      <c r="T9" s="324" t="s">
        <v>664</v>
      </c>
      <c r="U9" s="324"/>
      <c r="V9" s="326"/>
      <c r="W9" s="339" t="str">
        <f>IF(A9="","",SUMIF(SK!B$3:B$78,ROW(),SK!D$3:D$78))</f>
        <v/>
      </c>
      <c r="X9" s="17"/>
      <c r="Z9" s="17"/>
      <c r="AA9" s="311" t="str">
        <f>IF(Score!T9="", "",Score!T9 )</f>
        <v/>
      </c>
      <c r="AB9" s="311"/>
      <c r="AC9" s="309" t="str">
        <f>IF(Score!U9="", "",Score!U9 )</f>
        <v/>
      </c>
      <c r="AD9" s="324"/>
      <c r="AE9" s="324"/>
      <c r="AF9" s="324"/>
      <c r="AG9" s="327" t="s">
        <v>615</v>
      </c>
      <c r="AH9" s="324" t="s">
        <v>661</v>
      </c>
      <c r="AI9" s="324"/>
      <c r="AJ9" s="324"/>
      <c r="AK9" s="327" t="s">
        <v>627</v>
      </c>
      <c r="AL9" s="324"/>
      <c r="AM9" s="324"/>
      <c r="AN9" s="324"/>
      <c r="AO9" s="327" t="s">
        <v>585</v>
      </c>
      <c r="AP9" s="324"/>
      <c r="AQ9" s="324"/>
      <c r="AR9" s="324"/>
      <c r="AS9" s="327" t="s">
        <v>624</v>
      </c>
      <c r="AT9" s="324"/>
      <c r="AU9" s="324"/>
      <c r="AV9" s="326"/>
      <c r="AW9" s="339" t="str">
        <f>IF(AA9="","",SUMIF(SK!R$3:R$78,ROW(),SK!T$3:T$78))</f>
        <v/>
      </c>
      <c r="AX9" s="17"/>
      <c r="AY9" s="551"/>
      <c r="AZ9" s="17"/>
    </row>
    <row r="10" spans="1:52" ht="31.9" customHeight="1" thickBot="1" x14ac:dyDescent="0.25">
      <c r="A10" s="306" t="str">
        <f>IF(Score!A10="", "",Score!A10 )</f>
        <v/>
      </c>
      <c r="B10" s="310"/>
      <c r="C10" s="308" t="str">
        <f>IF(Score!B10="", "",Score!B10 )</f>
        <v/>
      </c>
      <c r="D10" s="324"/>
      <c r="E10" s="324"/>
      <c r="F10" s="324"/>
      <c r="G10" s="325" t="s">
        <v>641</v>
      </c>
      <c r="H10" s="324"/>
      <c r="I10" s="324"/>
      <c r="J10" s="324"/>
      <c r="K10" s="325" t="s">
        <v>637</v>
      </c>
      <c r="L10" s="324"/>
      <c r="M10" s="324"/>
      <c r="N10" s="324"/>
      <c r="O10" s="325" t="s">
        <v>643</v>
      </c>
      <c r="P10" s="324" t="s">
        <v>661</v>
      </c>
      <c r="Q10" s="324"/>
      <c r="R10" s="324"/>
      <c r="S10" s="325" t="s">
        <v>651</v>
      </c>
      <c r="T10" s="324"/>
      <c r="U10" s="324"/>
      <c r="V10" s="326"/>
      <c r="W10" s="339" t="str">
        <f>IF(A10="","",SUMIF(SK!B$3:B$78,ROW(),SK!D$3:D$78))</f>
        <v/>
      </c>
      <c r="X10" s="17"/>
      <c r="Y10" s="772" t="str">
        <f>IF(IGRF!B17="","",IGRF!B17)</f>
        <v/>
      </c>
      <c r="Z10" s="513" t="str">
        <f>IF(IGRF!C17="","",IGRF!C17)</f>
        <v/>
      </c>
      <c r="AA10" s="310" t="str">
        <f>IF(Score!T10="", "",Score!T10 )</f>
        <v/>
      </c>
      <c r="AB10" s="310"/>
      <c r="AC10" s="308" t="str">
        <f>IF(Score!U10="", "",Score!U10 )</f>
        <v/>
      </c>
      <c r="AD10" s="324"/>
      <c r="AE10" s="324"/>
      <c r="AF10" s="324"/>
      <c r="AG10" s="325" t="s">
        <v>615</v>
      </c>
      <c r="AH10" s="324" t="s">
        <v>664</v>
      </c>
      <c r="AI10" s="324"/>
      <c r="AJ10" s="324"/>
      <c r="AK10" s="325" t="s">
        <v>613</v>
      </c>
      <c r="AL10" s="324"/>
      <c r="AM10" s="324"/>
      <c r="AN10" s="324"/>
      <c r="AO10" s="325" t="s">
        <v>617</v>
      </c>
      <c r="AP10" s="324"/>
      <c r="AQ10" s="324"/>
      <c r="AR10" s="324"/>
      <c r="AS10" s="325" t="s">
        <v>629</v>
      </c>
      <c r="AT10" s="324"/>
      <c r="AU10" s="324"/>
      <c r="AV10" s="326"/>
      <c r="AW10" s="339" t="str">
        <f>IF(AA10="","",SUMIF(SK!R$3:R$78,ROW(),SK!T$3:T$78))</f>
        <v/>
      </c>
      <c r="AX10" s="17"/>
      <c r="AY10" s="772" t="str">
        <f>IF(IGRF!I17="","",IGRF!I17)</f>
        <v/>
      </c>
      <c r="AZ10" s="513" t="str">
        <f>IF(IGRF!J17="","",IGRF!J17)</f>
        <v/>
      </c>
    </row>
    <row r="11" spans="1:52" ht="31.9" customHeight="1" thickBot="1" x14ac:dyDescent="0.25">
      <c r="A11" s="307" t="str">
        <f>IF(Score!A11="", "",Score!A11 )</f>
        <v/>
      </c>
      <c r="B11" s="311"/>
      <c r="C11" s="309" t="str">
        <f>IF(Score!B11="", "",Score!B11 )</f>
        <v/>
      </c>
      <c r="D11" s="324"/>
      <c r="E11" s="324"/>
      <c r="F11" s="324"/>
      <c r="G11" s="327" t="s">
        <v>645</v>
      </c>
      <c r="H11" s="324" t="s">
        <v>661</v>
      </c>
      <c r="I11" s="324"/>
      <c r="J11" s="324"/>
      <c r="K11" s="327" t="s">
        <v>639</v>
      </c>
      <c r="L11" s="324" t="s">
        <v>661</v>
      </c>
      <c r="M11" s="324"/>
      <c r="N11" s="324"/>
      <c r="O11" s="327" t="s">
        <v>643</v>
      </c>
      <c r="P11" s="324" t="s">
        <v>664</v>
      </c>
      <c r="Q11" s="324"/>
      <c r="R11" s="324"/>
      <c r="S11" s="327" t="s">
        <v>647</v>
      </c>
      <c r="T11" s="324"/>
      <c r="U11" s="324"/>
      <c r="V11" s="326"/>
      <c r="W11" s="339" t="str">
        <f>IF(A11="","",SUMIF(SK!B$3:B$78,ROW(),SK!D$3:D$78))</f>
        <v/>
      </c>
      <c r="X11" s="17"/>
      <c r="Z11" s="17"/>
      <c r="AA11" s="311" t="str">
        <f>IF(Score!T11="", "",Score!T11 )</f>
        <v/>
      </c>
      <c r="AB11" s="311"/>
      <c r="AC11" s="309" t="str">
        <f>IF(Score!U11="", "",Score!U11 )</f>
        <v/>
      </c>
      <c r="AD11" s="324"/>
      <c r="AE11" s="324"/>
      <c r="AF11" s="324"/>
      <c r="AG11" s="327" t="s">
        <v>615</v>
      </c>
      <c r="AH11" s="324"/>
      <c r="AI11" s="324"/>
      <c r="AJ11" s="324"/>
      <c r="AK11" s="327" t="s">
        <v>627</v>
      </c>
      <c r="AL11" s="324"/>
      <c r="AM11" s="324"/>
      <c r="AN11" s="324"/>
      <c r="AO11" s="327" t="s">
        <v>624</v>
      </c>
      <c r="AP11" s="324"/>
      <c r="AQ11" s="324"/>
      <c r="AR11" s="324"/>
      <c r="AS11" s="327" t="s">
        <v>613</v>
      </c>
      <c r="AT11" s="324"/>
      <c r="AU11" s="324"/>
      <c r="AV11" s="326"/>
      <c r="AW11" s="339" t="str">
        <f>IF(AA11="","",SUMIF(SK!R$3:R$78,ROW(),SK!T$3:T$78))</f>
        <v/>
      </c>
      <c r="AX11" s="17"/>
      <c r="AY11" s="551"/>
      <c r="AZ11" s="17"/>
    </row>
    <row r="12" spans="1:52" ht="31.9" customHeight="1" thickBot="1" x14ac:dyDescent="0.25">
      <c r="A12" s="306" t="str">
        <f>IF(Score!A12="", "",Score!A12 )</f>
        <v/>
      </c>
      <c r="B12" s="310"/>
      <c r="C12" s="308" t="str">
        <f>IF(Score!B12="", "",Score!B12 )</f>
        <v/>
      </c>
      <c r="D12" s="324"/>
      <c r="E12" s="324"/>
      <c r="F12" s="324"/>
      <c r="G12" s="325" t="s">
        <v>645</v>
      </c>
      <c r="H12" s="324" t="s">
        <v>664</v>
      </c>
      <c r="I12" s="324"/>
      <c r="J12" s="324"/>
      <c r="K12" s="325" t="s">
        <v>639</v>
      </c>
      <c r="L12" s="324" t="s">
        <v>664</v>
      </c>
      <c r="M12" s="324"/>
      <c r="N12" s="324"/>
      <c r="O12" s="325" t="s">
        <v>651</v>
      </c>
      <c r="P12" s="324"/>
      <c r="Q12" s="324"/>
      <c r="R12" s="324"/>
      <c r="S12" s="325" t="s">
        <v>637</v>
      </c>
      <c r="T12" s="324"/>
      <c r="U12" s="324"/>
      <c r="V12" s="326"/>
      <c r="W12" s="339" t="str">
        <f>IF(A12="","",SUMIF(SK!B$3:B$78,ROW(),SK!D$3:D$78))</f>
        <v/>
      </c>
      <c r="X12" s="17"/>
      <c r="Y12" s="772" t="str">
        <f>IF(IGRF!B18="","",IGRF!B18)</f>
        <v/>
      </c>
      <c r="Z12" s="513" t="str">
        <f>IF(IGRF!C18="","",IGRF!C18)</f>
        <v/>
      </c>
      <c r="AA12" s="310" t="str">
        <f>IF(Score!T12="", "",Score!T12 )</f>
        <v/>
      </c>
      <c r="AB12" s="310"/>
      <c r="AC12" s="308" t="str">
        <f>IF(Score!U12="", "",Score!U12 )</f>
        <v/>
      </c>
      <c r="AD12" s="324"/>
      <c r="AE12" s="324"/>
      <c r="AF12" s="324"/>
      <c r="AG12" s="325" t="s">
        <v>615</v>
      </c>
      <c r="AH12" s="324"/>
      <c r="AI12" s="324"/>
      <c r="AJ12" s="324"/>
      <c r="AK12" s="325" t="s">
        <v>627</v>
      </c>
      <c r="AL12" s="324"/>
      <c r="AM12" s="324"/>
      <c r="AN12" s="324"/>
      <c r="AO12" s="325" t="s">
        <v>585</v>
      </c>
      <c r="AP12" s="324"/>
      <c r="AQ12" s="324"/>
      <c r="AR12" s="324"/>
      <c r="AS12" s="325" t="s">
        <v>624</v>
      </c>
      <c r="AT12" s="324"/>
      <c r="AU12" s="324"/>
      <c r="AV12" s="326"/>
      <c r="AW12" s="339" t="str">
        <f>IF(AA12="","",SUMIF(SK!R$3:R$78,ROW(),SK!T$3:T$78))</f>
        <v/>
      </c>
      <c r="AX12" s="17"/>
      <c r="AY12" s="772" t="str">
        <f>IF(IGRF!I18="","",IGRF!I18)</f>
        <v/>
      </c>
      <c r="AZ12" s="513" t="str">
        <f>IF(IGRF!J18="","",IGRF!J18)</f>
        <v/>
      </c>
    </row>
    <row r="13" spans="1:52" ht="31.9" customHeight="1" thickBot="1" x14ac:dyDescent="0.25">
      <c r="A13" s="307" t="str">
        <f>IF(Score!A13="", "",Score!A13 )</f>
        <v/>
      </c>
      <c r="B13" s="311" t="s">
        <v>116</v>
      </c>
      <c r="C13" s="309" t="str">
        <f>IF(Score!B13="", "",Score!B13 )</f>
        <v/>
      </c>
      <c r="D13" s="324" t="s">
        <v>667</v>
      </c>
      <c r="E13" s="324"/>
      <c r="F13" s="324"/>
      <c r="G13" s="327" t="s">
        <v>645</v>
      </c>
      <c r="H13" s="324" t="s">
        <v>664</v>
      </c>
      <c r="I13" s="324" t="s">
        <v>661</v>
      </c>
      <c r="J13" s="324"/>
      <c r="K13" s="327" t="s">
        <v>639</v>
      </c>
      <c r="L13" s="324"/>
      <c r="M13" s="324"/>
      <c r="N13" s="324"/>
      <c r="O13" s="327" t="s">
        <v>643</v>
      </c>
      <c r="P13" s="324"/>
      <c r="Q13" s="324"/>
      <c r="R13" s="324"/>
      <c r="S13" s="327" t="s">
        <v>647</v>
      </c>
      <c r="T13" s="324"/>
      <c r="U13" s="324"/>
      <c r="V13" s="326"/>
      <c r="W13" s="339" t="str">
        <f>IF(A13="","",SUMIF(SK!B$3:B$78,ROW(),SK!D$3:D$78))</f>
        <v/>
      </c>
      <c r="X13" s="17"/>
      <c r="Z13" s="17"/>
      <c r="AA13" s="311" t="str">
        <f>IF(Score!T13="", "",Score!T13 )</f>
        <v/>
      </c>
      <c r="AB13" s="311"/>
      <c r="AC13" s="309" t="str">
        <f>IF(Score!U13="", "",Score!U13 )</f>
        <v/>
      </c>
      <c r="AD13" s="324"/>
      <c r="AE13" s="324"/>
      <c r="AF13" s="324"/>
      <c r="AG13" s="327" t="s">
        <v>613</v>
      </c>
      <c r="AH13" s="324"/>
      <c r="AI13" s="324"/>
      <c r="AJ13" s="324"/>
      <c r="AK13" s="327" t="s">
        <v>617</v>
      </c>
      <c r="AL13" s="324"/>
      <c r="AM13" s="324"/>
      <c r="AN13" s="324"/>
      <c r="AO13" s="327" t="s">
        <v>629</v>
      </c>
      <c r="AP13" s="324"/>
      <c r="AQ13" s="324"/>
      <c r="AR13" s="324"/>
      <c r="AS13" s="327" t="s">
        <v>633</v>
      </c>
      <c r="AT13" s="324"/>
      <c r="AU13" s="324"/>
      <c r="AV13" s="326"/>
      <c r="AW13" s="339" t="str">
        <f>IF(AA13="","",SUMIF(SK!R$3:R$78,ROW(),SK!T$3:T$78))</f>
        <v/>
      </c>
      <c r="AX13" s="17"/>
      <c r="AY13" s="551"/>
      <c r="AZ13" s="17"/>
    </row>
    <row r="14" spans="1:52" ht="31.9" customHeight="1" thickBot="1" x14ac:dyDescent="0.25">
      <c r="A14" s="306" t="str">
        <f>IF(Score!A14="", "",Score!A14 )</f>
        <v/>
      </c>
      <c r="B14" s="310"/>
      <c r="C14" s="308" t="str">
        <f>IF(Score!B14="", "",Score!B14 )</f>
        <v/>
      </c>
      <c r="D14" s="324"/>
      <c r="E14" s="324"/>
      <c r="F14" s="324"/>
      <c r="G14" s="325" t="s">
        <v>637</v>
      </c>
      <c r="H14" s="324"/>
      <c r="I14" s="324"/>
      <c r="J14" s="324"/>
      <c r="K14" s="325" t="s">
        <v>645</v>
      </c>
      <c r="L14" s="324" t="s">
        <v>664</v>
      </c>
      <c r="M14" s="324"/>
      <c r="N14" s="324"/>
      <c r="O14" s="325" t="s">
        <v>651</v>
      </c>
      <c r="P14" s="324"/>
      <c r="Q14" s="324"/>
      <c r="R14" s="324"/>
      <c r="S14" s="325" t="s">
        <v>641</v>
      </c>
      <c r="T14" s="324" t="s">
        <v>667</v>
      </c>
      <c r="U14" s="324"/>
      <c r="V14" s="326"/>
      <c r="W14" s="339" t="str">
        <f>IF(A14="","",SUMIF(SK!B$3:B$78,ROW(),SK!D$3:D$78))</f>
        <v/>
      </c>
      <c r="X14" s="17"/>
      <c r="Y14" s="772" t="str">
        <f>IF(IGRF!B19="","",IGRF!B19)</f>
        <v/>
      </c>
      <c r="Z14" s="513" t="str">
        <f>IF(IGRF!C19="","",IGRF!C19)</f>
        <v/>
      </c>
      <c r="AA14" s="310" t="str">
        <f>IF(Score!T14="", "",Score!T14 )</f>
        <v/>
      </c>
      <c r="AB14" s="310"/>
      <c r="AC14" s="308" t="str">
        <f>IF(Score!U14="", "",Score!U14 )</f>
        <v/>
      </c>
      <c r="AD14" s="324"/>
      <c r="AE14" s="324"/>
      <c r="AF14" s="324"/>
      <c r="AG14" s="325" t="s">
        <v>615</v>
      </c>
      <c r="AH14" s="324"/>
      <c r="AI14" s="324"/>
      <c r="AJ14" s="324"/>
      <c r="AK14" s="325" t="s">
        <v>617</v>
      </c>
      <c r="AL14" s="324"/>
      <c r="AM14" s="324"/>
      <c r="AN14" s="324"/>
      <c r="AO14" s="325" t="s">
        <v>613</v>
      </c>
      <c r="AP14" s="324" t="s">
        <v>667</v>
      </c>
      <c r="AQ14" s="324"/>
      <c r="AR14" s="324"/>
      <c r="AS14" s="325" t="s">
        <v>629</v>
      </c>
      <c r="AT14" s="324" t="s">
        <v>661</v>
      </c>
      <c r="AU14" s="324"/>
      <c r="AV14" s="326"/>
      <c r="AW14" s="339" t="str">
        <f>IF(AA14="","",SUMIF(SK!R$3:R$78,ROW(),SK!T$3:T$78))</f>
        <v/>
      </c>
      <c r="AX14" s="17"/>
      <c r="AY14" s="772" t="str">
        <f>IF(IGRF!I19="","",IGRF!I19)</f>
        <v/>
      </c>
      <c r="AZ14" s="513" t="str">
        <f>IF(IGRF!J19="","",IGRF!J19)</f>
        <v/>
      </c>
    </row>
    <row r="15" spans="1:52" ht="31.9" customHeight="1" thickBot="1" x14ac:dyDescent="0.25">
      <c r="A15" s="307" t="str">
        <f>IF(Score!A15="", "",Score!A15 )</f>
        <v/>
      </c>
      <c r="B15" s="311" t="s">
        <v>116</v>
      </c>
      <c r="C15" s="309" t="str">
        <f>IF(Score!B15="", "",Score!B15 )</f>
        <v/>
      </c>
      <c r="D15" s="324"/>
      <c r="E15" s="324"/>
      <c r="F15" s="324"/>
      <c r="G15" s="327" t="s">
        <v>647</v>
      </c>
      <c r="H15" s="324"/>
      <c r="I15" s="324"/>
      <c r="J15" s="324"/>
      <c r="K15" s="327" t="s">
        <v>643</v>
      </c>
      <c r="L15" s="324"/>
      <c r="M15" s="324"/>
      <c r="N15" s="324"/>
      <c r="O15" s="327" t="s">
        <v>651</v>
      </c>
      <c r="P15" s="324"/>
      <c r="Q15" s="324"/>
      <c r="R15" s="324"/>
      <c r="S15" s="327" t="s">
        <v>641</v>
      </c>
      <c r="T15" s="324"/>
      <c r="U15" s="324"/>
      <c r="V15" s="326"/>
      <c r="W15" s="339" t="str">
        <f>IF(A15="","",SUMIF(SK!B$3:B$78,ROW(),SK!D$3:D$78))</f>
        <v/>
      </c>
      <c r="X15" s="17"/>
      <c r="Z15" s="17"/>
      <c r="AA15" s="311" t="str">
        <f>IF(Score!T15="", "",Score!T15 )</f>
        <v/>
      </c>
      <c r="AB15" s="311"/>
      <c r="AC15" s="309" t="str">
        <f>IF(Score!U15="", "",Score!U15 )</f>
        <v/>
      </c>
      <c r="AD15" s="324"/>
      <c r="AE15" s="324"/>
      <c r="AF15" s="324"/>
      <c r="AG15" s="327" t="s">
        <v>615</v>
      </c>
      <c r="AH15" s="324"/>
      <c r="AI15" s="324"/>
      <c r="AJ15" s="324"/>
      <c r="AK15" s="327" t="s">
        <v>617</v>
      </c>
      <c r="AL15" s="324"/>
      <c r="AM15" s="324"/>
      <c r="AN15" s="324"/>
      <c r="AO15" s="327" t="s">
        <v>613</v>
      </c>
      <c r="AP15" s="324" t="s">
        <v>671</v>
      </c>
      <c r="AQ15" s="324"/>
      <c r="AR15" s="324"/>
      <c r="AS15" s="327" t="s">
        <v>629</v>
      </c>
      <c r="AT15" s="324" t="s">
        <v>664</v>
      </c>
      <c r="AU15" s="324"/>
      <c r="AV15" s="326"/>
      <c r="AW15" s="339" t="str">
        <f>IF(AA15="","",SUMIF(SK!R$3:R$78,ROW(),SK!T$3:T$78))</f>
        <v/>
      </c>
      <c r="AX15" s="17"/>
      <c r="AY15" s="551"/>
      <c r="AZ15" s="17"/>
    </row>
    <row r="16" spans="1:52" ht="31.9" customHeight="1" thickBot="1" x14ac:dyDescent="0.25">
      <c r="A16" s="306" t="str">
        <f>IF(Score!A16="", "",Score!A16 )</f>
        <v/>
      </c>
      <c r="B16" s="310"/>
      <c r="C16" s="308" t="str">
        <f>IF(Score!B16="", "",Score!B16 )</f>
        <v/>
      </c>
      <c r="D16" s="324"/>
      <c r="E16" s="324"/>
      <c r="F16" s="324"/>
      <c r="G16" s="325" t="s">
        <v>649</v>
      </c>
      <c r="H16" s="324"/>
      <c r="I16" s="324"/>
      <c r="J16" s="324"/>
      <c r="K16" s="325" t="s">
        <v>637</v>
      </c>
      <c r="L16" s="324"/>
      <c r="M16" s="324"/>
      <c r="N16" s="324"/>
      <c r="O16" s="325" t="s">
        <v>643</v>
      </c>
      <c r="P16" s="324"/>
      <c r="Q16" s="324"/>
      <c r="R16" s="324"/>
      <c r="S16" s="325" t="s">
        <v>651</v>
      </c>
      <c r="T16" s="324"/>
      <c r="U16" s="324"/>
      <c r="V16" s="326"/>
      <c r="W16" s="339" t="str">
        <f>IF(A16="","",SUMIF(SK!B$3:B$78,ROW(),SK!D$3:D$78))</f>
        <v/>
      </c>
      <c r="X16" s="17"/>
      <c r="Y16" s="772" t="str">
        <f>IF(IGRF!B20="","",IGRF!B20)</f>
        <v/>
      </c>
      <c r="Z16" s="513" t="str">
        <f>IF(IGRF!C20="","",IGRF!C20)</f>
        <v/>
      </c>
      <c r="AA16" s="310" t="str">
        <f>IF(Score!T16="", "",Score!T16 )</f>
        <v/>
      </c>
      <c r="AB16" s="310"/>
      <c r="AC16" s="308" t="str">
        <f>IF(Score!U16="", "",Score!U16 )</f>
        <v/>
      </c>
      <c r="AD16" s="324"/>
      <c r="AE16" s="324"/>
      <c r="AF16" s="324"/>
      <c r="AG16" s="325" t="s">
        <v>615</v>
      </c>
      <c r="AH16" s="324"/>
      <c r="AI16" s="324"/>
      <c r="AJ16" s="324"/>
      <c r="AK16" s="325" t="s">
        <v>617</v>
      </c>
      <c r="AL16" s="324" t="s">
        <v>671</v>
      </c>
      <c r="AM16" s="324"/>
      <c r="AN16" s="324"/>
      <c r="AO16" s="325" t="s">
        <v>613</v>
      </c>
      <c r="AP16" s="324" t="s">
        <v>664</v>
      </c>
      <c r="AQ16" s="324"/>
      <c r="AR16" s="324"/>
      <c r="AS16" s="325" t="s">
        <v>629</v>
      </c>
      <c r="AT16" s="324" t="s">
        <v>661</v>
      </c>
      <c r="AU16" s="324"/>
      <c r="AV16" s="326"/>
      <c r="AW16" s="339" t="str">
        <f>IF(AA16="","",SUMIF(SK!R$3:R$78,ROW(),SK!T$3:T$78))</f>
        <v/>
      </c>
      <c r="AX16" s="17"/>
      <c r="AY16" s="772" t="str">
        <f>IF(IGRF!I20="","",IGRF!I20)</f>
        <v/>
      </c>
      <c r="AZ16" s="513" t="str">
        <f>IF(IGRF!J20="","",IGRF!J20)</f>
        <v/>
      </c>
    </row>
    <row r="17" spans="1:52" ht="31.9" customHeight="1" thickBot="1" x14ac:dyDescent="0.25">
      <c r="A17" s="307" t="str">
        <f>IF(Score!A17="", "",Score!A17 )</f>
        <v/>
      </c>
      <c r="B17" s="311"/>
      <c r="C17" s="309" t="str">
        <f>IF(Score!B17="", "",Score!B17 )</f>
        <v/>
      </c>
      <c r="D17" s="324"/>
      <c r="E17" s="324"/>
      <c r="F17" s="324"/>
      <c r="G17" s="327" t="s">
        <v>649</v>
      </c>
      <c r="H17" s="324" t="s">
        <v>664</v>
      </c>
      <c r="I17" s="324"/>
      <c r="J17" s="324"/>
      <c r="K17" s="327" t="s">
        <v>645</v>
      </c>
      <c r="L17" s="324" t="s">
        <v>661</v>
      </c>
      <c r="M17" s="324"/>
      <c r="N17" s="324"/>
      <c r="O17" s="327" t="s">
        <v>647</v>
      </c>
      <c r="P17" s="324"/>
      <c r="Q17" s="324"/>
      <c r="R17" s="324"/>
      <c r="S17" s="327" t="s">
        <v>651</v>
      </c>
      <c r="T17" s="324"/>
      <c r="U17" s="324"/>
      <c r="V17" s="326"/>
      <c r="W17" s="339" t="str">
        <f>IF(A17="","",SUMIF(SK!B$3:B$78,ROW(),SK!D$3:D$78))</f>
        <v/>
      </c>
      <c r="X17" s="17"/>
      <c r="Z17" s="17"/>
      <c r="AA17" s="311" t="str">
        <f>IF(Score!T17="", "",Score!T17 )</f>
        <v/>
      </c>
      <c r="AB17" s="311"/>
      <c r="AC17" s="309" t="str">
        <f>IF(Score!U17="", "",Score!U17 )</f>
        <v/>
      </c>
      <c r="AD17" s="324"/>
      <c r="AE17" s="324"/>
      <c r="AF17" s="324"/>
      <c r="AG17" s="327" t="s">
        <v>615</v>
      </c>
      <c r="AH17" s="324" t="s">
        <v>661</v>
      </c>
      <c r="AI17" s="324"/>
      <c r="AJ17" s="324"/>
      <c r="AK17" s="327" t="s">
        <v>617</v>
      </c>
      <c r="AL17" s="324" t="s">
        <v>664</v>
      </c>
      <c r="AM17" s="324"/>
      <c r="AN17" s="324"/>
      <c r="AO17" s="327" t="s">
        <v>613</v>
      </c>
      <c r="AP17" s="324"/>
      <c r="AQ17" s="324"/>
      <c r="AR17" s="324"/>
      <c r="AS17" s="327" t="s">
        <v>629</v>
      </c>
      <c r="AT17" s="324" t="s">
        <v>664</v>
      </c>
      <c r="AU17" s="324"/>
      <c r="AV17" s="326"/>
      <c r="AW17" s="339" t="str">
        <f>IF(AA17="","",SUMIF(SK!R$3:R$78,ROW(),SK!T$3:T$78))</f>
        <v/>
      </c>
      <c r="AX17" s="17"/>
      <c r="AY17" s="551"/>
      <c r="AZ17" s="17"/>
    </row>
    <row r="18" spans="1:52" ht="31.9" customHeight="1" thickBot="1" x14ac:dyDescent="0.25">
      <c r="A18" s="306" t="str">
        <f>IF(Score!A18="", "",Score!A18 )</f>
        <v/>
      </c>
      <c r="B18" s="310"/>
      <c r="C18" s="308" t="str">
        <f>IF(Score!B18="", "",Score!B18 )</f>
        <v/>
      </c>
      <c r="D18" s="324" t="s">
        <v>667</v>
      </c>
      <c r="E18" s="324"/>
      <c r="F18" s="324"/>
      <c r="G18" s="325" t="s">
        <v>649</v>
      </c>
      <c r="H18" s="324"/>
      <c r="I18" s="324"/>
      <c r="J18" s="324"/>
      <c r="K18" s="325" t="s">
        <v>651</v>
      </c>
      <c r="L18" s="324" t="s">
        <v>664</v>
      </c>
      <c r="M18" s="324"/>
      <c r="N18" s="324"/>
      <c r="O18" s="325" t="s">
        <v>637</v>
      </c>
      <c r="P18" s="324"/>
      <c r="Q18" s="324"/>
      <c r="R18" s="324"/>
      <c r="S18" s="325" t="s">
        <v>643</v>
      </c>
      <c r="T18" s="324" t="s">
        <v>667</v>
      </c>
      <c r="U18" s="324"/>
      <c r="V18" s="326"/>
      <c r="W18" s="339" t="str">
        <f>IF(A18="","",SUMIF(SK!B$3:B$78,ROW(),SK!D$3:D$78))</f>
        <v/>
      </c>
      <c r="X18" s="17"/>
      <c r="Y18" s="772" t="str">
        <f>IF(IGRF!B21="","",IGRF!B21)</f>
        <v/>
      </c>
      <c r="Z18" s="513" t="str">
        <f>IF(IGRF!C21="","",IGRF!C21)</f>
        <v/>
      </c>
      <c r="AA18" s="310" t="str">
        <f>IF(Score!T18="", "",Score!T18 )</f>
        <v/>
      </c>
      <c r="AB18" s="310"/>
      <c r="AC18" s="308" t="str">
        <f>IF(Score!U18="", "",Score!U18 )</f>
        <v/>
      </c>
      <c r="AD18" s="324"/>
      <c r="AE18" s="324"/>
      <c r="AF18" s="324"/>
      <c r="AG18" s="325" t="s">
        <v>615</v>
      </c>
      <c r="AH18" s="324" t="s">
        <v>664</v>
      </c>
      <c r="AI18" s="324"/>
      <c r="AJ18" s="324"/>
      <c r="AK18" s="325" t="s">
        <v>617</v>
      </c>
      <c r="AL18" s="324"/>
      <c r="AM18" s="324"/>
      <c r="AN18" s="324"/>
      <c r="AO18" s="325" t="s">
        <v>627</v>
      </c>
      <c r="AP18" s="324" t="s">
        <v>667</v>
      </c>
      <c r="AQ18" s="324"/>
      <c r="AR18" s="324"/>
      <c r="AS18" s="325" t="s">
        <v>633</v>
      </c>
      <c r="AT18" s="324"/>
      <c r="AU18" s="324"/>
      <c r="AV18" s="326"/>
      <c r="AW18" s="339" t="str">
        <f>IF(AA18="","",SUMIF(SK!R$3:R$78,ROW(),SK!T$3:T$78))</f>
        <v/>
      </c>
      <c r="AX18" s="17"/>
      <c r="AY18" s="772" t="str">
        <f>IF(IGRF!I21="","",IGRF!I21)</f>
        <v/>
      </c>
      <c r="AZ18" s="513" t="str">
        <f>IF(IGRF!J21="","",IGRF!J21)</f>
        <v/>
      </c>
    </row>
    <row r="19" spans="1:52" ht="31.9" customHeight="1" thickBot="1" x14ac:dyDescent="0.25">
      <c r="A19" s="307" t="str">
        <f>IF(Score!A19="", "",Score!A19 )</f>
        <v/>
      </c>
      <c r="B19" s="311"/>
      <c r="C19" s="309" t="str">
        <f>IF(Score!B19="", "",Score!B19 )</f>
        <v/>
      </c>
      <c r="D19" s="324"/>
      <c r="E19" s="324"/>
      <c r="F19" s="324"/>
      <c r="G19" s="327" t="s">
        <v>649</v>
      </c>
      <c r="H19" s="324"/>
      <c r="I19" s="324"/>
      <c r="J19" s="324"/>
      <c r="K19" s="327" t="s">
        <v>647</v>
      </c>
      <c r="L19" s="324"/>
      <c r="M19" s="324"/>
      <c r="N19" s="324"/>
      <c r="O19" s="327" t="s">
        <v>639</v>
      </c>
      <c r="P19" s="324"/>
      <c r="Q19" s="324"/>
      <c r="R19" s="324"/>
      <c r="S19" s="327" t="s">
        <v>643</v>
      </c>
      <c r="T19" s="324"/>
      <c r="U19" s="324"/>
      <c r="V19" s="326"/>
      <c r="W19" s="339" t="str">
        <f>IF(A19="","",SUMIF(SK!B$3:B$78,ROW(),SK!D$3:D$78))</f>
        <v/>
      </c>
      <c r="X19" s="17"/>
      <c r="Z19" s="17"/>
      <c r="AA19" s="311" t="str">
        <f>IF(Score!T19="", "",Score!T19 )</f>
        <v/>
      </c>
      <c r="AB19" s="311"/>
      <c r="AC19" s="309" t="str">
        <f>IF(Score!U19="", "",Score!U19 )</f>
        <v/>
      </c>
      <c r="AD19" s="324" t="s">
        <v>667</v>
      </c>
      <c r="AE19" s="324" t="s">
        <v>661</v>
      </c>
      <c r="AF19" s="324"/>
      <c r="AG19" s="327" t="s">
        <v>615</v>
      </c>
      <c r="AH19" s="324" t="s">
        <v>667</v>
      </c>
      <c r="AI19" s="324"/>
      <c r="AJ19" s="324"/>
      <c r="AK19" s="327" t="s">
        <v>629</v>
      </c>
      <c r="AL19" s="324" t="s">
        <v>667</v>
      </c>
      <c r="AM19" s="324"/>
      <c r="AN19" s="324"/>
      <c r="AO19" s="327" t="s">
        <v>627</v>
      </c>
      <c r="AP19" s="324"/>
      <c r="AQ19" s="324"/>
      <c r="AR19" s="324"/>
      <c r="AS19" s="327" t="s">
        <v>613</v>
      </c>
      <c r="AT19" s="324" t="s">
        <v>667</v>
      </c>
      <c r="AU19" s="324"/>
      <c r="AV19" s="326"/>
      <c r="AW19" s="339" t="str">
        <f>IF(AA19="","",SUMIF(SK!R$3:R$78,ROW(),SK!T$3:T$78))</f>
        <v/>
      </c>
      <c r="AX19" s="17"/>
      <c r="AY19" s="551"/>
      <c r="AZ19" s="17"/>
    </row>
    <row r="20" spans="1:52" ht="31.9" customHeight="1" thickBot="1" x14ac:dyDescent="0.25">
      <c r="A20" s="306" t="str">
        <f>IF(Score!A20="", "",Score!A20 )</f>
        <v/>
      </c>
      <c r="B20" s="310" t="s">
        <v>116</v>
      </c>
      <c r="C20" s="308" t="str">
        <f>IF(Score!B20="", "",Score!B20 )</f>
        <v/>
      </c>
      <c r="D20" s="324"/>
      <c r="E20" s="324"/>
      <c r="F20" s="324"/>
      <c r="G20" s="325" t="s">
        <v>637</v>
      </c>
      <c r="H20" s="324" t="s">
        <v>661</v>
      </c>
      <c r="I20" s="324"/>
      <c r="J20" s="324"/>
      <c r="K20" s="325" t="s">
        <v>647</v>
      </c>
      <c r="L20" s="324" t="s">
        <v>664</v>
      </c>
      <c r="M20" s="324"/>
      <c r="N20" s="324"/>
      <c r="O20" s="325" t="s">
        <v>645</v>
      </c>
      <c r="P20" s="324"/>
      <c r="Q20" s="324"/>
      <c r="R20" s="324"/>
      <c r="S20" s="325" t="s">
        <v>639</v>
      </c>
      <c r="T20" s="324"/>
      <c r="U20" s="324"/>
      <c r="V20" s="326"/>
      <c r="W20" s="339" t="str">
        <f>IF(A20="","",SUMIF(SK!B$3:B$78,ROW(),SK!D$3:D$78))</f>
        <v/>
      </c>
      <c r="X20" s="17"/>
      <c r="Y20" s="772" t="str">
        <f>IF(IGRF!B22="","",IGRF!B22)</f>
        <v/>
      </c>
      <c r="Z20" s="513" t="str">
        <f>IF(IGRF!C22="","",IGRF!C22)</f>
        <v/>
      </c>
      <c r="AA20" s="310" t="str">
        <f>IF(Score!T20="", "",Score!T20 )</f>
        <v/>
      </c>
      <c r="AB20" s="310"/>
      <c r="AC20" s="308" t="str">
        <f>IF(Score!U20="", "",Score!U20 )</f>
        <v/>
      </c>
      <c r="AD20" s="324" t="s">
        <v>664</v>
      </c>
      <c r="AE20" s="324"/>
      <c r="AF20" s="324"/>
      <c r="AG20" s="325" t="s">
        <v>620</v>
      </c>
      <c r="AH20" s="324"/>
      <c r="AI20" s="324"/>
      <c r="AJ20" s="324"/>
      <c r="AK20" s="325" t="s">
        <v>617</v>
      </c>
      <c r="AL20" s="324"/>
      <c r="AM20" s="324"/>
      <c r="AN20" s="324"/>
      <c r="AO20" s="325" t="s">
        <v>585</v>
      </c>
      <c r="AP20" s="324"/>
      <c r="AQ20" s="324"/>
      <c r="AR20" s="324"/>
      <c r="AS20" s="325" t="s">
        <v>613</v>
      </c>
      <c r="AT20" s="324"/>
      <c r="AU20" s="324"/>
      <c r="AV20" s="326"/>
      <c r="AW20" s="339" t="str">
        <f>IF(AA20="","",SUMIF(SK!R$3:R$78,ROW(),SK!T$3:T$78))</f>
        <v/>
      </c>
      <c r="AX20" s="17"/>
      <c r="AY20" s="772" t="str">
        <f>IF(IGRF!I22="","",IGRF!I22)</f>
        <v/>
      </c>
      <c r="AZ20" s="513" t="str">
        <f>IF(IGRF!J22="","",IGRF!J22)</f>
        <v/>
      </c>
    </row>
    <row r="21" spans="1:52" ht="31.9" customHeight="1" thickBot="1" x14ac:dyDescent="0.25">
      <c r="A21" s="307" t="str">
        <f>IF(Score!A21="", "",Score!A21 )</f>
        <v/>
      </c>
      <c r="B21" s="311" t="s">
        <v>116</v>
      </c>
      <c r="C21" s="309" t="str">
        <f>IF(Score!B21="", "",Score!B21 )</f>
        <v/>
      </c>
      <c r="D21" s="324"/>
      <c r="E21" s="324"/>
      <c r="F21" s="324"/>
      <c r="G21" s="327" t="s">
        <v>643</v>
      </c>
      <c r="H21" s="324"/>
      <c r="I21" s="324"/>
      <c r="J21" s="324"/>
      <c r="K21" s="327" t="s">
        <v>651</v>
      </c>
      <c r="L21" s="324"/>
      <c r="M21" s="324"/>
      <c r="N21" s="324"/>
      <c r="O21" s="327" t="s">
        <v>637</v>
      </c>
      <c r="P21" s="324" t="s">
        <v>664</v>
      </c>
      <c r="Q21" s="324"/>
      <c r="R21" s="324"/>
      <c r="S21" s="327" t="s">
        <v>645</v>
      </c>
      <c r="T21" s="324"/>
      <c r="U21" s="324"/>
      <c r="V21" s="326"/>
      <c r="W21" s="339" t="str">
        <f>IF(A21="","",SUMIF(SK!B$3:B$78,ROW(),SK!D$3:D$78))</f>
        <v/>
      </c>
      <c r="X21" s="17"/>
      <c r="Z21" s="17"/>
      <c r="AA21" s="311" t="str">
        <f>IF(Score!T21="", "",Score!T21 )</f>
        <v/>
      </c>
      <c r="AB21" s="311"/>
      <c r="AC21" s="309" t="str">
        <f>IF(Score!U21="", "",Score!U21 )</f>
        <v/>
      </c>
      <c r="AD21" s="324" t="s">
        <v>661</v>
      </c>
      <c r="AE21" s="324"/>
      <c r="AF21" s="324"/>
      <c r="AG21" s="327" t="s">
        <v>622</v>
      </c>
      <c r="AH21" s="324"/>
      <c r="AI21" s="324"/>
      <c r="AJ21" s="324"/>
      <c r="AK21" s="327" t="s">
        <v>617</v>
      </c>
      <c r="AL21" s="324" t="s">
        <v>667</v>
      </c>
      <c r="AM21" s="324"/>
      <c r="AN21" s="324"/>
      <c r="AO21" s="327" t="s">
        <v>615</v>
      </c>
      <c r="AP21" s="324"/>
      <c r="AQ21" s="324"/>
      <c r="AR21" s="324"/>
      <c r="AS21" s="327" t="s">
        <v>585</v>
      </c>
      <c r="AT21" s="324"/>
      <c r="AU21" s="324"/>
      <c r="AV21" s="326"/>
      <c r="AW21" s="339" t="str">
        <f>IF(AA21="","",SUMIF(SK!R$3:R$78,ROW(),SK!T$3:T$78))</f>
        <v/>
      </c>
      <c r="AX21" s="17"/>
      <c r="AY21" s="551"/>
      <c r="AZ21" s="17"/>
    </row>
    <row r="22" spans="1:52" ht="31.9" customHeight="1" thickBot="1" x14ac:dyDescent="0.25">
      <c r="A22" s="306" t="str">
        <f>IF(Score!A22="", "",Score!A22 )</f>
        <v/>
      </c>
      <c r="B22" s="310"/>
      <c r="C22" s="308" t="str">
        <f>IF(Score!B22="", "",Score!B22 )</f>
        <v/>
      </c>
      <c r="D22" s="324" t="s">
        <v>667</v>
      </c>
      <c r="E22" s="324" t="s">
        <v>667</v>
      </c>
      <c r="F22" s="324"/>
      <c r="G22" s="325" t="s">
        <v>641</v>
      </c>
      <c r="H22" s="324" t="s">
        <v>661</v>
      </c>
      <c r="I22" s="324"/>
      <c r="J22" s="324"/>
      <c r="K22" s="325" t="s">
        <v>651</v>
      </c>
      <c r="L22" s="324" t="s">
        <v>667</v>
      </c>
      <c r="M22" s="324"/>
      <c r="N22" s="324"/>
      <c r="O22" s="325" t="s">
        <v>639</v>
      </c>
      <c r="P22" s="324"/>
      <c r="Q22" s="324"/>
      <c r="R22" s="324"/>
      <c r="S22" s="325" t="s">
        <v>647</v>
      </c>
      <c r="T22" s="324"/>
      <c r="U22" s="324"/>
      <c r="V22" s="326"/>
      <c r="W22" s="339" t="str">
        <f>IF(A22="","",SUMIF(SK!B$3:B$78,ROW(),SK!D$3:D$78))</f>
        <v/>
      </c>
      <c r="X22" s="17"/>
      <c r="Y22" s="772" t="str">
        <f>IF(IGRF!B23="","",IGRF!B23)</f>
        <v/>
      </c>
      <c r="Z22" s="513" t="str">
        <f>IF(IGRF!C23="","",IGRF!C23)</f>
        <v/>
      </c>
      <c r="AA22" s="310" t="str">
        <f>IF(Score!T22="", "",Score!T22 )</f>
        <v/>
      </c>
      <c r="AB22" s="310"/>
      <c r="AC22" s="308" t="str">
        <f>IF(Score!U22="", "",Score!U22 )</f>
        <v/>
      </c>
      <c r="AD22" s="324" t="s">
        <v>664</v>
      </c>
      <c r="AE22" s="324"/>
      <c r="AF22" s="324"/>
      <c r="AG22" s="325" t="s">
        <v>627</v>
      </c>
      <c r="AH22" s="324"/>
      <c r="AI22" s="324"/>
      <c r="AJ22" s="324"/>
      <c r="AK22" s="325" t="s">
        <v>617</v>
      </c>
      <c r="AL22" s="324"/>
      <c r="AM22" s="324"/>
      <c r="AN22" s="324"/>
      <c r="AO22" s="325" t="s">
        <v>615</v>
      </c>
      <c r="AP22" s="324"/>
      <c r="AQ22" s="324"/>
      <c r="AR22" s="324"/>
      <c r="AS22" s="325" t="s">
        <v>585</v>
      </c>
      <c r="AT22" s="324"/>
      <c r="AU22" s="324"/>
      <c r="AV22" s="326"/>
      <c r="AW22" s="339" t="str">
        <f>IF(AA22="","",SUMIF(SK!R$3:R$78,ROW(),SK!T$3:T$78))</f>
        <v/>
      </c>
      <c r="AX22" s="17"/>
      <c r="AY22" s="772" t="str">
        <f>IF(IGRF!I23="","",IGRF!I23)</f>
        <v/>
      </c>
      <c r="AZ22" s="513" t="str">
        <f>IF(IGRF!J23="","",IGRF!J23)</f>
        <v/>
      </c>
    </row>
    <row r="23" spans="1:52" ht="31.9" customHeight="1" thickBot="1" x14ac:dyDescent="0.25">
      <c r="A23" s="307" t="str">
        <f>IF(Score!A23="", "",Score!A23 )</f>
        <v/>
      </c>
      <c r="B23" s="311"/>
      <c r="C23" s="309" t="str">
        <f>IF(Score!B23="", "",Score!B23 )</f>
        <v/>
      </c>
      <c r="D23" s="324"/>
      <c r="E23" s="324"/>
      <c r="F23" s="324"/>
      <c r="G23" s="327"/>
      <c r="H23" s="324"/>
      <c r="I23" s="324"/>
      <c r="J23" s="324"/>
      <c r="K23" s="327" t="s">
        <v>641</v>
      </c>
      <c r="L23" s="324" t="s">
        <v>664</v>
      </c>
      <c r="M23" s="324"/>
      <c r="N23" s="324"/>
      <c r="O23" s="327" t="s">
        <v>645</v>
      </c>
      <c r="P23" s="324"/>
      <c r="Q23" s="324"/>
      <c r="R23" s="324"/>
      <c r="S23" s="327" t="s">
        <v>651</v>
      </c>
      <c r="T23" s="324"/>
      <c r="U23" s="324"/>
      <c r="V23" s="326"/>
      <c r="W23" s="339" t="str">
        <f>IF(A23="","",SUMIF(SK!B$3:B$78,ROW(),SK!D$3:D$78))</f>
        <v/>
      </c>
      <c r="X23" s="17"/>
      <c r="Z23" s="17"/>
      <c r="AA23" s="311" t="str">
        <f>IF(Score!T23="", "",Score!T23 )</f>
        <v/>
      </c>
      <c r="AB23" s="311"/>
      <c r="AC23" s="309" t="str">
        <f>IF(Score!U23="", "",Score!U23 )</f>
        <v/>
      </c>
      <c r="AD23" s="324" t="s">
        <v>667</v>
      </c>
      <c r="AE23" s="324"/>
      <c r="AF23" s="324"/>
      <c r="AG23" s="327" t="s">
        <v>627</v>
      </c>
      <c r="AH23" s="324"/>
      <c r="AI23" s="324"/>
      <c r="AJ23" s="324"/>
      <c r="AK23" s="327" t="s">
        <v>617</v>
      </c>
      <c r="AL23" s="324"/>
      <c r="AM23" s="324"/>
      <c r="AN23" s="324"/>
      <c r="AO23" s="327" t="s">
        <v>615</v>
      </c>
      <c r="AP23" s="324"/>
      <c r="AQ23" s="324"/>
      <c r="AR23" s="324"/>
      <c r="AS23" s="327" t="s">
        <v>629</v>
      </c>
      <c r="AT23" s="324"/>
      <c r="AU23" s="324"/>
      <c r="AV23" s="326"/>
      <c r="AW23" s="339" t="str">
        <f>IF(AA23="","",SUMIF(SK!R$3:R$78,ROW(),SK!T$3:T$78))</f>
        <v/>
      </c>
      <c r="AX23" s="17"/>
      <c r="AY23" s="551"/>
      <c r="AZ23" s="17"/>
    </row>
    <row r="24" spans="1:52" ht="31.9" customHeight="1" thickBot="1" x14ac:dyDescent="0.25">
      <c r="A24" s="306" t="str">
        <f>IF(Score!A24="", "",Score!A24 )</f>
        <v/>
      </c>
      <c r="B24" s="310" t="s">
        <v>116</v>
      </c>
      <c r="C24" s="308" t="str">
        <f>IF(Score!B24="", "",Score!B24 )</f>
        <v/>
      </c>
      <c r="D24" s="324"/>
      <c r="E24" s="324"/>
      <c r="F24" s="324"/>
      <c r="G24" s="325" t="s">
        <v>643</v>
      </c>
      <c r="H24" s="324"/>
      <c r="I24" s="324"/>
      <c r="J24" s="324"/>
      <c r="K24" s="325" t="s">
        <v>641</v>
      </c>
      <c r="L24" s="324"/>
      <c r="M24" s="324"/>
      <c r="N24" s="324"/>
      <c r="O24" s="325" t="s">
        <v>645</v>
      </c>
      <c r="P24" s="324"/>
      <c r="Q24" s="324"/>
      <c r="R24" s="324"/>
      <c r="S24" s="325" t="s">
        <v>651</v>
      </c>
      <c r="T24" s="324"/>
      <c r="U24" s="324"/>
      <c r="V24" s="326"/>
      <c r="W24" s="339" t="str">
        <f>IF(A24="","",SUMIF(SK!B$3:B$78,ROW(),SK!D$3:D$78))</f>
        <v/>
      </c>
      <c r="X24" s="17"/>
      <c r="Y24" s="772" t="str">
        <f>IF(IGRF!B24="","",IGRF!B24)</f>
        <v/>
      </c>
      <c r="Z24" s="513" t="str">
        <f>IF(IGRF!C24="","",IGRF!C24)</f>
        <v/>
      </c>
      <c r="AA24" s="310" t="str">
        <f>IF(Score!T24="", "",Score!T24 )</f>
        <v/>
      </c>
      <c r="AB24" s="310"/>
      <c r="AC24" s="308" t="str">
        <f>IF(Score!U24="", "",Score!U24 )</f>
        <v/>
      </c>
      <c r="AD24" s="324"/>
      <c r="AE24" s="324"/>
      <c r="AF24" s="324"/>
      <c r="AG24" s="325"/>
      <c r="AH24" s="324"/>
      <c r="AI24" s="324"/>
      <c r="AJ24" s="324"/>
      <c r="AK24" s="325"/>
      <c r="AL24" s="324"/>
      <c r="AM24" s="324"/>
      <c r="AN24" s="324"/>
      <c r="AO24" s="325"/>
      <c r="AP24" s="324"/>
      <c r="AQ24" s="324"/>
      <c r="AR24" s="324"/>
      <c r="AS24" s="325"/>
      <c r="AT24" s="324"/>
      <c r="AU24" s="324"/>
      <c r="AV24" s="326"/>
      <c r="AW24" s="339" t="str">
        <f>IF(AA24="","",SUMIF(SK!R$3:R$78,ROW(),SK!T$3:T$78))</f>
        <v/>
      </c>
      <c r="AX24" s="17"/>
      <c r="AY24" s="772" t="str">
        <f>IF(IGRF!I24="","",IGRF!I24)</f>
        <v/>
      </c>
      <c r="AZ24" s="513" t="str">
        <f>IF(IGRF!J24="","",IGRF!J24)</f>
        <v/>
      </c>
    </row>
    <row r="25" spans="1:52" ht="31.9" customHeight="1" thickBot="1" x14ac:dyDescent="0.25">
      <c r="A25" s="307" t="str">
        <f>IF(Score!A25="", "",Score!A25 )</f>
        <v/>
      </c>
      <c r="B25" s="311" t="s">
        <v>116</v>
      </c>
      <c r="C25" s="309" t="str">
        <f>IF(Score!B25="", "",Score!B25 )</f>
        <v/>
      </c>
      <c r="D25" s="324"/>
      <c r="E25" s="324"/>
      <c r="F25" s="324"/>
      <c r="G25" s="327" t="s">
        <v>639</v>
      </c>
      <c r="H25" s="324"/>
      <c r="I25" s="324"/>
      <c r="J25" s="324"/>
      <c r="K25" s="327" t="s">
        <v>637</v>
      </c>
      <c r="L25" s="324" t="s">
        <v>671</v>
      </c>
      <c r="M25" s="324"/>
      <c r="N25" s="324"/>
      <c r="O25" s="327" t="s">
        <v>645</v>
      </c>
      <c r="P25" s="324"/>
      <c r="Q25" s="324"/>
      <c r="R25" s="324"/>
      <c r="S25" s="327" t="s">
        <v>647</v>
      </c>
      <c r="T25" s="324"/>
      <c r="U25" s="324"/>
      <c r="V25" s="326"/>
      <c r="W25" s="339" t="str">
        <f>IF(A25="","",SUMIF(SK!B$3:B$78,ROW(),SK!D$3:D$78))</f>
        <v/>
      </c>
      <c r="X25" s="17"/>
      <c r="Z25" s="17"/>
      <c r="AA25" s="311" t="str">
        <f>IF(Score!T25="", "",Score!T25 )</f>
        <v/>
      </c>
      <c r="AB25" s="311"/>
      <c r="AC25" s="309" t="str">
        <f>IF(Score!U25="", "",Score!U25 )</f>
        <v/>
      </c>
      <c r="AD25" s="324"/>
      <c r="AE25" s="324"/>
      <c r="AF25" s="324"/>
      <c r="AG25" s="327" t="s">
        <v>627</v>
      </c>
      <c r="AH25" s="324"/>
      <c r="AI25" s="324"/>
      <c r="AJ25" s="324"/>
      <c r="AK25" s="327" t="s">
        <v>613</v>
      </c>
      <c r="AL25" s="324"/>
      <c r="AM25" s="324"/>
      <c r="AN25" s="324"/>
      <c r="AO25" s="327" t="s">
        <v>633</v>
      </c>
      <c r="AP25" s="324"/>
      <c r="AQ25" s="324"/>
      <c r="AR25" s="324"/>
      <c r="AS25" s="327" t="s">
        <v>615</v>
      </c>
      <c r="AT25" s="324"/>
      <c r="AU25" s="324"/>
      <c r="AV25" s="326"/>
      <c r="AW25" s="339" t="str">
        <f>IF(AA25="","",SUMIF(SK!R$3:R$78,ROW(),SK!T$3:T$78))</f>
        <v/>
      </c>
      <c r="AX25" s="17"/>
      <c r="AY25" s="551"/>
      <c r="AZ25" s="17"/>
    </row>
    <row r="26" spans="1:52" ht="31.9" customHeight="1" thickBot="1" x14ac:dyDescent="0.25">
      <c r="A26" s="306" t="str">
        <f>IF(Score!A26="", "",Score!A26 )</f>
        <v/>
      </c>
      <c r="B26" s="310" t="s">
        <v>116</v>
      </c>
      <c r="C26" s="308" t="str">
        <f>IF(Score!B26="", "",Score!B26 )</f>
        <v/>
      </c>
      <c r="D26" s="324" t="s">
        <v>664</v>
      </c>
      <c r="E26" s="324"/>
      <c r="F26" s="324"/>
      <c r="G26" s="325" t="s">
        <v>651</v>
      </c>
      <c r="H26" s="324"/>
      <c r="I26" s="324"/>
      <c r="J26" s="324"/>
      <c r="K26" s="325" t="s">
        <v>635</v>
      </c>
      <c r="L26" s="324"/>
      <c r="M26" s="324"/>
      <c r="N26" s="324"/>
      <c r="O26" s="325" t="s">
        <v>645</v>
      </c>
      <c r="P26" s="324"/>
      <c r="Q26" s="324"/>
      <c r="R26" s="324"/>
      <c r="S26" s="325" t="s">
        <v>643</v>
      </c>
      <c r="T26" s="324"/>
      <c r="U26" s="324"/>
      <c r="V26" s="326"/>
      <c r="W26" s="339" t="str">
        <f>IF(A26="","",SUMIF(SK!B$3:B$78,ROW(),SK!D$3:D$78))</f>
        <v/>
      </c>
      <c r="X26" s="17"/>
      <c r="Y26" s="772" t="str">
        <f>IF(IGRF!B25="","",IGRF!B25)</f>
        <v/>
      </c>
      <c r="Z26" s="513" t="str">
        <f>IF(IGRF!C25="","",IGRF!C25)</f>
        <v/>
      </c>
      <c r="AA26" s="310" t="str">
        <f>IF(Score!T26="", "",Score!T26 )</f>
        <v/>
      </c>
      <c r="AB26" s="310"/>
      <c r="AC26" s="308" t="str">
        <f>IF(Score!U26="", "",Score!U26 )</f>
        <v/>
      </c>
      <c r="AD26" s="324"/>
      <c r="AE26" s="324"/>
      <c r="AF26" s="324"/>
      <c r="AG26" s="325" t="s">
        <v>615</v>
      </c>
      <c r="AH26" s="324"/>
      <c r="AI26" s="324"/>
      <c r="AJ26" s="324"/>
      <c r="AK26" s="325" t="s">
        <v>613</v>
      </c>
      <c r="AL26" s="324"/>
      <c r="AM26" s="324"/>
      <c r="AN26" s="324"/>
      <c r="AO26" s="325" t="s">
        <v>633</v>
      </c>
      <c r="AP26" s="324"/>
      <c r="AQ26" s="324"/>
      <c r="AR26" s="324"/>
      <c r="AS26" s="325" t="s">
        <v>617</v>
      </c>
      <c r="AT26" s="324"/>
      <c r="AU26" s="324"/>
      <c r="AV26" s="326"/>
      <c r="AW26" s="339" t="str">
        <f>IF(AA26="","",SUMIF(SK!R$3:R$78,ROW(),SK!T$3:T$78))</f>
        <v/>
      </c>
      <c r="AX26" s="17"/>
      <c r="AY26" s="772" t="str">
        <f>IF(IGRF!I25="","",IGRF!I25)</f>
        <v/>
      </c>
      <c r="AZ26" s="513" t="str">
        <f>IF(IGRF!J25="","",IGRF!J25)</f>
        <v/>
      </c>
    </row>
    <row r="27" spans="1:52" ht="31.9" customHeight="1" thickBot="1" x14ac:dyDescent="0.25">
      <c r="A27" s="307" t="str">
        <f>IF(Score!A27="", "",Score!A27 )</f>
        <v/>
      </c>
      <c r="B27" s="311" t="s">
        <v>116</v>
      </c>
      <c r="C27" s="309" t="str">
        <f>IF(Score!B27="", "",Score!B27 )</f>
        <v/>
      </c>
      <c r="D27" s="324"/>
      <c r="E27" s="324"/>
      <c r="F27" s="324"/>
      <c r="G27" s="327" t="s">
        <v>651</v>
      </c>
      <c r="H27" s="324"/>
      <c r="I27" s="324"/>
      <c r="J27" s="324"/>
      <c r="K27" s="327" t="s">
        <v>639</v>
      </c>
      <c r="L27" s="324"/>
      <c r="M27" s="324"/>
      <c r="N27" s="324"/>
      <c r="O27" s="327" t="s">
        <v>641</v>
      </c>
      <c r="P27" s="324"/>
      <c r="Q27" s="324"/>
      <c r="R27" s="324"/>
      <c r="S27" s="327" t="s">
        <v>645</v>
      </c>
      <c r="T27" s="324"/>
      <c r="U27" s="324"/>
      <c r="V27" s="326"/>
      <c r="W27" s="339" t="str">
        <f>IF(A27="","",SUMIF(SK!B$3:B$78,ROW(),SK!D$3:D$78))</f>
        <v/>
      </c>
      <c r="X27" s="17"/>
      <c r="Z27" s="17"/>
      <c r="AA27" s="311" t="str">
        <f>IF(Score!T27="", "",Score!T27 )</f>
        <v/>
      </c>
      <c r="AB27" s="311"/>
      <c r="AC27" s="309" t="str">
        <f>IF(Score!U27="", "",Score!U27 )</f>
        <v/>
      </c>
      <c r="AD27" s="324"/>
      <c r="AE27" s="324"/>
      <c r="AF27" s="324"/>
      <c r="AG27" s="327" t="s">
        <v>615</v>
      </c>
      <c r="AH27" s="324"/>
      <c r="AI27" s="324"/>
      <c r="AJ27" s="324"/>
      <c r="AK27" s="327" t="s">
        <v>613</v>
      </c>
      <c r="AL27" s="324"/>
      <c r="AM27" s="324"/>
      <c r="AN27" s="324"/>
      <c r="AO27" s="327" t="s">
        <v>633</v>
      </c>
      <c r="AP27" s="324"/>
      <c r="AQ27" s="324"/>
      <c r="AR27" s="324"/>
      <c r="AS27" s="327" t="s">
        <v>617</v>
      </c>
      <c r="AT27" s="324" t="s">
        <v>661</v>
      </c>
      <c r="AU27" s="324"/>
      <c r="AV27" s="326"/>
      <c r="AW27" s="339" t="str">
        <f>IF(AA27="","",SUMIF(SK!R$3:R$78,ROW(),SK!T$3:T$78))</f>
        <v/>
      </c>
      <c r="AX27" s="17"/>
      <c r="AY27" s="551"/>
      <c r="AZ27" s="17"/>
    </row>
    <row r="28" spans="1:52" ht="31.9" customHeight="1" thickBot="1" x14ac:dyDescent="0.25">
      <c r="A28" s="306" t="str">
        <f>IF(Score!A28="", "",Score!A28 )</f>
        <v/>
      </c>
      <c r="B28" s="310"/>
      <c r="C28" s="308" t="str">
        <f>IF(Score!B28="", "",Score!B28 )</f>
        <v/>
      </c>
      <c r="D28" s="324"/>
      <c r="E28" s="324"/>
      <c r="F28" s="324"/>
      <c r="G28" s="325" t="s">
        <v>637</v>
      </c>
      <c r="H28" s="324"/>
      <c r="I28" s="324"/>
      <c r="J28" s="324"/>
      <c r="K28" s="325" t="s">
        <v>643</v>
      </c>
      <c r="L28" s="324"/>
      <c r="M28" s="324"/>
      <c r="N28" s="324"/>
      <c r="O28" s="325" t="s">
        <v>639</v>
      </c>
      <c r="P28" s="324" t="s">
        <v>661</v>
      </c>
      <c r="Q28" s="324"/>
      <c r="R28" s="324"/>
      <c r="S28" s="325" t="s">
        <v>641</v>
      </c>
      <c r="T28" s="324"/>
      <c r="U28" s="324"/>
      <c r="V28" s="326"/>
      <c r="W28" s="339" t="str">
        <f>IF(A28="","",SUMIF(SK!B$3:B$78,ROW(),SK!D$3:D$78))</f>
        <v/>
      </c>
      <c r="X28" s="17"/>
      <c r="Y28" s="772" t="str">
        <f>IF(IGRF!B26="","",IGRF!B26)</f>
        <v/>
      </c>
      <c r="Z28" s="513" t="str">
        <f>IF(IGRF!C26="","",IGRF!C26)</f>
        <v/>
      </c>
      <c r="AA28" s="310" t="str">
        <f>IF(Score!T28="", "",Score!T28 )</f>
        <v/>
      </c>
      <c r="AB28" s="310"/>
      <c r="AC28" s="308" t="str">
        <f>IF(Score!U28="", "",Score!U28 )</f>
        <v/>
      </c>
      <c r="AD28" s="324"/>
      <c r="AE28" s="324"/>
      <c r="AF28" s="324"/>
      <c r="AG28" s="325" t="s">
        <v>615</v>
      </c>
      <c r="AH28" s="324"/>
      <c r="AI28" s="324"/>
      <c r="AJ28" s="324"/>
      <c r="AK28" s="325" t="s">
        <v>613</v>
      </c>
      <c r="AL28" s="324"/>
      <c r="AM28" s="324"/>
      <c r="AN28" s="324"/>
      <c r="AO28" s="325" t="s">
        <v>585</v>
      </c>
      <c r="AP28" s="324"/>
      <c r="AQ28" s="324"/>
      <c r="AR28" s="324"/>
      <c r="AS28" s="325" t="s">
        <v>617</v>
      </c>
      <c r="AT28" s="324" t="s">
        <v>664</v>
      </c>
      <c r="AU28" s="324"/>
      <c r="AV28" s="326"/>
      <c r="AW28" s="339" t="str">
        <f>IF(AA28="","",SUMIF(SK!R$3:R$78,ROW(),SK!T$3:T$78))</f>
        <v/>
      </c>
      <c r="AX28" s="17"/>
      <c r="AY28" s="772" t="str">
        <f>IF(IGRF!I26="","",IGRF!I26)</f>
        <v/>
      </c>
      <c r="AZ28" s="513" t="str">
        <f>IF(IGRF!J26="","",IGRF!J26)</f>
        <v/>
      </c>
    </row>
    <row r="29" spans="1:52" ht="31.9" customHeight="1" thickBot="1" x14ac:dyDescent="0.25">
      <c r="A29" s="307" t="str">
        <f>IF(Score!A29="", "",Score!A29 )</f>
        <v/>
      </c>
      <c r="B29" s="311"/>
      <c r="C29" s="309" t="str">
        <f>IF(Score!B29="", "",Score!B29 )</f>
        <v/>
      </c>
      <c r="D29" s="324"/>
      <c r="E29" s="324"/>
      <c r="F29" s="324"/>
      <c r="G29" s="327"/>
      <c r="H29" s="324"/>
      <c r="I29" s="324"/>
      <c r="J29" s="324"/>
      <c r="K29" s="327"/>
      <c r="L29" s="324"/>
      <c r="M29" s="324"/>
      <c r="N29" s="324"/>
      <c r="O29" s="327"/>
      <c r="P29" s="324"/>
      <c r="Q29" s="324"/>
      <c r="R29" s="324"/>
      <c r="S29" s="327"/>
      <c r="T29" s="324"/>
      <c r="U29" s="324"/>
      <c r="V29" s="326"/>
      <c r="W29" s="339" t="str">
        <f>IF(A29="","",SUMIF(SK!B$3:B$78,ROW(),SK!D$3:D$78))</f>
        <v/>
      </c>
      <c r="X29" s="17"/>
      <c r="Z29" s="17"/>
      <c r="AA29" s="311" t="str">
        <f>IF(Score!T29="", "",Score!T29 )</f>
        <v/>
      </c>
      <c r="AB29" s="311"/>
      <c r="AC29" s="309" t="str">
        <f>IF(Score!U29="", "",Score!U29 )</f>
        <v/>
      </c>
      <c r="AD29" s="324"/>
      <c r="AE29" s="324"/>
      <c r="AF29" s="324"/>
      <c r="AG29" s="327"/>
      <c r="AH29" s="324"/>
      <c r="AI29" s="324"/>
      <c r="AJ29" s="324"/>
      <c r="AK29" s="327"/>
      <c r="AL29" s="324"/>
      <c r="AM29" s="324"/>
      <c r="AN29" s="324"/>
      <c r="AO29" s="327"/>
      <c r="AP29" s="324"/>
      <c r="AQ29" s="324"/>
      <c r="AR29" s="324"/>
      <c r="AS29" s="327"/>
      <c r="AT29" s="324"/>
      <c r="AU29" s="324"/>
      <c r="AV29" s="326"/>
      <c r="AW29" s="339" t="str">
        <f>IF(AA29="","",SUMIF(SK!R$3:R$78,ROW(),SK!T$3:T$78))</f>
        <v/>
      </c>
      <c r="AX29" s="17"/>
      <c r="AY29" s="551"/>
      <c r="AZ29" s="17"/>
    </row>
    <row r="30" spans="1:52" ht="31.9" customHeight="1" thickBot="1" x14ac:dyDescent="0.25">
      <c r="A30" s="306" t="str">
        <f>IF(Score!A30="", "",Score!A30 )</f>
        <v/>
      </c>
      <c r="B30" s="310"/>
      <c r="C30" s="308" t="str">
        <f>IF(Score!B30="", "",Score!B30 )</f>
        <v/>
      </c>
      <c r="D30" s="324"/>
      <c r="E30" s="324"/>
      <c r="F30" s="324"/>
      <c r="G30" s="325"/>
      <c r="H30" s="324"/>
      <c r="I30" s="324"/>
      <c r="J30" s="324"/>
      <c r="K30" s="325"/>
      <c r="L30" s="324"/>
      <c r="M30" s="324"/>
      <c r="N30" s="324"/>
      <c r="O30" s="325"/>
      <c r="P30" s="324"/>
      <c r="Q30" s="324"/>
      <c r="R30" s="324"/>
      <c r="S30" s="325"/>
      <c r="T30" s="324"/>
      <c r="U30" s="324"/>
      <c r="V30" s="326"/>
      <c r="W30" s="339" t="str">
        <f>IF(A30="","",SUMIF(SK!B$3:B$78,ROW(),SK!D$3:D$78))</f>
        <v/>
      </c>
      <c r="X30" s="17"/>
      <c r="Y30" s="772" t="str">
        <f>IF(IGRF!B27="","",IGRF!B27)</f>
        <v/>
      </c>
      <c r="Z30" s="513" t="str">
        <f>IF(IGRF!C27="","",IGRF!C27)</f>
        <v/>
      </c>
      <c r="AA30" s="310" t="str">
        <f>IF(Score!T30="", "",Score!T30 )</f>
        <v/>
      </c>
      <c r="AB30" s="310"/>
      <c r="AC30" s="308" t="str">
        <f>IF(Score!U30="", "",Score!U30 )</f>
        <v/>
      </c>
      <c r="AD30" s="324"/>
      <c r="AE30" s="324"/>
      <c r="AF30" s="324"/>
      <c r="AG30" s="325"/>
      <c r="AH30" s="324"/>
      <c r="AI30" s="324"/>
      <c r="AJ30" s="324"/>
      <c r="AK30" s="325"/>
      <c r="AL30" s="324"/>
      <c r="AM30" s="324"/>
      <c r="AN30" s="324"/>
      <c r="AO30" s="325"/>
      <c r="AP30" s="324"/>
      <c r="AQ30" s="324"/>
      <c r="AR30" s="324"/>
      <c r="AS30" s="325"/>
      <c r="AT30" s="324"/>
      <c r="AU30" s="324"/>
      <c r="AV30" s="326"/>
      <c r="AW30" s="339" t="str">
        <f>IF(AA30="","",SUMIF(SK!R$3:R$78,ROW(),SK!T$3:T$78))</f>
        <v/>
      </c>
      <c r="AX30" s="17"/>
      <c r="AY30" s="772" t="str">
        <f>IF(IGRF!I27="","",IGRF!I27)</f>
        <v/>
      </c>
      <c r="AZ30" s="513" t="str">
        <f>IF(IGRF!J27="","",IGRF!J27)</f>
        <v/>
      </c>
    </row>
    <row r="31" spans="1:52" ht="31.9" customHeight="1" thickBot="1" x14ac:dyDescent="0.25">
      <c r="A31" s="307" t="str">
        <f>IF(Score!A31="", "",Score!A31 )</f>
        <v/>
      </c>
      <c r="B31" s="311"/>
      <c r="C31" s="309" t="str">
        <f>IF(Score!B31="", "",Score!B31 )</f>
        <v/>
      </c>
      <c r="D31" s="324"/>
      <c r="E31" s="324"/>
      <c r="F31" s="324"/>
      <c r="G31" s="327"/>
      <c r="H31" s="324"/>
      <c r="I31" s="324"/>
      <c r="J31" s="324"/>
      <c r="K31" s="327"/>
      <c r="L31" s="324"/>
      <c r="M31" s="324"/>
      <c r="N31" s="324"/>
      <c r="O31" s="327"/>
      <c r="P31" s="324"/>
      <c r="Q31" s="324"/>
      <c r="R31" s="324"/>
      <c r="S31" s="327"/>
      <c r="T31" s="324"/>
      <c r="U31" s="324"/>
      <c r="V31" s="326"/>
      <c r="W31" s="339" t="str">
        <f>IF(A31="","",SUMIF(SK!B$3:B$78,ROW(),SK!D$3:D$78))</f>
        <v/>
      </c>
      <c r="X31" s="17"/>
      <c r="Z31" s="17"/>
      <c r="AA31" s="311" t="str">
        <f>IF(Score!T31="", "",Score!T31 )</f>
        <v/>
      </c>
      <c r="AB31" s="311"/>
      <c r="AC31" s="309" t="str">
        <f>IF(Score!U31="", "",Score!U31 )</f>
        <v/>
      </c>
      <c r="AD31" s="324"/>
      <c r="AE31" s="324"/>
      <c r="AF31" s="324"/>
      <c r="AG31" s="327"/>
      <c r="AH31" s="324"/>
      <c r="AI31" s="324"/>
      <c r="AJ31" s="324"/>
      <c r="AK31" s="327"/>
      <c r="AL31" s="324"/>
      <c r="AM31" s="324"/>
      <c r="AN31" s="324"/>
      <c r="AO31" s="327"/>
      <c r="AP31" s="324"/>
      <c r="AQ31" s="324"/>
      <c r="AR31" s="324"/>
      <c r="AS31" s="327"/>
      <c r="AT31" s="324"/>
      <c r="AU31" s="324"/>
      <c r="AV31" s="326"/>
      <c r="AW31" s="339" t="str">
        <f>IF(AA31="","",SUMIF(SK!R$3:R$78,ROW(),SK!T$3:T$78))</f>
        <v/>
      </c>
      <c r="AX31" s="17"/>
      <c r="AY31" s="551"/>
      <c r="AZ31" s="17"/>
    </row>
    <row r="32" spans="1:52" ht="31.9" customHeight="1" thickBot="1" x14ac:dyDescent="0.25">
      <c r="A32" s="306" t="str">
        <f>IF(Score!A32="", "",Score!A32 )</f>
        <v/>
      </c>
      <c r="B32" s="310"/>
      <c r="C32" s="308" t="str">
        <f>IF(Score!B32="", "",Score!B32 )</f>
        <v/>
      </c>
      <c r="D32" s="324"/>
      <c r="E32" s="324"/>
      <c r="F32" s="324"/>
      <c r="G32" s="325"/>
      <c r="H32" s="324"/>
      <c r="I32" s="324"/>
      <c r="J32" s="324"/>
      <c r="K32" s="325"/>
      <c r="L32" s="324"/>
      <c r="M32" s="324"/>
      <c r="N32" s="324"/>
      <c r="O32" s="325"/>
      <c r="P32" s="324"/>
      <c r="Q32" s="324"/>
      <c r="R32" s="324"/>
      <c r="S32" s="325"/>
      <c r="T32" s="324"/>
      <c r="U32" s="324"/>
      <c r="V32" s="326"/>
      <c r="W32" s="339" t="str">
        <f>IF(A32="","",SUMIF(SK!B$3:B$78,ROW(),SK!D$3:D$78))</f>
        <v/>
      </c>
      <c r="X32" s="17"/>
      <c r="Y32" s="772" t="str">
        <f>IF(IGRF!B28="","",IGRF!B28)</f>
        <v/>
      </c>
      <c r="Z32" s="513" t="str">
        <f>IF(IGRF!C28="","",IGRF!C28)</f>
        <v/>
      </c>
      <c r="AA32" s="310" t="str">
        <f>IF(Score!T32="", "",Score!T32 )</f>
        <v/>
      </c>
      <c r="AB32" s="310"/>
      <c r="AC32" s="308" t="str">
        <f>IF(Score!U32="", "",Score!U32 )</f>
        <v/>
      </c>
      <c r="AD32" s="324"/>
      <c r="AE32" s="324"/>
      <c r="AF32" s="324"/>
      <c r="AG32" s="325"/>
      <c r="AH32" s="324"/>
      <c r="AI32" s="324"/>
      <c r="AJ32" s="324"/>
      <c r="AK32" s="325"/>
      <c r="AL32" s="324"/>
      <c r="AM32" s="324"/>
      <c r="AN32" s="324"/>
      <c r="AO32" s="325"/>
      <c r="AP32" s="324"/>
      <c r="AQ32" s="324"/>
      <c r="AR32" s="324"/>
      <c r="AS32" s="325"/>
      <c r="AT32" s="324"/>
      <c r="AU32" s="324"/>
      <c r="AV32" s="326"/>
      <c r="AW32" s="339" t="str">
        <f>IF(AA32="","",SUMIF(SK!R$3:R$78,ROW(),SK!T$3:T$78))</f>
        <v/>
      </c>
      <c r="AX32" s="17"/>
      <c r="AY32" s="772" t="str">
        <f>IF(IGRF!I28="","",IGRF!I28)</f>
        <v/>
      </c>
      <c r="AZ32" s="513" t="str">
        <f>IF(IGRF!J28="","",IGRF!J28)</f>
        <v/>
      </c>
    </row>
    <row r="33" spans="1:52" ht="31.9" customHeight="1" thickBot="1" x14ac:dyDescent="0.25">
      <c r="A33" s="307" t="str">
        <f>IF(Score!A33="", "",Score!A33 )</f>
        <v/>
      </c>
      <c r="B33" s="311"/>
      <c r="C33" s="309" t="str">
        <f>IF(Score!B33="", "",Score!B33 )</f>
        <v/>
      </c>
      <c r="D33" s="324"/>
      <c r="E33" s="324"/>
      <c r="F33" s="324"/>
      <c r="G33" s="327"/>
      <c r="H33" s="324"/>
      <c r="I33" s="324"/>
      <c r="J33" s="324"/>
      <c r="K33" s="327"/>
      <c r="L33" s="324"/>
      <c r="M33" s="324"/>
      <c r="N33" s="324"/>
      <c r="O33" s="327"/>
      <c r="P33" s="324"/>
      <c r="Q33" s="324"/>
      <c r="R33" s="324"/>
      <c r="S33" s="327"/>
      <c r="T33" s="324"/>
      <c r="U33" s="324"/>
      <c r="V33" s="326"/>
      <c r="W33" s="339" t="str">
        <f>IF(A33="","",SUMIF(SK!B$3:B$78,ROW(),SK!D$3:D$78))</f>
        <v/>
      </c>
      <c r="X33" s="17"/>
      <c r="Z33" s="17"/>
      <c r="AA33" s="311" t="str">
        <f>IF(Score!T33="", "",Score!T33 )</f>
        <v/>
      </c>
      <c r="AB33" s="311"/>
      <c r="AC33" s="309" t="str">
        <f>IF(Score!U33="", "",Score!U33 )</f>
        <v/>
      </c>
      <c r="AD33" s="324"/>
      <c r="AE33" s="324"/>
      <c r="AF33" s="324"/>
      <c r="AG33" s="327"/>
      <c r="AH33" s="324"/>
      <c r="AI33" s="324"/>
      <c r="AJ33" s="324"/>
      <c r="AK33" s="327"/>
      <c r="AL33" s="324"/>
      <c r="AM33" s="324"/>
      <c r="AN33" s="324"/>
      <c r="AO33" s="327"/>
      <c r="AP33" s="324"/>
      <c r="AQ33" s="324"/>
      <c r="AR33" s="324"/>
      <c r="AS33" s="327"/>
      <c r="AT33" s="324"/>
      <c r="AU33" s="324"/>
      <c r="AV33" s="326"/>
      <c r="AW33" s="339" t="str">
        <f>IF(AA33="","",SUMIF(SK!R$3:R$78,ROW(),SK!T$3:T$78))</f>
        <v/>
      </c>
      <c r="AX33" s="17"/>
      <c r="AY33" s="551"/>
      <c r="AZ33" s="17"/>
    </row>
    <row r="34" spans="1:52" ht="31.9" customHeight="1" thickBot="1" x14ac:dyDescent="0.25">
      <c r="A34" s="306" t="str">
        <f>IF(Score!A34="", "",Score!A34 )</f>
        <v/>
      </c>
      <c r="B34" s="310"/>
      <c r="C34" s="308" t="str">
        <f>IF(Score!B34="", "",Score!B34 )</f>
        <v/>
      </c>
      <c r="D34" s="324"/>
      <c r="E34" s="324"/>
      <c r="F34" s="324"/>
      <c r="G34" s="325"/>
      <c r="H34" s="324"/>
      <c r="I34" s="324"/>
      <c r="J34" s="324"/>
      <c r="K34" s="325"/>
      <c r="L34" s="324"/>
      <c r="M34" s="324"/>
      <c r="N34" s="324"/>
      <c r="O34" s="325"/>
      <c r="P34" s="324"/>
      <c r="Q34" s="324"/>
      <c r="R34" s="324"/>
      <c r="S34" s="325"/>
      <c r="T34" s="324"/>
      <c r="U34" s="324"/>
      <c r="V34" s="326"/>
      <c r="W34" s="339" t="str">
        <f>IF(A34="","",SUMIF(SK!B$3:B$78,ROW(),SK!D$3:D$78))</f>
        <v/>
      </c>
      <c r="X34" s="17"/>
      <c r="Y34" s="772" t="str">
        <f>IF(IGRF!B29="","",IGRF!B29)</f>
        <v/>
      </c>
      <c r="Z34" s="513" t="str">
        <f>IF(IGRF!C29="","",IGRF!C29)</f>
        <v/>
      </c>
      <c r="AA34" s="310" t="str">
        <f>IF(Score!T34="", "",Score!T34 )</f>
        <v/>
      </c>
      <c r="AB34" s="310"/>
      <c r="AC34" s="308" t="str">
        <f>IF(Score!U34="", "",Score!U34 )</f>
        <v/>
      </c>
      <c r="AD34" s="324"/>
      <c r="AE34" s="324"/>
      <c r="AF34" s="324"/>
      <c r="AG34" s="325"/>
      <c r="AH34" s="324"/>
      <c r="AI34" s="324"/>
      <c r="AJ34" s="324"/>
      <c r="AK34" s="325"/>
      <c r="AL34" s="324"/>
      <c r="AM34" s="324"/>
      <c r="AN34" s="324"/>
      <c r="AO34" s="325"/>
      <c r="AP34" s="324"/>
      <c r="AQ34" s="324"/>
      <c r="AR34" s="324"/>
      <c r="AS34" s="325"/>
      <c r="AT34" s="324"/>
      <c r="AU34" s="324"/>
      <c r="AV34" s="326"/>
      <c r="AW34" s="339" t="str">
        <f>IF(AA34="","",SUMIF(SK!R$3:R$78,ROW(),SK!T$3:T$78))</f>
        <v/>
      </c>
      <c r="AX34" s="17"/>
      <c r="AY34" s="772" t="str">
        <f>IF(IGRF!I29="","",IGRF!I29)</f>
        <v/>
      </c>
      <c r="AZ34" s="513" t="str">
        <f>IF(IGRF!J29="","",IGRF!J29)</f>
        <v/>
      </c>
    </row>
    <row r="35" spans="1:52" ht="31.9" customHeight="1" thickBot="1" x14ac:dyDescent="0.25">
      <c r="A35" s="307" t="str">
        <f>IF(Score!A35="", "",Score!A35 )</f>
        <v/>
      </c>
      <c r="B35" s="311"/>
      <c r="C35" s="309" t="str">
        <f>IF(Score!B35="", "",Score!B35 )</f>
        <v/>
      </c>
      <c r="D35" s="324"/>
      <c r="E35" s="324"/>
      <c r="F35" s="324"/>
      <c r="G35" s="327"/>
      <c r="H35" s="324"/>
      <c r="I35" s="324"/>
      <c r="J35" s="324"/>
      <c r="K35" s="327"/>
      <c r="L35" s="324"/>
      <c r="M35" s="324"/>
      <c r="N35" s="324"/>
      <c r="O35" s="327"/>
      <c r="P35" s="324"/>
      <c r="Q35" s="324"/>
      <c r="R35" s="324"/>
      <c r="S35" s="327"/>
      <c r="T35" s="324"/>
      <c r="U35" s="324"/>
      <c r="V35" s="326"/>
      <c r="W35" s="339" t="str">
        <f>IF(A35="","",SUMIF(SK!B$3:B$78,ROW(),SK!D$3:D$78))</f>
        <v/>
      </c>
      <c r="X35" s="17"/>
      <c r="Y35" s="516"/>
      <c r="Z35" s="513"/>
      <c r="AA35" s="311" t="str">
        <f>IF(Score!T35="", "",Score!T35 )</f>
        <v/>
      </c>
      <c r="AB35" s="311"/>
      <c r="AC35" s="309" t="str">
        <f>IF(Score!U35="", "",Score!U35 )</f>
        <v/>
      </c>
      <c r="AD35" s="324"/>
      <c r="AE35" s="324"/>
      <c r="AF35" s="324"/>
      <c r="AG35" s="327"/>
      <c r="AH35" s="324"/>
      <c r="AI35" s="324"/>
      <c r="AJ35" s="324"/>
      <c r="AK35" s="327"/>
      <c r="AL35" s="324"/>
      <c r="AM35" s="324"/>
      <c r="AN35" s="324"/>
      <c r="AO35" s="327"/>
      <c r="AP35" s="324"/>
      <c r="AQ35" s="324"/>
      <c r="AR35" s="324"/>
      <c r="AS35" s="327"/>
      <c r="AT35" s="324"/>
      <c r="AU35" s="324"/>
      <c r="AV35" s="326"/>
      <c r="AW35" s="339" t="str">
        <f>IF(AA35="","",SUMIF(SK!R$3:R$78,ROW(),SK!T$3:T$78))</f>
        <v/>
      </c>
      <c r="AX35" s="17"/>
      <c r="AY35" s="516"/>
      <c r="AZ35" s="17"/>
    </row>
    <row r="36" spans="1:52" ht="31.9" customHeight="1" thickBot="1" x14ac:dyDescent="0.25">
      <c r="A36" s="306" t="str">
        <f>IF(Score!A36="", "",Score!A36 )</f>
        <v/>
      </c>
      <c r="B36" s="310"/>
      <c r="C36" s="308" t="str">
        <f>IF(Score!B36="", "",Score!B36 )</f>
        <v/>
      </c>
      <c r="D36" s="324"/>
      <c r="E36" s="324"/>
      <c r="F36" s="324"/>
      <c r="G36" s="325"/>
      <c r="H36" s="324"/>
      <c r="I36" s="324"/>
      <c r="J36" s="324"/>
      <c r="K36" s="325"/>
      <c r="L36" s="324"/>
      <c r="M36" s="324"/>
      <c r="N36" s="324"/>
      <c r="O36" s="325"/>
      <c r="P36" s="324"/>
      <c r="Q36" s="324"/>
      <c r="R36" s="324"/>
      <c r="S36" s="325"/>
      <c r="T36" s="324"/>
      <c r="U36" s="324"/>
      <c r="V36" s="326"/>
      <c r="W36" s="339" t="str">
        <f>IF(A36="","",SUMIF(SK!B$3:B$78,ROW(),SK!D$3:D$78))</f>
        <v/>
      </c>
      <c r="X36" s="17"/>
      <c r="Y36" s="772" t="str">
        <f>IF(IGRF!B30="","",IGRF!B30)</f>
        <v/>
      </c>
      <c r="Z36" s="513" t="str">
        <f>IF(IGRF!C30="","",IGRF!C30)</f>
        <v/>
      </c>
      <c r="AA36" s="310" t="str">
        <f>IF(Score!T36="", "",Score!T36 )</f>
        <v/>
      </c>
      <c r="AB36" s="310"/>
      <c r="AC36" s="308" t="str">
        <f>IF(Score!U36="", "",Score!U36 )</f>
        <v/>
      </c>
      <c r="AD36" s="324"/>
      <c r="AE36" s="324"/>
      <c r="AF36" s="324"/>
      <c r="AG36" s="325"/>
      <c r="AH36" s="324"/>
      <c r="AI36" s="324"/>
      <c r="AJ36" s="324"/>
      <c r="AK36" s="325"/>
      <c r="AL36" s="324"/>
      <c r="AM36" s="324"/>
      <c r="AN36" s="324"/>
      <c r="AO36" s="325"/>
      <c r="AP36" s="324"/>
      <c r="AQ36" s="324"/>
      <c r="AR36" s="324"/>
      <c r="AS36" s="325"/>
      <c r="AT36" s="324"/>
      <c r="AU36" s="324"/>
      <c r="AV36" s="326"/>
      <c r="AW36" s="339" t="str">
        <f>IF(AA36="","",SUMIF(SK!R$3:R$78,ROW(),SK!T$3:T$78))</f>
        <v/>
      </c>
      <c r="AX36" s="511"/>
      <c r="AY36" s="772" t="str">
        <f>IF(IGRF!I30="","",IGRF!I30)</f>
        <v/>
      </c>
      <c r="AZ36" s="513" t="str">
        <f>IF(IGRF!J30="","",IGRF!J30)</f>
        <v/>
      </c>
    </row>
    <row r="37" spans="1:52" ht="31.9" customHeight="1" thickBot="1" x14ac:dyDescent="0.25">
      <c r="A37" s="307" t="str">
        <f>IF(Score!A37="", "",Score!A37 )</f>
        <v/>
      </c>
      <c r="B37" s="311"/>
      <c r="C37" s="309" t="str">
        <f>IF(Score!B37="", "",Score!B37 )</f>
        <v/>
      </c>
      <c r="D37" s="324"/>
      <c r="E37" s="324"/>
      <c r="F37" s="324"/>
      <c r="G37" s="327"/>
      <c r="H37" s="324"/>
      <c r="I37" s="324"/>
      <c r="J37" s="324"/>
      <c r="K37" s="327"/>
      <c r="L37" s="324"/>
      <c r="M37" s="324"/>
      <c r="N37" s="324"/>
      <c r="O37" s="327"/>
      <c r="P37" s="324"/>
      <c r="Q37" s="324"/>
      <c r="R37" s="324"/>
      <c r="S37" s="327"/>
      <c r="T37" s="324"/>
      <c r="U37" s="324"/>
      <c r="V37" s="326"/>
      <c r="W37" s="339" t="str">
        <f>IF(A37="","",SUMIF(SK!B$3:B$78,ROW(),SK!D$3:D$78))</f>
        <v/>
      </c>
      <c r="X37" s="17"/>
      <c r="Y37" s="516"/>
      <c r="Z37" s="513"/>
      <c r="AA37" s="311" t="str">
        <f>IF(Score!T37="", "",Score!T37 )</f>
        <v/>
      </c>
      <c r="AB37" s="311"/>
      <c r="AC37" s="309" t="str">
        <f>IF(Score!U37="", "",Score!U37 )</f>
        <v/>
      </c>
      <c r="AD37" s="324"/>
      <c r="AE37" s="324"/>
      <c r="AF37" s="324"/>
      <c r="AG37" s="327"/>
      <c r="AH37" s="324"/>
      <c r="AI37" s="324"/>
      <c r="AJ37" s="324"/>
      <c r="AK37" s="327"/>
      <c r="AL37" s="324"/>
      <c r="AM37" s="324"/>
      <c r="AN37" s="324"/>
      <c r="AO37" s="327"/>
      <c r="AP37" s="324"/>
      <c r="AQ37" s="324"/>
      <c r="AR37" s="324"/>
      <c r="AS37" s="327"/>
      <c r="AT37" s="324"/>
      <c r="AU37" s="324"/>
      <c r="AV37" s="326"/>
      <c r="AW37" s="339" t="str">
        <f>IF(AA37="","",SUMIF(SK!R$3:R$78,ROW(),SK!T$3:T$78))</f>
        <v/>
      </c>
      <c r="AX37" s="510"/>
      <c r="AY37" s="516"/>
      <c r="AZ37" s="17"/>
    </row>
    <row r="38" spans="1:52" ht="31.9" customHeight="1" thickBot="1" x14ac:dyDescent="0.25">
      <c r="A38" s="306" t="str">
        <f>IF(Score!A38="", "",Score!A38 )</f>
        <v/>
      </c>
      <c r="B38" s="310"/>
      <c r="C38" s="308" t="str">
        <f>IF(Score!B38="", "",Score!B38 )</f>
        <v/>
      </c>
      <c r="D38" s="324"/>
      <c r="E38" s="324"/>
      <c r="F38" s="324"/>
      <c r="G38" s="325"/>
      <c r="H38" s="324"/>
      <c r="I38" s="324"/>
      <c r="J38" s="324"/>
      <c r="K38" s="325"/>
      <c r="L38" s="324"/>
      <c r="M38" s="324"/>
      <c r="N38" s="324"/>
      <c r="O38" s="325"/>
      <c r="P38" s="324"/>
      <c r="Q38" s="324"/>
      <c r="R38" s="324"/>
      <c r="S38" s="325"/>
      <c r="T38" s="324"/>
      <c r="U38" s="324"/>
      <c r="V38" s="326"/>
      <c r="W38" s="339" t="str">
        <f>IF(A38="","",SUMIF(SK!B$3:B$78,ROW(),SK!D$3:D$78))</f>
        <v/>
      </c>
      <c r="X38" s="17"/>
      <c r="Y38" s="772" t="str">
        <f>IF(IGRF!B31="","",IGRF!B31)</f>
        <v/>
      </c>
      <c r="Z38" s="513" t="str">
        <f>IF(IGRF!C31="","",IGRF!C31)</f>
        <v/>
      </c>
      <c r="AA38" s="310" t="str">
        <f>IF(Score!T38="", "",Score!T38 )</f>
        <v/>
      </c>
      <c r="AB38" s="310"/>
      <c r="AC38" s="308" t="str">
        <f>IF(Score!U38="", "",Score!U38 )</f>
        <v/>
      </c>
      <c r="AD38" s="324"/>
      <c r="AE38" s="324"/>
      <c r="AF38" s="324"/>
      <c r="AG38" s="325"/>
      <c r="AH38" s="324"/>
      <c r="AI38" s="324"/>
      <c r="AJ38" s="324"/>
      <c r="AK38" s="325"/>
      <c r="AL38" s="324"/>
      <c r="AM38" s="324"/>
      <c r="AN38" s="324"/>
      <c r="AO38" s="325"/>
      <c r="AP38" s="324"/>
      <c r="AQ38" s="324"/>
      <c r="AR38" s="324"/>
      <c r="AS38" s="325"/>
      <c r="AT38" s="324"/>
      <c r="AU38" s="324"/>
      <c r="AV38" s="326"/>
      <c r="AW38" s="339" t="str">
        <f>IF(AA38="","",SUMIF(SK!R$3:R$78,ROW(),SK!T$3:T$78))</f>
        <v/>
      </c>
      <c r="AX38" s="303"/>
      <c r="AY38" s="772" t="str">
        <f>IF(IGRF!I31="","",IGRF!I31)</f>
        <v/>
      </c>
      <c r="AZ38" s="513" t="str">
        <f>IF(IGRF!J31="","",IGRF!J31)</f>
        <v/>
      </c>
    </row>
    <row r="39" spans="1:52" ht="31.9" customHeight="1" thickBot="1" x14ac:dyDescent="0.25">
      <c r="A39" s="307" t="str">
        <f>IF(Score!A39="", "",Score!A39 )</f>
        <v/>
      </c>
      <c r="B39" s="311"/>
      <c r="C39" s="309" t="str">
        <f>IF(Score!B39="", "",Score!B39 )</f>
        <v/>
      </c>
      <c r="D39" s="324"/>
      <c r="E39" s="324"/>
      <c r="F39" s="324"/>
      <c r="G39" s="327"/>
      <c r="H39" s="324"/>
      <c r="I39" s="324"/>
      <c r="J39" s="324"/>
      <c r="K39" s="327"/>
      <c r="L39" s="324"/>
      <c r="M39" s="324"/>
      <c r="N39" s="324"/>
      <c r="O39" s="327"/>
      <c r="P39" s="324"/>
      <c r="Q39" s="324"/>
      <c r="R39" s="324"/>
      <c r="S39" s="327"/>
      <c r="T39" s="324"/>
      <c r="U39" s="324"/>
      <c r="V39" s="326"/>
      <c r="W39" s="339" t="str">
        <f>IF(A39="","",SUMIF(SK!B$3:B$78,ROW(),SK!D$3:D$78))</f>
        <v/>
      </c>
      <c r="X39" s="17"/>
      <c r="Y39" s="516"/>
      <c r="Z39" s="513"/>
      <c r="AA39" s="311" t="str">
        <f>IF(Score!T39="", "",Score!T39 )</f>
        <v/>
      </c>
      <c r="AB39" s="311"/>
      <c r="AC39" s="309" t="str">
        <f>IF(Score!U39="", "",Score!U39 )</f>
        <v/>
      </c>
      <c r="AD39" s="324"/>
      <c r="AE39" s="324"/>
      <c r="AF39" s="324"/>
      <c r="AG39" s="327"/>
      <c r="AH39" s="324"/>
      <c r="AI39" s="324"/>
      <c r="AJ39" s="324"/>
      <c r="AK39" s="327"/>
      <c r="AL39" s="324"/>
      <c r="AM39" s="324"/>
      <c r="AN39" s="324"/>
      <c r="AO39" s="327"/>
      <c r="AP39" s="324"/>
      <c r="AQ39" s="324"/>
      <c r="AR39" s="324"/>
      <c r="AS39" s="327"/>
      <c r="AT39" s="324"/>
      <c r="AU39" s="324"/>
      <c r="AV39" s="326"/>
      <c r="AW39" s="339" t="str">
        <f>IF(AA39="","",SUMIF(SK!R$3:R$78,ROW(),SK!T$3:T$78))</f>
        <v/>
      </c>
      <c r="AX39" s="303"/>
      <c r="AY39" s="516"/>
      <c r="AZ39" s="17"/>
    </row>
    <row r="40" spans="1:52" ht="31.9" customHeight="1" thickBot="1" x14ac:dyDescent="0.25">
      <c r="A40" s="306" t="str">
        <f>IF(Score!A40="", "",Score!A40 )</f>
        <v/>
      </c>
      <c r="B40" s="310"/>
      <c r="C40" s="308" t="str">
        <f>IF(Score!B40="", "",Score!B40 )</f>
        <v/>
      </c>
      <c r="D40" s="324"/>
      <c r="E40" s="324"/>
      <c r="F40" s="324"/>
      <c r="G40" s="325"/>
      <c r="H40" s="324"/>
      <c r="I40" s="324"/>
      <c r="J40" s="324"/>
      <c r="K40" s="325"/>
      <c r="L40" s="324"/>
      <c r="M40" s="324"/>
      <c r="N40" s="324"/>
      <c r="O40" s="325"/>
      <c r="P40" s="324"/>
      <c r="Q40" s="324"/>
      <c r="R40" s="324"/>
      <c r="S40" s="325"/>
      <c r="T40" s="324"/>
      <c r="U40" s="324"/>
      <c r="V40" s="326"/>
      <c r="W40" s="339" t="str">
        <f>IF(A40="","",SUMIF(SK!B$3:B$78,ROW(),SK!D$3:D$78))</f>
        <v/>
      </c>
      <c r="X40" s="17"/>
      <c r="Y40" s="772" t="str">
        <f>IF(IGRF!B32="","",IGRF!B32)</f>
        <v/>
      </c>
      <c r="Z40" s="513" t="str">
        <f>IF(IGRF!C32="","",IGRF!C32)</f>
        <v/>
      </c>
      <c r="AA40" s="310" t="str">
        <f>IF(Score!T40="", "",Score!T40 )</f>
        <v/>
      </c>
      <c r="AB40" s="310"/>
      <c r="AC40" s="308" t="str">
        <f>IF(Score!U40="", "",Score!U40 )</f>
        <v/>
      </c>
      <c r="AD40" s="324"/>
      <c r="AE40" s="324"/>
      <c r="AF40" s="324"/>
      <c r="AG40" s="325"/>
      <c r="AH40" s="324"/>
      <c r="AI40" s="324"/>
      <c r="AJ40" s="324"/>
      <c r="AK40" s="325"/>
      <c r="AL40" s="324"/>
      <c r="AM40" s="324"/>
      <c r="AN40" s="324"/>
      <c r="AO40" s="325"/>
      <c r="AP40" s="324"/>
      <c r="AQ40" s="324"/>
      <c r="AR40" s="324"/>
      <c r="AS40" s="325"/>
      <c r="AT40" s="324"/>
      <c r="AU40" s="324"/>
      <c r="AV40" s="326"/>
      <c r="AW40" s="339" t="str">
        <f>IF(AA40="","",SUMIF(SK!R$3:R$78,ROW(),SK!T$3:T$78))</f>
        <v/>
      </c>
      <c r="AX40" s="305"/>
      <c r="AY40" s="772" t="str">
        <f>IF(IGRF!I32="","",IGRF!I32)</f>
        <v/>
      </c>
      <c r="AZ40" s="513" t="str">
        <f>IF(IGRF!J32="","",IGRF!J32)</f>
        <v/>
      </c>
    </row>
    <row r="41" spans="1:52" ht="31.9" customHeight="1" thickBot="1" x14ac:dyDescent="0.25">
      <c r="A41" s="307" t="str">
        <f>IF(Score!A41="", "",Score!A41 )</f>
        <v/>
      </c>
      <c r="B41" s="311"/>
      <c r="C41" s="309" t="str">
        <f>IF(Score!B41="", "",Score!B41 )</f>
        <v/>
      </c>
      <c r="D41" s="324"/>
      <c r="E41" s="324"/>
      <c r="F41" s="324"/>
      <c r="G41" s="327"/>
      <c r="H41" s="324"/>
      <c r="I41" s="324"/>
      <c r="J41" s="324"/>
      <c r="K41" s="327"/>
      <c r="L41" s="324"/>
      <c r="M41" s="324"/>
      <c r="N41" s="324"/>
      <c r="O41" s="327"/>
      <c r="P41" s="324"/>
      <c r="Q41" s="324"/>
      <c r="R41" s="324"/>
      <c r="S41" s="327"/>
      <c r="T41" s="324"/>
      <c r="U41" s="324"/>
      <c r="V41" s="326"/>
      <c r="W41" s="339" t="str">
        <f>IF(A41="","",SUMIF(SK!B$3:B$78,ROW(),SK!D$3:D$78))</f>
        <v/>
      </c>
      <c r="X41" s="17"/>
      <c r="Y41" s="772" t="str">
        <f>IF(IGRF!B33="","",IGRF!B33)</f>
        <v/>
      </c>
      <c r="Z41" s="514" t="str">
        <f>IF(IGRF!C33="","",IGRF!C33)</f>
        <v/>
      </c>
      <c r="AA41" s="311" t="str">
        <f>IF(Score!T41="", "",Score!T41 )</f>
        <v/>
      </c>
      <c r="AB41" s="311"/>
      <c r="AC41" s="309" t="str">
        <f>IF(Score!U41="", "",Score!U41 )</f>
        <v/>
      </c>
      <c r="AD41" s="324"/>
      <c r="AE41" s="324"/>
      <c r="AF41" s="324"/>
      <c r="AG41" s="327"/>
      <c r="AH41" s="324"/>
      <c r="AI41" s="324"/>
      <c r="AJ41" s="324"/>
      <c r="AK41" s="327"/>
      <c r="AL41" s="324"/>
      <c r="AM41" s="324"/>
      <c r="AN41" s="324"/>
      <c r="AO41" s="327"/>
      <c r="AP41" s="324"/>
      <c r="AQ41" s="324"/>
      <c r="AR41" s="324"/>
      <c r="AS41" s="327"/>
      <c r="AT41" s="324"/>
      <c r="AU41" s="324"/>
      <c r="AV41" s="326"/>
      <c r="AW41" s="339" t="str">
        <f>IF(AA41="","",SUMIF(SK!R$3:R$78,ROW(),SK!T$3:T$78))</f>
        <v/>
      </c>
      <c r="AX41" s="304"/>
      <c r="AY41" s="772" t="str">
        <f>IF(IGRF!I33="","",IGRF!I33)</f>
        <v/>
      </c>
      <c r="AZ41" s="514" t="str">
        <f>IF(IGRF!J33="","",IGRF!J33)</f>
        <v/>
      </c>
    </row>
    <row r="42" spans="1:52" s="323" customFormat="1" ht="15" customHeight="1" x14ac:dyDescent="0.25">
      <c r="A42" s="1212" t="s">
        <v>521</v>
      </c>
      <c r="B42" s="1213"/>
      <c r="C42" s="1213"/>
      <c r="D42" s="1213"/>
      <c r="E42" s="1213"/>
      <c r="F42" s="1213"/>
      <c r="G42" s="1213"/>
      <c r="H42" s="1213"/>
      <c r="I42" s="1213"/>
      <c r="J42" s="1213"/>
      <c r="K42" s="1213"/>
      <c r="L42" s="1213"/>
      <c r="M42" s="1213"/>
      <c r="N42" s="1213"/>
      <c r="O42" s="1213"/>
      <c r="P42" s="1213"/>
      <c r="Q42" s="1213"/>
      <c r="R42" s="1213"/>
      <c r="S42" s="1213"/>
      <c r="T42" s="1213"/>
      <c r="U42" s="1213"/>
      <c r="V42" s="1213"/>
      <c r="W42" s="1213"/>
      <c r="X42" s="1213"/>
      <c r="Y42" s="1213"/>
      <c r="Z42" s="1213"/>
      <c r="AA42" s="1212" t="s">
        <v>521</v>
      </c>
      <c r="AB42" s="1213"/>
      <c r="AC42" s="1213"/>
      <c r="AD42" s="1213"/>
      <c r="AE42" s="1213"/>
      <c r="AF42" s="1213"/>
      <c r="AG42" s="1213"/>
      <c r="AH42" s="1213"/>
      <c r="AI42" s="1213"/>
      <c r="AJ42" s="1213"/>
      <c r="AK42" s="1213"/>
      <c r="AL42" s="1213"/>
      <c r="AM42" s="1213"/>
      <c r="AN42" s="1213"/>
      <c r="AO42" s="1213"/>
      <c r="AP42" s="1213"/>
      <c r="AQ42" s="1213"/>
      <c r="AR42" s="1213"/>
      <c r="AS42" s="1213"/>
      <c r="AT42" s="1213"/>
      <c r="AU42" s="1213"/>
      <c r="AV42" s="1213"/>
      <c r="AW42" s="1213"/>
      <c r="AX42" s="1213"/>
      <c r="AY42" s="1213"/>
      <c r="AZ42" s="1213"/>
    </row>
    <row r="43" spans="1:52" s="298" customFormat="1" ht="28.9" customHeight="1" x14ac:dyDescent="0.35">
      <c r="A43" s="1210" t="str">
        <f>A1</f>
        <v>Home Team</v>
      </c>
      <c r="B43" s="1210"/>
      <c r="C43" s="1210"/>
      <c r="D43" s="1210"/>
      <c r="E43" s="1210"/>
      <c r="F43" s="1210"/>
      <c r="G43" s="1210"/>
      <c r="H43" s="1216" t="str">
        <f>H1</f>
        <v/>
      </c>
      <c r="I43" s="1216"/>
      <c r="J43" s="1216"/>
      <c r="K43" s="1216"/>
      <c r="L43" s="1217" t="str">
        <f>L1</f>
        <v/>
      </c>
      <c r="M43" s="1217"/>
      <c r="N43" s="1217"/>
      <c r="O43" s="1217"/>
      <c r="P43" s="1208"/>
      <c r="Q43" s="1208"/>
      <c r="R43" s="1208"/>
      <c r="S43" s="1208"/>
      <c r="T43" s="1208"/>
      <c r="U43" s="1208"/>
      <c r="V43" s="1208"/>
      <c r="W43" s="1208"/>
      <c r="X43" s="1208"/>
      <c r="Y43" s="1208"/>
      <c r="Z43" s="602">
        <v>2</v>
      </c>
      <c r="AA43" s="1210" t="str">
        <f>AA1</f>
        <v>Away Team</v>
      </c>
      <c r="AB43" s="1210"/>
      <c r="AC43" s="1210"/>
      <c r="AD43" s="1210"/>
      <c r="AE43" s="1210"/>
      <c r="AF43" s="1210"/>
      <c r="AG43" s="1210"/>
      <c r="AH43" s="1216" t="str">
        <f>AH1</f>
        <v/>
      </c>
      <c r="AI43" s="1216"/>
      <c r="AJ43" s="1216"/>
      <c r="AK43" s="1216"/>
      <c r="AL43" s="1217" t="str">
        <f>AL1</f>
        <v/>
      </c>
      <c r="AM43" s="1217"/>
      <c r="AN43" s="1217"/>
      <c r="AO43" s="1217"/>
      <c r="AP43" s="1208"/>
      <c r="AQ43" s="1208"/>
      <c r="AR43" s="1208"/>
      <c r="AS43" s="1208"/>
      <c r="AT43" s="1208"/>
      <c r="AU43" s="1208"/>
      <c r="AV43" s="1208"/>
      <c r="AW43" s="1208"/>
      <c r="AX43" s="1208"/>
      <c r="AY43" s="1208"/>
      <c r="AZ43" s="602">
        <v>2</v>
      </c>
    </row>
    <row r="44" spans="1:52" s="298" customFormat="1" ht="15" customHeight="1" thickBot="1" x14ac:dyDescent="0.25">
      <c r="A44" s="1211"/>
      <c r="B44" s="1211"/>
      <c r="C44" s="1211"/>
      <c r="D44" s="1211"/>
      <c r="E44" s="1211"/>
      <c r="F44" s="1211"/>
      <c r="G44" s="1211"/>
      <c r="H44" s="1218" t="s">
        <v>187</v>
      </c>
      <c r="I44" s="1218"/>
      <c r="J44" s="1218"/>
      <c r="K44" s="1218"/>
      <c r="L44" s="1219" t="s">
        <v>190</v>
      </c>
      <c r="M44" s="1219"/>
      <c r="N44" s="1219"/>
      <c r="O44" s="1219"/>
      <c r="P44" s="1209" t="s">
        <v>182</v>
      </c>
      <c r="Q44" s="1209"/>
      <c r="R44" s="1209"/>
      <c r="S44" s="1209"/>
      <c r="T44" s="1209"/>
      <c r="U44" s="1209"/>
      <c r="V44" s="1209"/>
      <c r="W44" s="1209"/>
      <c r="X44" s="1209"/>
      <c r="Y44" s="1209"/>
      <c r="Z44" s="603" t="str">
        <f>Z2</f>
        <v/>
      </c>
      <c r="AA44" s="1211"/>
      <c r="AB44" s="1211"/>
      <c r="AC44" s="1211"/>
      <c r="AD44" s="1211"/>
      <c r="AE44" s="1211"/>
      <c r="AF44" s="1211"/>
      <c r="AG44" s="1211"/>
      <c r="AH44" s="1218" t="s">
        <v>187</v>
      </c>
      <c r="AI44" s="1218"/>
      <c r="AJ44" s="1218"/>
      <c r="AK44" s="1218"/>
      <c r="AL44" s="1219" t="s">
        <v>190</v>
      </c>
      <c r="AM44" s="1219"/>
      <c r="AN44" s="1219"/>
      <c r="AO44" s="1219"/>
      <c r="AP44" s="1209" t="s">
        <v>182</v>
      </c>
      <c r="AQ44" s="1209"/>
      <c r="AR44" s="1209"/>
      <c r="AS44" s="1209"/>
      <c r="AT44" s="1209"/>
      <c r="AU44" s="1209"/>
      <c r="AV44" s="1209"/>
      <c r="AW44" s="1209"/>
      <c r="AX44" s="1209"/>
      <c r="AY44" s="1209"/>
      <c r="AZ44" s="603" t="str">
        <f>AZ2</f>
        <v/>
      </c>
    </row>
    <row r="45" spans="1:52" ht="13.5" customHeight="1" thickBot="1" x14ac:dyDescent="0.25">
      <c r="A45" s="300" t="s">
        <v>265</v>
      </c>
      <c r="B45" s="301" t="s">
        <v>188</v>
      </c>
      <c r="C45" s="302" t="s">
        <v>106</v>
      </c>
      <c r="D45" s="1204" t="s">
        <v>266</v>
      </c>
      <c r="E45" s="1204"/>
      <c r="F45" s="1204"/>
      <c r="G45" s="302" t="s">
        <v>104</v>
      </c>
      <c r="H45" s="1204" t="s">
        <v>266</v>
      </c>
      <c r="I45" s="1204"/>
      <c r="J45" s="1204"/>
      <c r="K45" s="302" t="s">
        <v>105</v>
      </c>
      <c r="L45" s="1204" t="s">
        <v>266</v>
      </c>
      <c r="M45" s="1204"/>
      <c r="N45" s="1204"/>
      <c r="O45" s="302" t="s">
        <v>105</v>
      </c>
      <c r="P45" s="1204" t="s">
        <v>266</v>
      </c>
      <c r="Q45" s="1204"/>
      <c r="R45" s="1204"/>
      <c r="S45" s="302" t="s">
        <v>105</v>
      </c>
      <c r="T45" s="1204" t="s">
        <v>266</v>
      </c>
      <c r="U45" s="1204"/>
      <c r="V45" s="1204"/>
      <c r="W45" s="340"/>
      <c r="X45" s="1205" t="s">
        <v>183</v>
      </c>
      <c r="Y45" s="1214"/>
      <c r="Z45" s="1215"/>
      <c r="AA45" s="300" t="s">
        <v>265</v>
      </c>
      <c r="AB45" s="301" t="s">
        <v>188</v>
      </c>
      <c r="AC45" s="302" t="s">
        <v>106</v>
      </c>
      <c r="AD45" s="1204" t="s">
        <v>266</v>
      </c>
      <c r="AE45" s="1204"/>
      <c r="AF45" s="1204"/>
      <c r="AG45" s="302" t="s">
        <v>104</v>
      </c>
      <c r="AH45" s="1204" t="s">
        <v>266</v>
      </c>
      <c r="AI45" s="1204"/>
      <c r="AJ45" s="1204"/>
      <c r="AK45" s="302" t="s">
        <v>105</v>
      </c>
      <c r="AL45" s="1204" t="s">
        <v>266</v>
      </c>
      <c r="AM45" s="1204"/>
      <c r="AN45" s="1204"/>
      <c r="AO45" s="302" t="s">
        <v>105</v>
      </c>
      <c r="AP45" s="1204" t="s">
        <v>266</v>
      </c>
      <c r="AQ45" s="1204"/>
      <c r="AR45" s="1204"/>
      <c r="AS45" s="302" t="s">
        <v>105</v>
      </c>
      <c r="AT45" s="1204" t="s">
        <v>266</v>
      </c>
      <c r="AU45" s="1204"/>
      <c r="AV45" s="1204"/>
      <c r="AW45" s="340"/>
      <c r="AX45" s="1205" t="s">
        <v>183</v>
      </c>
      <c r="AY45" s="1206"/>
      <c r="AZ45" s="1207"/>
    </row>
    <row r="46" spans="1:52" ht="31.9" customHeight="1" thickBot="1" x14ac:dyDescent="0.25">
      <c r="A46" s="306" t="str">
        <f>IF(Score!A46="", "",Score!A46 )</f>
        <v/>
      </c>
      <c r="B46" s="310" t="s">
        <v>116</v>
      </c>
      <c r="C46" s="308" t="str">
        <f>IF(Score!B46="", "",Score!B46 )</f>
        <v/>
      </c>
      <c r="D46" s="324" t="s">
        <v>667</v>
      </c>
      <c r="E46" s="324"/>
      <c r="F46" s="324"/>
      <c r="G46" s="325" t="s">
        <v>651</v>
      </c>
      <c r="H46" s="324" t="s">
        <v>661</v>
      </c>
      <c r="I46" s="324"/>
      <c r="J46" s="324"/>
      <c r="K46" s="325" t="s">
        <v>643</v>
      </c>
      <c r="L46" s="324" t="s">
        <v>667</v>
      </c>
      <c r="M46" s="324"/>
      <c r="N46" s="324"/>
      <c r="O46" s="325" t="s">
        <v>639</v>
      </c>
      <c r="P46" s="324" t="s">
        <v>664</v>
      </c>
      <c r="Q46" s="324"/>
      <c r="R46" s="324"/>
      <c r="S46" s="325" t="s">
        <v>641</v>
      </c>
      <c r="T46" s="324" t="s">
        <v>664</v>
      </c>
      <c r="U46" s="324"/>
      <c r="V46" s="326"/>
      <c r="W46" s="339" t="str">
        <f>IF(A46="","",SUMIF(SK!B$88:B$163,ROW(),SK!D$88:D$163))</f>
        <v/>
      </c>
      <c r="X46" s="17"/>
      <c r="Y46" s="772" t="str">
        <f>Y4</f>
        <v/>
      </c>
      <c r="Z46" s="513" t="str">
        <f>Z4</f>
        <v/>
      </c>
      <c r="AA46" s="310" t="str">
        <f>IF(Score!T46="", "",Score!T46 )</f>
        <v/>
      </c>
      <c r="AB46" s="310"/>
      <c r="AC46" s="308" t="str">
        <f>IF(Score!U46="", "",Score!U46 )</f>
        <v/>
      </c>
      <c r="AD46" s="324" t="s">
        <v>667</v>
      </c>
      <c r="AE46" s="324"/>
      <c r="AF46" s="324"/>
      <c r="AG46" s="325" t="s">
        <v>627</v>
      </c>
      <c r="AH46" s="324"/>
      <c r="AI46" s="324"/>
      <c r="AJ46" s="324"/>
      <c r="AK46" s="325" t="s">
        <v>613</v>
      </c>
      <c r="AL46" s="324" t="s">
        <v>667</v>
      </c>
      <c r="AM46" s="324"/>
      <c r="AN46" s="324"/>
      <c r="AO46" s="325" t="s">
        <v>629</v>
      </c>
      <c r="AP46" s="324"/>
      <c r="AQ46" s="324"/>
      <c r="AR46" s="324"/>
      <c r="AS46" s="325" t="s">
        <v>617</v>
      </c>
      <c r="AT46" s="324"/>
      <c r="AU46" s="324"/>
      <c r="AV46" s="326"/>
      <c r="AW46" s="339" t="str">
        <f>IF(AA46="","",SUMIF(SK!R$88:R$163,ROW(),SK!T$88:T$163))</f>
        <v/>
      </c>
      <c r="AX46" s="17"/>
      <c r="AY46" s="772" t="str">
        <f>AY4</f>
        <v/>
      </c>
      <c r="AZ46" s="515" t="str">
        <f>AZ4</f>
        <v/>
      </c>
    </row>
    <row r="47" spans="1:52" ht="31.9" customHeight="1" thickBot="1" x14ac:dyDescent="0.25">
      <c r="A47" s="307" t="str">
        <f>IF(Score!A47="", "",Score!A47 )</f>
        <v/>
      </c>
      <c r="B47" s="311"/>
      <c r="C47" s="309" t="str">
        <f>IF(Score!B47="", "",Score!B47 )</f>
        <v/>
      </c>
      <c r="D47" s="324" t="s">
        <v>664</v>
      </c>
      <c r="E47" s="324"/>
      <c r="F47" s="324"/>
      <c r="G47" s="327" t="s">
        <v>643</v>
      </c>
      <c r="H47" s="324"/>
      <c r="I47" s="324"/>
      <c r="J47" s="324"/>
      <c r="K47" s="327" t="s">
        <v>645</v>
      </c>
      <c r="L47" s="324" t="s">
        <v>664</v>
      </c>
      <c r="M47" s="324"/>
      <c r="N47" s="324"/>
      <c r="O47" s="327" t="s">
        <v>639</v>
      </c>
      <c r="P47" s="324" t="s">
        <v>664</v>
      </c>
      <c r="Q47" s="324"/>
      <c r="R47" s="324"/>
      <c r="S47" s="327" t="s">
        <v>651</v>
      </c>
      <c r="T47" s="324" t="s">
        <v>664</v>
      </c>
      <c r="U47" s="324"/>
      <c r="V47" s="326"/>
      <c r="W47" s="339" t="str">
        <f>IF(A47="","",SUMIF(SK!B$88:B$163,ROW(),SK!D$88:D$163))</f>
        <v/>
      </c>
      <c r="X47" s="17"/>
      <c r="Y47" s="551"/>
      <c r="Z47" s="513"/>
      <c r="AA47" s="311" t="str">
        <f>IF(Score!T47="", "",Score!T47 )</f>
        <v/>
      </c>
      <c r="AB47" s="311"/>
      <c r="AC47" s="309" t="str">
        <f>IF(Score!U47="", "",Score!U47 )</f>
        <v/>
      </c>
      <c r="AD47" s="324" t="s">
        <v>664</v>
      </c>
      <c r="AE47" s="324"/>
      <c r="AF47" s="324"/>
      <c r="AG47" s="327" t="s">
        <v>615</v>
      </c>
      <c r="AH47" s="324"/>
      <c r="AI47" s="324"/>
      <c r="AJ47" s="324"/>
      <c r="AK47" s="327" t="s">
        <v>613</v>
      </c>
      <c r="AL47" s="324" t="s">
        <v>664</v>
      </c>
      <c r="AM47" s="324"/>
      <c r="AN47" s="324"/>
      <c r="AO47" s="327" t="s">
        <v>624</v>
      </c>
      <c r="AP47" s="324"/>
      <c r="AQ47" s="324"/>
      <c r="AR47" s="324"/>
      <c r="AS47" s="327" t="s">
        <v>629</v>
      </c>
      <c r="AT47" s="324"/>
      <c r="AU47" s="324"/>
      <c r="AV47" s="326"/>
      <c r="AW47" s="339" t="str">
        <f>IF(AA47="","",SUMIF(SK!R$88:R$163,ROW(),SK!T$88:T$163))</f>
        <v/>
      </c>
      <c r="AX47" s="17"/>
      <c r="AY47" s="551"/>
      <c r="AZ47" s="513"/>
    </row>
    <row r="48" spans="1:52" ht="31.9" customHeight="1" thickBot="1" x14ac:dyDescent="0.25">
      <c r="A48" s="306" t="str">
        <f>IF(Score!A48="", "",Score!A48 )</f>
        <v/>
      </c>
      <c r="B48" s="310"/>
      <c r="C48" s="308" t="str">
        <f>IF(Score!B48="", "",Score!B48 )</f>
        <v/>
      </c>
      <c r="D48" s="324"/>
      <c r="E48" s="324"/>
      <c r="F48" s="324"/>
      <c r="G48" s="325" t="s">
        <v>637</v>
      </c>
      <c r="H48" s="324"/>
      <c r="I48" s="324"/>
      <c r="J48" s="324"/>
      <c r="K48" s="325" t="s">
        <v>645</v>
      </c>
      <c r="L48" s="324"/>
      <c r="M48" s="324"/>
      <c r="N48" s="324"/>
      <c r="O48" s="325" t="s">
        <v>647</v>
      </c>
      <c r="P48" s="324"/>
      <c r="Q48" s="324"/>
      <c r="R48" s="324"/>
      <c r="S48" s="325" t="s">
        <v>639</v>
      </c>
      <c r="T48" s="324"/>
      <c r="U48" s="324"/>
      <c r="V48" s="326"/>
      <c r="W48" s="339" t="str">
        <f>IF(A48="","",SUMIF(SK!B$88:B$163,ROW(),SK!D$88:D$163))</f>
        <v/>
      </c>
      <c r="X48" s="17"/>
      <c r="Y48" s="772" t="str">
        <f>Y6</f>
        <v/>
      </c>
      <c r="Z48" s="513" t="str">
        <f>Z6</f>
        <v/>
      </c>
      <c r="AA48" s="310" t="str">
        <f>IF(Score!T48="", "",Score!T48 )</f>
        <v/>
      </c>
      <c r="AB48" s="310"/>
      <c r="AC48" s="308" t="str">
        <f>IF(Score!U48="", "",Score!U48 )</f>
        <v/>
      </c>
      <c r="AD48" s="324"/>
      <c r="AE48" s="324"/>
      <c r="AF48" s="324"/>
      <c r="AG48" s="325" t="s">
        <v>615</v>
      </c>
      <c r="AH48" s="324"/>
      <c r="AI48" s="324"/>
      <c r="AJ48" s="324"/>
      <c r="AK48" s="325" t="s">
        <v>617</v>
      </c>
      <c r="AL48" s="324"/>
      <c r="AM48" s="324"/>
      <c r="AN48" s="324"/>
      <c r="AO48" s="325" t="s">
        <v>624</v>
      </c>
      <c r="AP48" s="324"/>
      <c r="AQ48" s="324"/>
      <c r="AR48" s="324"/>
      <c r="AS48" s="325" t="s">
        <v>613</v>
      </c>
      <c r="AT48" s="324"/>
      <c r="AU48" s="324"/>
      <c r="AV48" s="326"/>
      <c r="AW48" s="339" t="str">
        <f>IF(AA48="","",SUMIF(SK!R$88:R$163,ROW(),SK!T$88:T$163))</f>
        <v/>
      </c>
      <c r="AX48" s="17"/>
      <c r="AY48" s="772" t="str">
        <f>AY6</f>
        <v/>
      </c>
      <c r="AZ48" s="513" t="str">
        <f>AZ6</f>
        <v/>
      </c>
    </row>
    <row r="49" spans="1:52" ht="31.9" customHeight="1" thickBot="1" x14ac:dyDescent="0.25">
      <c r="A49" s="307" t="str">
        <f>IF(Score!A49="", "",Score!A49 )</f>
        <v/>
      </c>
      <c r="B49" s="311"/>
      <c r="C49" s="309" t="str">
        <f>IF(Score!B49="", "",Score!B49 )</f>
        <v/>
      </c>
      <c r="D49" s="324" t="s">
        <v>667</v>
      </c>
      <c r="E49" s="324"/>
      <c r="F49" s="324"/>
      <c r="G49" s="327" t="s">
        <v>637</v>
      </c>
      <c r="H49" s="324"/>
      <c r="I49" s="324"/>
      <c r="J49" s="324"/>
      <c r="K49" s="327" t="s">
        <v>645</v>
      </c>
      <c r="L49" s="324" t="s">
        <v>664</v>
      </c>
      <c r="M49" s="324"/>
      <c r="N49" s="324"/>
      <c r="O49" s="327" t="s">
        <v>647</v>
      </c>
      <c r="P49" s="324" t="s">
        <v>664</v>
      </c>
      <c r="Q49" s="324"/>
      <c r="R49" s="324"/>
      <c r="S49" s="327" t="s">
        <v>639</v>
      </c>
      <c r="T49" s="324"/>
      <c r="U49" s="324"/>
      <c r="V49" s="326"/>
      <c r="W49" s="339" t="str">
        <f>IF(A49="","",SUMIF(SK!B$88:B$163,ROW(),SK!D$88:D$163))</f>
        <v/>
      </c>
      <c r="X49" s="17"/>
      <c r="Y49" s="551"/>
      <c r="Z49" s="513"/>
      <c r="AA49" s="311" t="str">
        <f>IF(Score!T49="", "",Score!T49 )</f>
        <v/>
      </c>
      <c r="AB49" s="311"/>
      <c r="AC49" s="309" t="str">
        <f>IF(Score!U49="", "",Score!U49 )</f>
        <v/>
      </c>
      <c r="AD49" s="324" t="s">
        <v>667</v>
      </c>
      <c r="AE49" s="324"/>
      <c r="AF49" s="324"/>
      <c r="AG49" s="327" t="s">
        <v>615</v>
      </c>
      <c r="AH49" s="324"/>
      <c r="AI49" s="324"/>
      <c r="AJ49" s="324"/>
      <c r="AK49" s="327" t="s">
        <v>617</v>
      </c>
      <c r="AL49" s="324"/>
      <c r="AM49" s="324"/>
      <c r="AN49" s="324"/>
      <c r="AO49" s="327" t="s">
        <v>624</v>
      </c>
      <c r="AP49" s="324" t="s">
        <v>667</v>
      </c>
      <c r="AQ49" s="324"/>
      <c r="AR49" s="324"/>
      <c r="AS49" s="327" t="s">
        <v>613</v>
      </c>
      <c r="AT49" s="324" t="s">
        <v>667</v>
      </c>
      <c r="AU49" s="324"/>
      <c r="AV49" s="326"/>
      <c r="AW49" s="339" t="str">
        <f>IF(AA49="","",SUMIF(SK!R$88:R$163,ROW(),SK!T$88:T$163))</f>
        <v/>
      </c>
      <c r="AX49" s="17"/>
      <c r="AY49" s="551"/>
      <c r="AZ49" s="513"/>
    </row>
    <row r="50" spans="1:52" ht="31.9" customHeight="1" thickBot="1" x14ac:dyDescent="0.25">
      <c r="A50" s="306" t="str">
        <f>IF(Score!A50="", "",Score!A50 )</f>
        <v/>
      </c>
      <c r="B50" s="310"/>
      <c r="C50" s="308" t="str">
        <f>IF(Score!B50="", "",Score!B50 )</f>
        <v/>
      </c>
      <c r="D50" s="324" t="s">
        <v>667</v>
      </c>
      <c r="E50" s="324"/>
      <c r="F50" s="324"/>
      <c r="G50" s="325" t="s">
        <v>637</v>
      </c>
      <c r="H50" s="324" t="s">
        <v>664</v>
      </c>
      <c r="I50" s="324"/>
      <c r="J50" s="324"/>
      <c r="K50" s="325" t="s">
        <v>645</v>
      </c>
      <c r="L50" s="324" t="s">
        <v>664</v>
      </c>
      <c r="M50" s="324"/>
      <c r="N50" s="324"/>
      <c r="O50" s="325" t="s">
        <v>651</v>
      </c>
      <c r="P50" s="324"/>
      <c r="Q50" s="324"/>
      <c r="R50" s="324"/>
      <c r="S50" s="325" t="s">
        <v>643</v>
      </c>
      <c r="T50" s="324" t="s">
        <v>667</v>
      </c>
      <c r="U50" s="324"/>
      <c r="V50" s="326"/>
      <c r="W50" s="339" t="str">
        <f>IF(A50="","",SUMIF(SK!B$88:B$163,ROW(),SK!D$88:D$163))</f>
        <v/>
      </c>
      <c r="X50" s="17"/>
      <c r="Y50" s="772" t="str">
        <f>Y8</f>
        <v/>
      </c>
      <c r="Z50" s="513" t="str">
        <f>Z8</f>
        <v/>
      </c>
      <c r="AA50" s="310" t="str">
        <f>IF(Score!T50="", "",Score!T50 )</f>
        <v/>
      </c>
      <c r="AB50" s="310"/>
      <c r="AC50" s="308" t="str">
        <f>IF(Score!U50="", "",Score!U50 )</f>
        <v/>
      </c>
      <c r="AD50" s="324" t="s">
        <v>667</v>
      </c>
      <c r="AE50" s="324"/>
      <c r="AF50" s="324"/>
      <c r="AG50" s="325" t="s">
        <v>627</v>
      </c>
      <c r="AH50" s="324"/>
      <c r="AI50" s="324"/>
      <c r="AJ50" s="324"/>
      <c r="AK50" s="325" t="s">
        <v>629</v>
      </c>
      <c r="AL50" s="324" t="s">
        <v>667</v>
      </c>
      <c r="AM50" s="324"/>
      <c r="AN50" s="324"/>
      <c r="AO50" s="325" t="s">
        <v>624</v>
      </c>
      <c r="AP50" s="324"/>
      <c r="AQ50" s="324"/>
      <c r="AR50" s="324"/>
      <c r="AS50" s="325" t="s">
        <v>633</v>
      </c>
      <c r="AT50" s="324"/>
      <c r="AU50" s="324"/>
      <c r="AV50" s="326"/>
      <c r="AW50" s="339" t="str">
        <f>IF(AA50="","",SUMIF(SK!R$88:R$163,ROW(),SK!T$88:T$163))</f>
        <v/>
      </c>
      <c r="AX50" s="17"/>
      <c r="AY50" s="772" t="str">
        <f>AY8</f>
        <v/>
      </c>
      <c r="AZ50" s="513" t="str">
        <f>AZ8</f>
        <v/>
      </c>
    </row>
    <row r="51" spans="1:52" ht="31.9" customHeight="1" thickBot="1" x14ac:dyDescent="0.25">
      <c r="A51" s="307" t="str">
        <f>IF(Score!A51="", "",Score!A51 )</f>
        <v/>
      </c>
      <c r="B51" s="311"/>
      <c r="C51" s="309" t="str">
        <f>IF(Score!B51="", "",Score!B51 )</f>
        <v/>
      </c>
      <c r="D51" s="324"/>
      <c r="E51" s="324"/>
      <c r="F51" s="324"/>
      <c r="G51" s="327" t="s">
        <v>637</v>
      </c>
      <c r="H51" s="324" t="s">
        <v>661</v>
      </c>
      <c r="I51" s="324"/>
      <c r="J51" s="324"/>
      <c r="K51" s="327" t="s">
        <v>645</v>
      </c>
      <c r="L51" s="324"/>
      <c r="M51" s="324"/>
      <c r="N51" s="324"/>
      <c r="O51" s="327" t="s">
        <v>651</v>
      </c>
      <c r="P51" s="324"/>
      <c r="Q51" s="324"/>
      <c r="R51" s="324"/>
      <c r="S51" s="327" t="s">
        <v>643</v>
      </c>
      <c r="T51" s="324" t="s">
        <v>661</v>
      </c>
      <c r="U51" s="324"/>
      <c r="V51" s="326"/>
      <c r="W51" s="339" t="str">
        <f>IF(A51="","",SUMIF(SK!B$88:B$163,ROW(),SK!D$88:D$163))</f>
        <v/>
      </c>
      <c r="X51" s="17"/>
      <c r="Y51" s="551"/>
      <c r="Z51" s="513"/>
      <c r="AA51" s="311" t="str">
        <f>IF(Score!T51="", "",Score!T51 )</f>
        <v/>
      </c>
      <c r="AB51" s="311"/>
      <c r="AC51" s="309" t="str">
        <f>IF(Score!U51="", "",Score!U51 )</f>
        <v/>
      </c>
      <c r="AD51" s="324"/>
      <c r="AE51" s="324"/>
      <c r="AF51" s="324"/>
      <c r="AG51" s="327" t="s">
        <v>615</v>
      </c>
      <c r="AH51" s="324" t="s">
        <v>661</v>
      </c>
      <c r="AI51" s="324"/>
      <c r="AJ51" s="324"/>
      <c r="AK51" s="327" t="s">
        <v>629</v>
      </c>
      <c r="AL51" s="324"/>
      <c r="AM51" s="324"/>
      <c r="AN51" s="324"/>
      <c r="AO51" s="327" t="s">
        <v>585</v>
      </c>
      <c r="AP51" s="324"/>
      <c r="AQ51" s="324"/>
      <c r="AR51" s="324"/>
      <c r="AS51" s="327" t="s">
        <v>624</v>
      </c>
      <c r="AT51" s="324" t="s">
        <v>661</v>
      </c>
      <c r="AU51" s="324"/>
      <c r="AV51" s="326"/>
      <c r="AW51" s="339" t="str">
        <f>IF(AA51="","",SUMIF(SK!R$88:R$163,ROW(),SK!T$88:T$163))</f>
        <v/>
      </c>
      <c r="AX51" s="17"/>
      <c r="AY51" s="551"/>
      <c r="AZ51" s="513"/>
    </row>
    <row r="52" spans="1:52" ht="31.9" customHeight="1" thickBot="1" x14ac:dyDescent="0.25">
      <c r="A52" s="306" t="str">
        <f>IF(Score!A52="", "",Score!A52 )</f>
        <v/>
      </c>
      <c r="B52" s="310"/>
      <c r="C52" s="308" t="str">
        <f>IF(Score!B52="", "",Score!B52 )</f>
        <v/>
      </c>
      <c r="D52" s="324"/>
      <c r="E52" s="324"/>
      <c r="F52" s="324"/>
      <c r="G52" s="325" t="s">
        <v>637</v>
      </c>
      <c r="H52" s="324" t="s">
        <v>664</v>
      </c>
      <c r="I52" s="324"/>
      <c r="J52" s="324"/>
      <c r="K52" s="325" t="s">
        <v>639</v>
      </c>
      <c r="L52" s="324" t="s">
        <v>661</v>
      </c>
      <c r="M52" s="324"/>
      <c r="N52" s="324"/>
      <c r="O52" s="325" t="s">
        <v>647</v>
      </c>
      <c r="P52" s="324" t="s">
        <v>661</v>
      </c>
      <c r="Q52" s="324"/>
      <c r="R52" s="324"/>
      <c r="S52" s="325" t="s">
        <v>643</v>
      </c>
      <c r="T52" s="324" t="s">
        <v>664</v>
      </c>
      <c r="U52" s="324"/>
      <c r="V52" s="326"/>
      <c r="W52" s="339" t="str">
        <f>IF(A52="","",SUMIF(SK!B$88:B$163,ROW(),SK!D$88:D$163))</f>
        <v/>
      </c>
      <c r="X52" s="17"/>
      <c r="Y52" s="772" t="str">
        <f>Y10</f>
        <v/>
      </c>
      <c r="Z52" s="513" t="str">
        <f>Z10</f>
        <v/>
      </c>
      <c r="AA52" s="310" t="str">
        <f>IF(Score!T52="", "",Score!T52 )</f>
        <v/>
      </c>
      <c r="AB52" s="310"/>
      <c r="AC52" s="308" t="str">
        <f>IF(Score!U52="", "",Score!U52 )</f>
        <v/>
      </c>
      <c r="AD52" s="324"/>
      <c r="AE52" s="324"/>
      <c r="AF52" s="324"/>
      <c r="AG52" s="325" t="s">
        <v>615</v>
      </c>
      <c r="AH52" s="324" t="s">
        <v>664</v>
      </c>
      <c r="AI52" s="324"/>
      <c r="AJ52" s="324"/>
      <c r="AK52" s="325" t="s">
        <v>629</v>
      </c>
      <c r="AL52" s="324"/>
      <c r="AM52" s="324"/>
      <c r="AN52" s="324"/>
      <c r="AO52" s="325" t="s">
        <v>585</v>
      </c>
      <c r="AP52" s="324"/>
      <c r="AQ52" s="324"/>
      <c r="AR52" s="324"/>
      <c r="AS52" s="325" t="s">
        <v>624</v>
      </c>
      <c r="AT52" s="324" t="s">
        <v>664</v>
      </c>
      <c r="AU52" s="324"/>
      <c r="AV52" s="326"/>
      <c r="AW52" s="339" t="str">
        <f>IF(AA52="","",SUMIF(SK!R$88:R$163,ROW(),SK!T$88:T$163))</f>
        <v/>
      </c>
      <c r="AX52" s="17"/>
      <c r="AY52" s="772" t="str">
        <f>AY10</f>
        <v/>
      </c>
      <c r="AZ52" s="513" t="str">
        <f>AZ10</f>
        <v/>
      </c>
    </row>
    <row r="53" spans="1:52" ht="31.9" customHeight="1" thickBot="1" x14ac:dyDescent="0.25">
      <c r="A53" s="307" t="str">
        <f>IF(Score!A53="", "",Score!A53 )</f>
        <v/>
      </c>
      <c r="B53" s="311"/>
      <c r="C53" s="309" t="str">
        <f>IF(Score!B53="", "",Score!B53 )</f>
        <v/>
      </c>
      <c r="D53" s="324"/>
      <c r="E53" s="324"/>
      <c r="F53" s="324"/>
      <c r="G53" s="327" t="s">
        <v>637</v>
      </c>
      <c r="H53" s="324"/>
      <c r="I53" s="324"/>
      <c r="J53" s="324"/>
      <c r="K53" s="327" t="s">
        <v>639</v>
      </c>
      <c r="L53" s="324" t="s">
        <v>664</v>
      </c>
      <c r="M53" s="324"/>
      <c r="N53" s="324"/>
      <c r="O53" s="327" t="s">
        <v>647</v>
      </c>
      <c r="P53" s="324" t="s">
        <v>671</v>
      </c>
      <c r="Q53" s="324"/>
      <c r="R53" s="324"/>
      <c r="S53" s="327" t="s">
        <v>651</v>
      </c>
      <c r="T53" s="324"/>
      <c r="U53" s="324"/>
      <c r="V53" s="326"/>
      <c r="W53" s="339" t="str">
        <f>IF(A53="","",SUMIF(SK!B$88:B$163,ROW(),SK!D$88:D$163))</f>
        <v/>
      </c>
      <c r="X53" s="17"/>
      <c r="Y53" s="551"/>
      <c r="Z53" s="513"/>
      <c r="AA53" s="311" t="str">
        <f>IF(Score!T53="", "",Score!T53 )</f>
        <v/>
      </c>
      <c r="AB53" s="311"/>
      <c r="AC53" s="309" t="str">
        <f>IF(Score!U53="", "",Score!U53 )</f>
        <v/>
      </c>
      <c r="AD53" s="324"/>
      <c r="AE53" s="324"/>
      <c r="AF53" s="324"/>
      <c r="AG53" s="327" t="s">
        <v>627</v>
      </c>
      <c r="AH53" s="324"/>
      <c r="AI53" s="324"/>
      <c r="AJ53" s="324"/>
      <c r="AK53" s="327" t="s">
        <v>617</v>
      </c>
      <c r="AL53" s="324"/>
      <c r="AM53" s="324"/>
      <c r="AN53" s="324"/>
      <c r="AO53" s="327" t="s">
        <v>613</v>
      </c>
      <c r="AP53" s="324"/>
      <c r="AQ53" s="324"/>
      <c r="AR53" s="324"/>
      <c r="AS53" s="327" t="s">
        <v>585</v>
      </c>
      <c r="AT53" s="324"/>
      <c r="AU53" s="324"/>
      <c r="AV53" s="326"/>
      <c r="AW53" s="339" t="str">
        <f>IF(AA53="","",SUMIF(SK!R$88:R$163,ROW(),SK!T$88:T$163))</f>
        <v/>
      </c>
      <c r="AX53" s="17"/>
      <c r="AY53" s="551"/>
      <c r="AZ53" s="513"/>
    </row>
    <row r="54" spans="1:52" ht="31.9" customHeight="1" thickBot="1" x14ac:dyDescent="0.25">
      <c r="A54" s="306" t="str">
        <f>IF(Score!A54="", "",Score!A54 )</f>
        <v/>
      </c>
      <c r="B54" s="310"/>
      <c r="C54" s="308" t="str">
        <f>IF(Score!B54="", "",Score!B54 )</f>
        <v/>
      </c>
      <c r="D54" s="324"/>
      <c r="E54" s="324"/>
      <c r="F54" s="324"/>
      <c r="G54" s="325" t="s">
        <v>637</v>
      </c>
      <c r="H54" s="324"/>
      <c r="I54" s="324"/>
      <c r="J54" s="324"/>
      <c r="K54" s="325" t="s">
        <v>639</v>
      </c>
      <c r="L54" s="324"/>
      <c r="M54" s="324"/>
      <c r="N54" s="324"/>
      <c r="O54" s="325" t="s">
        <v>647</v>
      </c>
      <c r="P54" s="324" t="s">
        <v>664</v>
      </c>
      <c r="Q54" s="324"/>
      <c r="R54" s="324"/>
      <c r="S54" s="325" t="s">
        <v>651</v>
      </c>
      <c r="T54" s="324"/>
      <c r="U54" s="324"/>
      <c r="V54" s="326"/>
      <c r="W54" s="339" t="str">
        <f>IF(A54="","",SUMIF(SK!B$88:B$163,ROW(),SK!D$88:D$163))</f>
        <v/>
      </c>
      <c r="X54" s="17"/>
      <c r="Y54" s="772" t="str">
        <f>Y12</f>
        <v/>
      </c>
      <c r="Z54" s="513" t="str">
        <f>Z12</f>
        <v/>
      </c>
      <c r="AA54" s="310" t="str">
        <f>IF(Score!T54="", "",Score!T54 )</f>
        <v/>
      </c>
      <c r="AB54" s="310"/>
      <c r="AC54" s="308" t="str">
        <f>IF(Score!U54="", "",Score!U54 )</f>
        <v/>
      </c>
      <c r="AD54" s="324"/>
      <c r="AE54" s="324"/>
      <c r="AF54" s="324"/>
      <c r="AG54" s="325" t="s">
        <v>627</v>
      </c>
      <c r="AH54" s="324" t="s">
        <v>661</v>
      </c>
      <c r="AI54" s="324"/>
      <c r="AJ54" s="324"/>
      <c r="AK54" s="325" t="s">
        <v>617</v>
      </c>
      <c r="AL54" s="324"/>
      <c r="AM54" s="324"/>
      <c r="AN54" s="324"/>
      <c r="AO54" s="325" t="s">
        <v>613</v>
      </c>
      <c r="AP54" s="324"/>
      <c r="AQ54" s="324"/>
      <c r="AR54" s="324"/>
      <c r="AS54" s="325" t="s">
        <v>585</v>
      </c>
      <c r="AT54" s="324"/>
      <c r="AU54" s="324"/>
      <c r="AV54" s="326"/>
      <c r="AW54" s="339" t="str">
        <f>IF(AA54="","",SUMIF(SK!R$88:R$163,ROW(),SK!T$88:T$163))</f>
        <v/>
      </c>
      <c r="AX54" s="17"/>
      <c r="AY54" s="772" t="str">
        <f>AY12</f>
        <v/>
      </c>
      <c r="AZ54" s="513" t="str">
        <f>AZ12</f>
        <v/>
      </c>
    </row>
    <row r="55" spans="1:52" ht="31.9" customHeight="1" thickBot="1" x14ac:dyDescent="0.25">
      <c r="A55" s="307" t="str">
        <f>IF(Score!A55="", "",Score!A55 )</f>
        <v/>
      </c>
      <c r="B55" s="311"/>
      <c r="C55" s="309" t="str">
        <f>IF(Score!B55="", "",Score!B55 )</f>
        <v/>
      </c>
      <c r="D55" s="324" t="s">
        <v>661</v>
      </c>
      <c r="E55" s="324"/>
      <c r="F55" s="324"/>
      <c r="G55" s="327" t="s">
        <v>637</v>
      </c>
      <c r="H55" s="324"/>
      <c r="I55" s="324"/>
      <c r="J55" s="324"/>
      <c r="K55" s="327" t="s">
        <v>639</v>
      </c>
      <c r="L55" s="324"/>
      <c r="M55" s="324"/>
      <c r="N55" s="324"/>
      <c r="O55" s="327" t="s">
        <v>647</v>
      </c>
      <c r="P55" s="324"/>
      <c r="Q55" s="324"/>
      <c r="R55" s="324"/>
      <c r="S55" s="327" t="s">
        <v>651</v>
      </c>
      <c r="T55" s="324"/>
      <c r="U55" s="324"/>
      <c r="V55" s="326"/>
      <c r="W55" s="339" t="str">
        <f>IF(A55="","",SUMIF(SK!B$88:B$163,ROW(),SK!D$88:D$163))</f>
        <v/>
      </c>
      <c r="X55" s="17"/>
      <c r="Y55" s="551"/>
      <c r="Z55" s="513"/>
      <c r="AA55" s="311" t="str">
        <f>IF(Score!T55="", "",Score!T55 )</f>
        <v/>
      </c>
      <c r="AB55" s="311"/>
      <c r="AC55" s="309" t="str">
        <f>IF(Score!U55="", "",Score!U55 )</f>
        <v/>
      </c>
      <c r="AD55" s="324"/>
      <c r="AE55" s="324"/>
      <c r="AF55" s="324"/>
      <c r="AG55" s="327" t="s">
        <v>627</v>
      </c>
      <c r="AH55" s="324" t="s">
        <v>664</v>
      </c>
      <c r="AI55" s="324"/>
      <c r="AJ55" s="324"/>
      <c r="AK55" s="327" t="s">
        <v>624</v>
      </c>
      <c r="AL55" s="324"/>
      <c r="AM55" s="324"/>
      <c r="AN55" s="324"/>
      <c r="AO55" s="327" t="s">
        <v>613</v>
      </c>
      <c r="AP55" s="324" t="s">
        <v>671</v>
      </c>
      <c r="AQ55" s="324"/>
      <c r="AR55" s="324"/>
      <c r="AS55" s="327" t="s">
        <v>629</v>
      </c>
      <c r="AT55" s="324"/>
      <c r="AU55" s="324"/>
      <c r="AV55" s="326"/>
      <c r="AW55" s="339" t="str">
        <f>IF(AA55="","",SUMIF(SK!R$88:R$163,ROW(),SK!T$88:T$163))</f>
        <v/>
      </c>
      <c r="AX55" s="17"/>
      <c r="AY55" s="551"/>
      <c r="AZ55" s="513"/>
    </row>
    <row r="56" spans="1:52" ht="31.9" customHeight="1" thickBot="1" x14ac:dyDescent="0.25">
      <c r="A56" s="306" t="str">
        <f>IF(Score!A56="", "",Score!A56 )</f>
        <v/>
      </c>
      <c r="B56" s="310"/>
      <c r="C56" s="308" t="str">
        <f>IF(Score!B56="", "",Score!B56 )</f>
        <v/>
      </c>
      <c r="D56" s="324" t="s">
        <v>664</v>
      </c>
      <c r="E56" s="324"/>
      <c r="F56" s="324"/>
      <c r="G56" s="325" t="s">
        <v>637</v>
      </c>
      <c r="H56" s="324" t="s">
        <v>661</v>
      </c>
      <c r="I56" s="324"/>
      <c r="J56" s="324"/>
      <c r="K56" s="325" t="s">
        <v>639</v>
      </c>
      <c r="L56" s="324"/>
      <c r="M56" s="324"/>
      <c r="N56" s="324"/>
      <c r="O56" s="325" t="s">
        <v>647</v>
      </c>
      <c r="P56" s="324"/>
      <c r="Q56" s="324"/>
      <c r="R56" s="324"/>
      <c r="S56" s="325" t="s">
        <v>651</v>
      </c>
      <c r="T56" s="324" t="s">
        <v>661</v>
      </c>
      <c r="U56" s="324"/>
      <c r="V56" s="326"/>
      <c r="W56" s="339" t="str">
        <f>IF(A56="","",SUMIF(SK!B$88:B$163,ROW(),SK!D$88:D$163))</f>
        <v/>
      </c>
      <c r="X56" s="17"/>
      <c r="Y56" s="772" t="str">
        <f>Y14</f>
        <v/>
      </c>
      <c r="Z56" s="513" t="str">
        <f>Z14</f>
        <v/>
      </c>
      <c r="AA56" s="310" t="str">
        <f>IF(Score!T56="", "",Score!T56 )</f>
        <v/>
      </c>
      <c r="AB56" s="310"/>
      <c r="AC56" s="308" t="str">
        <f>IF(Score!U56="", "",Score!U56 )</f>
        <v/>
      </c>
      <c r="AD56" s="324"/>
      <c r="AE56" s="324"/>
      <c r="AF56" s="324"/>
      <c r="AG56" s="325" t="s">
        <v>627</v>
      </c>
      <c r="AH56" s="324" t="s">
        <v>664</v>
      </c>
      <c r="AI56" s="324"/>
      <c r="AJ56" s="324"/>
      <c r="AK56" s="325"/>
      <c r="AL56" s="324"/>
      <c r="AM56" s="324"/>
      <c r="AN56" s="324"/>
      <c r="AO56" s="325" t="s">
        <v>613</v>
      </c>
      <c r="AP56" s="324" t="s">
        <v>664</v>
      </c>
      <c r="AQ56" s="324"/>
      <c r="AR56" s="324"/>
      <c r="AS56" s="325"/>
      <c r="AT56" s="324"/>
      <c r="AU56" s="324"/>
      <c r="AV56" s="326"/>
      <c r="AW56" s="339" t="str">
        <f>IF(AA56="","",SUMIF(SK!R$88:R$163,ROW(),SK!T$88:T$163))</f>
        <v/>
      </c>
      <c r="AX56" s="17"/>
      <c r="AY56" s="772" t="str">
        <f>AY14</f>
        <v/>
      </c>
      <c r="AZ56" s="513" t="str">
        <f>AZ14</f>
        <v/>
      </c>
    </row>
    <row r="57" spans="1:52" ht="31.9" customHeight="1" thickBot="1" x14ac:dyDescent="0.25">
      <c r="A57" s="307" t="str">
        <f>IF(Score!A57="", "",Score!A57 )</f>
        <v/>
      </c>
      <c r="B57" s="311"/>
      <c r="C57" s="309" t="str">
        <f>IF(Score!B57="", "",Score!B57 )</f>
        <v/>
      </c>
      <c r="D57" s="324"/>
      <c r="E57" s="324"/>
      <c r="F57" s="324"/>
      <c r="G57" s="327" t="s">
        <v>637</v>
      </c>
      <c r="H57" s="324" t="s">
        <v>671</v>
      </c>
      <c r="I57" s="324"/>
      <c r="J57" s="324"/>
      <c r="K57" s="327" t="s">
        <v>639</v>
      </c>
      <c r="L57" s="324"/>
      <c r="M57" s="324"/>
      <c r="N57" s="324"/>
      <c r="O57" s="327" t="s">
        <v>647</v>
      </c>
      <c r="P57" s="324"/>
      <c r="Q57" s="324"/>
      <c r="R57" s="324"/>
      <c r="S57" s="327" t="s">
        <v>651</v>
      </c>
      <c r="T57" s="324" t="s">
        <v>671</v>
      </c>
      <c r="U57" s="324"/>
      <c r="V57" s="326"/>
      <c r="W57" s="339" t="str">
        <f>IF(A57="","",SUMIF(SK!B$88:B$163,ROW(),SK!D$88:D$163))</f>
        <v/>
      </c>
      <c r="X57" s="17"/>
      <c r="Y57" s="551"/>
      <c r="Z57" s="513"/>
      <c r="AA57" s="311" t="str">
        <f>IF(Score!T57="", "",Score!T57 )</f>
        <v/>
      </c>
      <c r="AB57" s="311"/>
      <c r="AC57" s="309" t="str">
        <f>IF(Score!U57="", "",Score!U57 )</f>
        <v/>
      </c>
      <c r="AD57" s="324"/>
      <c r="AE57" s="324"/>
      <c r="AF57" s="324"/>
      <c r="AG57" s="327" t="s">
        <v>615</v>
      </c>
      <c r="AH57" s="324"/>
      <c r="AI57" s="324"/>
      <c r="AJ57" s="324"/>
      <c r="AK57" s="327"/>
      <c r="AL57" s="324"/>
      <c r="AM57" s="324"/>
      <c r="AN57" s="324"/>
      <c r="AO57" s="327"/>
      <c r="AP57" s="324"/>
      <c r="AQ57" s="324"/>
      <c r="AR57" s="324"/>
      <c r="AS57" s="327" t="s">
        <v>624</v>
      </c>
      <c r="AT57" s="324" t="s">
        <v>671</v>
      </c>
      <c r="AU57" s="324"/>
      <c r="AV57" s="326"/>
      <c r="AW57" s="339" t="str">
        <f>IF(AA57="","",SUMIF(SK!R$88:R$163,ROW(),SK!T$88:T$163))</f>
        <v/>
      </c>
      <c r="AX57" s="17"/>
      <c r="AY57" s="551"/>
      <c r="AZ57" s="513"/>
    </row>
    <row r="58" spans="1:52" ht="31.9" customHeight="1" thickBot="1" x14ac:dyDescent="0.25">
      <c r="A58" s="306" t="str">
        <f>IF(Score!A58="", "",Score!A58 )</f>
        <v/>
      </c>
      <c r="B58" s="310"/>
      <c r="C58" s="308" t="str">
        <f>IF(Score!B58="", "",Score!B58 )</f>
        <v/>
      </c>
      <c r="D58" s="324"/>
      <c r="E58" s="324"/>
      <c r="F58" s="324"/>
      <c r="G58" s="325" t="s">
        <v>637</v>
      </c>
      <c r="H58" s="324" t="s">
        <v>664</v>
      </c>
      <c r="I58" s="324"/>
      <c r="J58" s="324"/>
      <c r="K58" s="325" t="s">
        <v>639</v>
      </c>
      <c r="L58" s="324"/>
      <c r="M58" s="324"/>
      <c r="N58" s="324"/>
      <c r="O58" s="325" t="s">
        <v>647</v>
      </c>
      <c r="P58" s="324" t="s">
        <v>664</v>
      </c>
      <c r="Q58" s="324"/>
      <c r="R58" s="324"/>
      <c r="S58" s="325" t="s">
        <v>651</v>
      </c>
      <c r="T58" s="324" t="s">
        <v>664</v>
      </c>
      <c r="U58" s="324"/>
      <c r="V58" s="326"/>
      <c r="W58" s="339" t="str">
        <f>IF(A58="","",SUMIF(SK!B$88:B$163,ROW(),SK!D$88:D$163))</f>
        <v/>
      </c>
      <c r="X58" s="17"/>
      <c r="Y58" s="772" t="str">
        <f>Y16</f>
        <v/>
      </c>
      <c r="Z58" s="513" t="str">
        <f>Z16</f>
        <v/>
      </c>
      <c r="AA58" s="310" t="str">
        <f>IF(Score!T58="", "",Score!T58 )</f>
        <v/>
      </c>
      <c r="AB58" s="310"/>
      <c r="AC58" s="308" t="str">
        <f>IF(Score!U58="", "",Score!U58 )</f>
        <v/>
      </c>
      <c r="AD58" s="324"/>
      <c r="AE58" s="324"/>
      <c r="AF58" s="324"/>
      <c r="AG58" s="325" t="s">
        <v>615</v>
      </c>
      <c r="AH58" s="324"/>
      <c r="AI58" s="324"/>
      <c r="AJ58" s="324"/>
      <c r="AK58" s="325" t="s">
        <v>613</v>
      </c>
      <c r="AL58" s="324"/>
      <c r="AM58" s="324"/>
      <c r="AN58" s="324"/>
      <c r="AO58" s="325" t="s">
        <v>629</v>
      </c>
      <c r="AP58" s="324"/>
      <c r="AQ58" s="324"/>
      <c r="AR58" s="324"/>
      <c r="AS58" s="325" t="s">
        <v>624</v>
      </c>
      <c r="AT58" s="324" t="s">
        <v>664</v>
      </c>
      <c r="AU58" s="324"/>
      <c r="AV58" s="326"/>
      <c r="AW58" s="339" t="str">
        <f>IF(AA58="","",SUMIF(SK!R$88:R$163,ROW(),SK!T$88:T$163))</f>
        <v/>
      </c>
      <c r="AX58" s="17"/>
      <c r="AY58" s="772" t="str">
        <f>AY16</f>
        <v/>
      </c>
      <c r="AZ58" s="513" t="str">
        <f>AZ16</f>
        <v/>
      </c>
    </row>
    <row r="59" spans="1:52" ht="31.9" customHeight="1" thickBot="1" x14ac:dyDescent="0.25">
      <c r="A59" s="307" t="str">
        <f>IF(Score!A59="", "",Score!A59 )</f>
        <v/>
      </c>
      <c r="B59" s="311"/>
      <c r="C59" s="309" t="str">
        <f>IF(Score!B59="", "",Score!B59 )</f>
        <v/>
      </c>
      <c r="D59" s="324"/>
      <c r="E59" s="324"/>
      <c r="F59" s="324"/>
      <c r="G59" s="327" t="s">
        <v>637</v>
      </c>
      <c r="H59" s="324"/>
      <c r="I59" s="324"/>
      <c r="J59" s="324"/>
      <c r="K59" s="327" t="s">
        <v>643</v>
      </c>
      <c r="L59" s="324"/>
      <c r="M59" s="324"/>
      <c r="N59" s="324"/>
      <c r="O59" s="327" t="s">
        <v>645</v>
      </c>
      <c r="P59" s="324"/>
      <c r="Q59" s="324"/>
      <c r="R59" s="324"/>
      <c r="S59" s="327" t="s">
        <v>651</v>
      </c>
      <c r="T59" s="324"/>
      <c r="U59" s="324"/>
      <c r="V59" s="326"/>
      <c r="W59" s="339" t="str">
        <f>IF(A59="","",SUMIF(SK!B$88:B$163,ROW(),SK!D$88:D$163))</f>
        <v/>
      </c>
      <c r="X59" s="17"/>
      <c r="Y59" s="551"/>
      <c r="Z59" s="513"/>
      <c r="AA59" s="311" t="str">
        <f>IF(Score!T59="", "",Score!T59 )</f>
        <v/>
      </c>
      <c r="AB59" s="311"/>
      <c r="AC59" s="309" t="str">
        <f>IF(Score!U59="", "",Score!U59 )</f>
        <v/>
      </c>
      <c r="AD59" s="324"/>
      <c r="AE59" s="324"/>
      <c r="AF59" s="324"/>
      <c r="AG59" s="327" t="s">
        <v>615</v>
      </c>
      <c r="AH59" s="324"/>
      <c r="AI59" s="324"/>
      <c r="AJ59" s="324"/>
      <c r="AK59" s="327" t="s">
        <v>613</v>
      </c>
      <c r="AL59" s="324" t="s">
        <v>661</v>
      </c>
      <c r="AM59" s="324"/>
      <c r="AN59" s="324"/>
      <c r="AO59" s="327" t="s">
        <v>617</v>
      </c>
      <c r="AP59" s="324"/>
      <c r="AQ59" s="324"/>
      <c r="AR59" s="324"/>
      <c r="AS59" s="327" t="s">
        <v>624</v>
      </c>
      <c r="AT59" s="324" t="s">
        <v>661</v>
      </c>
      <c r="AU59" s="324"/>
      <c r="AV59" s="326"/>
      <c r="AW59" s="339" t="str">
        <f>IF(AA59="","",SUMIF(SK!R$88:R$163,ROW(),SK!T$88:T$163))</f>
        <v/>
      </c>
      <c r="AX59" s="17"/>
      <c r="AY59" s="551"/>
      <c r="AZ59" s="513"/>
    </row>
    <row r="60" spans="1:52" ht="31.9" customHeight="1" thickBot="1" x14ac:dyDescent="0.25">
      <c r="A60" s="306" t="str">
        <f>IF(Score!A60="", "",Score!A60 )</f>
        <v/>
      </c>
      <c r="B60" s="310"/>
      <c r="C60" s="308" t="str">
        <f>IF(Score!B60="", "",Score!B60 )</f>
        <v/>
      </c>
      <c r="D60" s="324"/>
      <c r="E60" s="324"/>
      <c r="F60" s="324"/>
      <c r="G60" s="325" t="s">
        <v>637</v>
      </c>
      <c r="H60" s="324"/>
      <c r="I60" s="324"/>
      <c r="J60" s="324"/>
      <c r="K60" s="325" t="s">
        <v>643</v>
      </c>
      <c r="L60" s="324"/>
      <c r="M60" s="324"/>
      <c r="N60" s="324"/>
      <c r="O60" s="325" t="s">
        <v>645</v>
      </c>
      <c r="P60" s="324" t="s">
        <v>661</v>
      </c>
      <c r="Q60" s="324"/>
      <c r="R60" s="324"/>
      <c r="S60" s="325" t="s">
        <v>651</v>
      </c>
      <c r="T60" s="324"/>
      <c r="U60" s="324"/>
      <c r="V60" s="326"/>
      <c r="W60" s="339" t="str">
        <f>IF(A60="","",SUMIF(SK!B$88:B$163,ROW(),SK!D$88:D$163))</f>
        <v/>
      </c>
      <c r="X60" s="17"/>
      <c r="Y60" s="772" t="str">
        <f>Y18</f>
        <v/>
      </c>
      <c r="Z60" s="513" t="str">
        <f>Z18</f>
        <v/>
      </c>
      <c r="AA60" s="310" t="str">
        <f>IF(Score!T60="", "",Score!T60 )</f>
        <v/>
      </c>
      <c r="AB60" s="310"/>
      <c r="AC60" s="308" t="str">
        <f>IF(Score!U60="", "",Score!U60 )</f>
        <v/>
      </c>
      <c r="AD60" s="324"/>
      <c r="AE60" s="324"/>
      <c r="AF60" s="324"/>
      <c r="AG60" s="325" t="s">
        <v>627</v>
      </c>
      <c r="AH60" s="324"/>
      <c r="AI60" s="324"/>
      <c r="AJ60" s="324"/>
      <c r="AK60" s="325" t="s">
        <v>613</v>
      </c>
      <c r="AL60" s="324" t="s">
        <v>664</v>
      </c>
      <c r="AM60" s="324"/>
      <c r="AN60" s="324"/>
      <c r="AO60" s="325" t="s">
        <v>617</v>
      </c>
      <c r="AP60" s="324" t="s">
        <v>661</v>
      </c>
      <c r="AQ60" s="324"/>
      <c r="AR60" s="324"/>
      <c r="AS60" s="325" t="s">
        <v>624</v>
      </c>
      <c r="AT60" s="324" t="s">
        <v>664</v>
      </c>
      <c r="AU60" s="324"/>
      <c r="AV60" s="326"/>
      <c r="AW60" s="339" t="str">
        <f>IF(AA60="","",SUMIF(SK!R$88:R$163,ROW(),SK!T$88:T$163))</f>
        <v/>
      </c>
      <c r="AX60" s="17"/>
      <c r="AY60" s="772" t="str">
        <f>AY18</f>
        <v/>
      </c>
      <c r="AZ60" s="513" t="str">
        <f>AZ18</f>
        <v/>
      </c>
    </row>
    <row r="61" spans="1:52" ht="31.9" customHeight="1" thickBot="1" x14ac:dyDescent="0.25">
      <c r="A61" s="307" t="str">
        <f>IF(Score!A61="", "",Score!A61 )</f>
        <v/>
      </c>
      <c r="B61" s="311"/>
      <c r="C61" s="309" t="str">
        <f>IF(Score!B61="", "",Score!B61 )</f>
        <v/>
      </c>
      <c r="D61" s="324"/>
      <c r="E61" s="324"/>
      <c r="F61" s="324"/>
      <c r="G61" s="327" t="s">
        <v>637</v>
      </c>
      <c r="H61" s="324"/>
      <c r="I61" s="324"/>
      <c r="J61" s="324"/>
      <c r="K61" s="327" t="s">
        <v>643</v>
      </c>
      <c r="L61" s="324"/>
      <c r="M61" s="324"/>
      <c r="N61" s="324"/>
      <c r="O61" s="327" t="s">
        <v>645</v>
      </c>
      <c r="P61" s="324" t="s">
        <v>664</v>
      </c>
      <c r="Q61" s="324"/>
      <c r="R61" s="324"/>
      <c r="S61" s="327" t="s">
        <v>651</v>
      </c>
      <c r="T61" s="324"/>
      <c r="U61" s="324"/>
      <c r="V61" s="326"/>
      <c r="W61" s="339" t="str">
        <f>IF(A61="","",SUMIF(SK!B$88:B$163,ROW(),SK!D$88:D$163))</f>
        <v/>
      </c>
      <c r="X61" s="17"/>
      <c r="Y61" s="551"/>
      <c r="Z61" s="513"/>
      <c r="AA61" s="311" t="str">
        <f>IF(Score!T61="", "",Score!T61 )</f>
        <v/>
      </c>
      <c r="AB61" s="311"/>
      <c r="AC61" s="309" t="str">
        <f>IF(Score!U61="", "",Score!U61 )</f>
        <v/>
      </c>
      <c r="AD61" s="324"/>
      <c r="AE61" s="324"/>
      <c r="AF61" s="324"/>
      <c r="AG61" s="327" t="s">
        <v>615</v>
      </c>
      <c r="AH61" s="324"/>
      <c r="AI61" s="324"/>
      <c r="AJ61" s="324"/>
      <c r="AK61" s="327" t="s">
        <v>629</v>
      </c>
      <c r="AL61" s="324"/>
      <c r="AM61" s="324"/>
      <c r="AN61" s="324"/>
      <c r="AO61" s="327" t="s">
        <v>617</v>
      </c>
      <c r="AP61" s="324" t="s">
        <v>664</v>
      </c>
      <c r="AQ61" s="324"/>
      <c r="AR61" s="324"/>
      <c r="AS61" s="327" t="s">
        <v>624</v>
      </c>
      <c r="AT61" s="324"/>
      <c r="AU61" s="324"/>
      <c r="AV61" s="326"/>
      <c r="AW61" s="339" t="str">
        <f>IF(AA61="","",SUMIF(SK!R$88:R$163,ROW(),SK!T$88:T$163))</f>
        <v/>
      </c>
      <c r="AX61" s="17"/>
      <c r="AY61" s="551"/>
      <c r="AZ61" s="513"/>
    </row>
    <row r="62" spans="1:52" ht="31.9" customHeight="1" thickBot="1" x14ac:dyDescent="0.25">
      <c r="A62" s="306" t="str">
        <f>IF(Score!A62="", "",Score!A62 )</f>
        <v/>
      </c>
      <c r="B62" s="310"/>
      <c r="C62" s="308" t="str">
        <f>IF(Score!B62="", "",Score!B62 )</f>
        <v/>
      </c>
      <c r="D62" s="324"/>
      <c r="E62" s="324"/>
      <c r="F62" s="324"/>
      <c r="G62" s="325" t="s">
        <v>649</v>
      </c>
      <c r="H62" s="324" t="s">
        <v>667</v>
      </c>
      <c r="I62" s="324" t="s">
        <v>661</v>
      </c>
      <c r="J62" s="324"/>
      <c r="K62" s="325" t="s">
        <v>637</v>
      </c>
      <c r="L62" s="324" t="s">
        <v>667</v>
      </c>
      <c r="M62" s="324"/>
      <c r="N62" s="324"/>
      <c r="O62" s="325" t="s">
        <v>645</v>
      </c>
      <c r="P62" s="324"/>
      <c r="Q62" s="324"/>
      <c r="R62" s="324"/>
      <c r="S62" s="325" t="s">
        <v>651</v>
      </c>
      <c r="T62" s="324"/>
      <c r="U62" s="324"/>
      <c r="V62" s="326"/>
      <c r="W62" s="339" t="str">
        <f>IF(A62="","",SUMIF(SK!B$88:B$163,ROW(),SK!D$88:D$163))</f>
        <v/>
      </c>
      <c r="X62" s="17"/>
      <c r="Y62" s="772" t="str">
        <f>Y20</f>
        <v/>
      </c>
      <c r="Z62" s="513" t="str">
        <f>Z20</f>
        <v/>
      </c>
      <c r="AA62" s="310" t="str">
        <f>IF(Score!T62="", "",Score!T62 )</f>
        <v/>
      </c>
      <c r="AB62" s="310"/>
      <c r="AC62" s="308" t="str">
        <f>IF(Score!U62="", "",Score!U62 )</f>
        <v/>
      </c>
      <c r="AD62" s="324"/>
      <c r="AE62" s="324"/>
      <c r="AF62" s="324"/>
      <c r="AG62" s="325" t="s">
        <v>615</v>
      </c>
      <c r="AH62" s="324" t="s">
        <v>661</v>
      </c>
      <c r="AI62" s="324"/>
      <c r="AJ62" s="324"/>
      <c r="AK62" s="325" t="s">
        <v>627</v>
      </c>
      <c r="AL62" s="324" t="s">
        <v>671</v>
      </c>
      <c r="AM62" s="324"/>
      <c r="AN62" s="324"/>
      <c r="AO62" s="325" t="s">
        <v>617</v>
      </c>
      <c r="AP62" s="324"/>
      <c r="AQ62" s="324"/>
      <c r="AR62" s="324"/>
      <c r="AS62" s="325" t="s">
        <v>624</v>
      </c>
      <c r="AT62" s="324" t="s">
        <v>661</v>
      </c>
      <c r="AU62" s="324"/>
      <c r="AV62" s="326"/>
      <c r="AW62" s="339" t="str">
        <f>IF(AA62="","",SUMIF(SK!R$88:R$163,ROW(),SK!T$88:T$163))</f>
        <v/>
      </c>
      <c r="AX62" s="17"/>
      <c r="AY62" s="772" t="str">
        <f>AY20</f>
        <v/>
      </c>
      <c r="AZ62" s="513" t="str">
        <f>AZ20</f>
        <v/>
      </c>
    </row>
    <row r="63" spans="1:52" ht="31.9" customHeight="1" thickBot="1" x14ac:dyDescent="0.25">
      <c r="A63" s="307" t="str">
        <f>IF(Score!A63="", "",Score!A63 )</f>
        <v/>
      </c>
      <c r="B63" s="311"/>
      <c r="C63" s="309" t="str">
        <f>IF(Score!B63="", "",Score!B63 )</f>
        <v/>
      </c>
      <c r="D63" s="324"/>
      <c r="E63" s="324"/>
      <c r="F63" s="324"/>
      <c r="G63" s="327"/>
      <c r="H63" s="324"/>
      <c r="I63" s="324"/>
      <c r="J63" s="324"/>
      <c r="K63" s="327"/>
      <c r="L63" s="324"/>
      <c r="M63" s="324"/>
      <c r="N63" s="324"/>
      <c r="O63" s="327"/>
      <c r="P63" s="324"/>
      <c r="Q63" s="324"/>
      <c r="R63" s="324"/>
      <c r="S63" s="327"/>
      <c r="T63" s="324"/>
      <c r="U63" s="324"/>
      <c r="V63" s="326"/>
      <c r="W63" s="339" t="str">
        <f>IF(A63="","",SUMIF(SK!B$88:B$163,ROW(),SK!D$88:D$163))</f>
        <v/>
      </c>
      <c r="X63" s="17"/>
      <c r="Y63" s="551"/>
      <c r="Z63" s="513"/>
      <c r="AA63" s="311" t="str">
        <f>IF(Score!T63="", "",Score!T63 )</f>
        <v/>
      </c>
      <c r="AB63" s="311" t="s">
        <v>116</v>
      </c>
      <c r="AC63" s="309" t="str">
        <f>IF(Score!U63="", "",Score!U63 )</f>
        <v/>
      </c>
      <c r="AD63" s="324" t="s">
        <v>664</v>
      </c>
      <c r="AE63" s="324"/>
      <c r="AF63" s="324"/>
      <c r="AG63" s="327" t="s">
        <v>620</v>
      </c>
      <c r="AH63" s="324"/>
      <c r="AI63" s="324"/>
      <c r="AJ63" s="324"/>
      <c r="AK63" s="327" t="s">
        <v>627</v>
      </c>
      <c r="AL63" s="324" t="s">
        <v>664</v>
      </c>
      <c r="AM63" s="324"/>
      <c r="AN63" s="324"/>
      <c r="AO63" s="327" t="s">
        <v>617</v>
      </c>
      <c r="AP63" s="324"/>
      <c r="AQ63" s="324"/>
      <c r="AR63" s="324"/>
      <c r="AS63" s="327" t="s">
        <v>624</v>
      </c>
      <c r="AT63" s="324" t="s">
        <v>664</v>
      </c>
      <c r="AU63" s="324"/>
      <c r="AV63" s="326"/>
      <c r="AW63" s="339" t="str">
        <f>IF(AA63="","",SUMIF(SK!R$88:R$163,ROW(),SK!T$88:T$163))</f>
        <v/>
      </c>
      <c r="AX63" s="17"/>
      <c r="AY63" s="551"/>
      <c r="AZ63" s="513"/>
    </row>
    <row r="64" spans="1:52" ht="31.9" customHeight="1" thickBot="1" x14ac:dyDescent="0.25">
      <c r="A64" s="306" t="str">
        <f>IF(Score!A64="", "",Score!A64 )</f>
        <v/>
      </c>
      <c r="B64" s="310" t="s">
        <v>116</v>
      </c>
      <c r="C64" s="308" t="str">
        <f>IF(Score!B64="", "",Score!B64 )</f>
        <v/>
      </c>
      <c r="D64" s="324"/>
      <c r="E64" s="324"/>
      <c r="F64" s="324"/>
      <c r="G64" s="325" t="s">
        <v>649</v>
      </c>
      <c r="H64" s="324" t="s">
        <v>671</v>
      </c>
      <c r="I64" s="324"/>
      <c r="J64" s="324"/>
      <c r="K64" s="325" t="s">
        <v>637</v>
      </c>
      <c r="L64" s="324"/>
      <c r="M64" s="324"/>
      <c r="N64" s="324"/>
      <c r="O64" s="325" t="s">
        <v>645</v>
      </c>
      <c r="P64" s="324" t="s">
        <v>671</v>
      </c>
      <c r="Q64" s="324"/>
      <c r="R64" s="324"/>
      <c r="S64" s="325" t="s">
        <v>639</v>
      </c>
      <c r="T64" s="324"/>
      <c r="U64" s="324"/>
      <c r="V64" s="326"/>
      <c r="W64" s="339" t="str">
        <f>IF(A64="","",SUMIF(SK!B$88:B$163,ROW(),SK!D$88:D$163))</f>
        <v/>
      </c>
      <c r="X64" s="17"/>
      <c r="Y64" s="772" t="str">
        <f>Y22</f>
        <v/>
      </c>
      <c r="Z64" s="513" t="str">
        <f>Z22</f>
        <v/>
      </c>
      <c r="AA64" s="310" t="str">
        <f>IF(Score!T64="", "",Score!T64 )</f>
        <v/>
      </c>
      <c r="AB64" s="310"/>
      <c r="AC64" s="308" t="str">
        <f>IF(Score!U64="", "",Score!U64 )</f>
        <v/>
      </c>
      <c r="AD64" s="324"/>
      <c r="AE64" s="324"/>
      <c r="AF64" s="324"/>
      <c r="AG64" s="325" t="s">
        <v>615</v>
      </c>
      <c r="AH64" s="324"/>
      <c r="AI64" s="324"/>
      <c r="AJ64" s="324"/>
      <c r="AK64" s="325" t="s">
        <v>620</v>
      </c>
      <c r="AL64" s="324" t="s">
        <v>664</v>
      </c>
      <c r="AM64" s="324"/>
      <c r="AN64" s="324"/>
      <c r="AO64" s="325" t="s">
        <v>627</v>
      </c>
      <c r="AP64" s="324" t="s">
        <v>671</v>
      </c>
      <c r="AQ64" s="324"/>
      <c r="AR64" s="324"/>
      <c r="AS64" s="325" t="s">
        <v>629</v>
      </c>
      <c r="AT64" s="324"/>
      <c r="AU64" s="324"/>
      <c r="AV64" s="326"/>
      <c r="AW64" s="339" t="str">
        <f>IF(AA64="","",SUMIF(SK!R$88:R$163,ROW(),SK!T$88:T$163))</f>
        <v/>
      </c>
      <c r="AX64" s="17"/>
      <c r="AY64" s="772" t="str">
        <f>AY22</f>
        <v/>
      </c>
      <c r="AZ64" s="513" t="str">
        <f>AZ22</f>
        <v/>
      </c>
    </row>
    <row r="65" spans="1:52" ht="31.9" customHeight="1" thickBot="1" x14ac:dyDescent="0.25">
      <c r="A65" s="307" t="str">
        <f>IF(Score!A65="", "",Score!A65 )</f>
        <v/>
      </c>
      <c r="B65" s="311" t="s">
        <v>116</v>
      </c>
      <c r="C65" s="309" t="str">
        <f>IF(Score!B65="", "",Score!B65 )</f>
        <v/>
      </c>
      <c r="D65" s="324"/>
      <c r="E65" s="324"/>
      <c r="F65" s="324"/>
      <c r="G65" s="327" t="s">
        <v>639</v>
      </c>
      <c r="H65" s="324"/>
      <c r="I65" s="324"/>
      <c r="J65" s="324"/>
      <c r="K65" s="327" t="s">
        <v>649</v>
      </c>
      <c r="L65" s="324"/>
      <c r="M65" s="324"/>
      <c r="N65" s="324"/>
      <c r="O65" s="327" t="s">
        <v>645</v>
      </c>
      <c r="P65" s="324" t="s">
        <v>664</v>
      </c>
      <c r="Q65" s="324"/>
      <c r="R65" s="324"/>
      <c r="S65" s="327" t="s">
        <v>651</v>
      </c>
      <c r="T65" s="324"/>
      <c r="U65" s="324"/>
      <c r="V65" s="326"/>
      <c r="W65" s="339" t="str">
        <f>IF(A65="","",SUMIF(SK!B$88:B$163,ROW(),SK!D$88:D$163))</f>
        <v/>
      </c>
      <c r="X65" s="17"/>
      <c r="Y65" s="551"/>
      <c r="Z65" s="513"/>
      <c r="AA65" s="311" t="str">
        <f>IF(Score!T65="", "",Score!T65 )</f>
        <v/>
      </c>
      <c r="AB65" s="311"/>
      <c r="AC65" s="309" t="str">
        <f>IF(Score!U65="", "",Score!U65 )</f>
        <v/>
      </c>
      <c r="AD65" s="324"/>
      <c r="AE65" s="324"/>
      <c r="AF65" s="324"/>
      <c r="AG65" s="327" t="s">
        <v>615</v>
      </c>
      <c r="AH65" s="324"/>
      <c r="AI65" s="324"/>
      <c r="AJ65" s="324"/>
      <c r="AK65" s="327" t="s">
        <v>631</v>
      </c>
      <c r="AL65" s="324" t="s">
        <v>667</v>
      </c>
      <c r="AM65" s="324"/>
      <c r="AN65" s="324"/>
      <c r="AO65" s="327" t="s">
        <v>627</v>
      </c>
      <c r="AP65" s="324" t="s">
        <v>664</v>
      </c>
      <c r="AQ65" s="324"/>
      <c r="AR65" s="324"/>
      <c r="AS65" s="327" t="s">
        <v>613</v>
      </c>
      <c r="AT65" s="324"/>
      <c r="AU65" s="324"/>
      <c r="AV65" s="326"/>
      <c r="AW65" s="339" t="str">
        <f>IF(AA65="","",SUMIF(SK!R$88:R$163,ROW(),SK!T$88:T$163))</f>
        <v/>
      </c>
      <c r="AX65" s="17"/>
      <c r="AY65" s="551"/>
      <c r="AZ65" s="513"/>
    </row>
    <row r="66" spans="1:52" ht="31.9" customHeight="1" thickBot="1" x14ac:dyDescent="0.25">
      <c r="A66" s="306" t="str">
        <f>IF(Score!A66="", "",Score!A66 )</f>
        <v/>
      </c>
      <c r="B66" s="310"/>
      <c r="C66" s="308" t="str">
        <f>IF(Score!B66="", "",Score!B66 )</f>
        <v/>
      </c>
      <c r="D66" s="324"/>
      <c r="E66" s="324"/>
      <c r="F66" s="324"/>
      <c r="G66" s="325" t="s">
        <v>649</v>
      </c>
      <c r="H66" s="324" t="s">
        <v>661</v>
      </c>
      <c r="I66" s="324"/>
      <c r="J66" s="324"/>
      <c r="K66" s="325" t="s">
        <v>639</v>
      </c>
      <c r="L66" s="324"/>
      <c r="M66" s="324"/>
      <c r="N66" s="324"/>
      <c r="O66" s="325" t="s">
        <v>645</v>
      </c>
      <c r="P66" s="324"/>
      <c r="Q66" s="324"/>
      <c r="R66" s="324"/>
      <c r="S66" s="325" t="s">
        <v>651</v>
      </c>
      <c r="T66" s="324" t="s">
        <v>661</v>
      </c>
      <c r="U66" s="324"/>
      <c r="V66" s="326"/>
      <c r="W66" s="339" t="str">
        <f>IF(A66="","",SUMIF(SK!B$88:B$163,ROW(),SK!D$88:D$163))</f>
        <v/>
      </c>
      <c r="X66" s="17"/>
      <c r="Y66" s="772" t="str">
        <f>Y24</f>
        <v/>
      </c>
      <c r="Z66" s="513" t="str">
        <f>Z24</f>
        <v/>
      </c>
      <c r="AA66" s="310" t="str">
        <f>IF(Score!T66="", "",Score!T66 )</f>
        <v/>
      </c>
      <c r="AB66" s="310"/>
      <c r="AC66" s="308" t="str">
        <f>IF(Score!U66="", "",Score!U66 )</f>
        <v/>
      </c>
      <c r="AD66" s="324" t="s">
        <v>664</v>
      </c>
      <c r="AE66" s="324"/>
      <c r="AF66" s="324"/>
      <c r="AG66" s="325" t="s">
        <v>615</v>
      </c>
      <c r="AH66" s="324" t="s">
        <v>661</v>
      </c>
      <c r="AI66" s="324"/>
      <c r="AJ66" s="324"/>
      <c r="AK66" s="325" t="s">
        <v>617</v>
      </c>
      <c r="AL66" s="324" t="s">
        <v>664</v>
      </c>
      <c r="AM66" s="324"/>
      <c r="AN66" s="324"/>
      <c r="AO66" s="325" t="s">
        <v>629</v>
      </c>
      <c r="AP66" s="324"/>
      <c r="AQ66" s="324"/>
      <c r="AR66" s="324"/>
      <c r="AS66" s="325" t="s">
        <v>631</v>
      </c>
      <c r="AT66" s="324"/>
      <c r="AU66" s="324"/>
      <c r="AV66" s="326"/>
      <c r="AW66" s="339" t="str">
        <f>IF(AA66="","",SUMIF(SK!R$88:R$163,ROW(),SK!T$88:T$163))</f>
        <v/>
      </c>
      <c r="AX66" s="17"/>
      <c r="AY66" s="772" t="str">
        <f>AY24</f>
        <v/>
      </c>
      <c r="AZ66" s="513" t="str">
        <f>AZ24</f>
        <v/>
      </c>
    </row>
    <row r="67" spans="1:52" ht="31.9" customHeight="1" thickBot="1" x14ac:dyDescent="0.25">
      <c r="A67" s="307" t="str">
        <f>IF(Score!A67="", "",Score!A67 )</f>
        <v/>
      </c>
      <c r="B67" s="311"/>
      <c r="C67" s="309" t="str">
        <f>IF(Score!B67="", "",Score!B67 )</f>
        <v/>
      </c>
      <c r="D67" s="324"/>
      <c r="E67" s="324"/>
      <c r="F67" s="324"/>
      <c r="G67" s="327" t="s">
        <v>637</v>
      </c>
      <c r="H67" s="324" t="s">
        <v>671</v>
      </c>
      <c r="I67" s="324"/>
      <c r="J67" s="324"/>
      <c r="K67" s="327"/>
      <c r="L67" s="324"/>
      <c r="M67" s="324"/>
      <c r="N67" s="324"/>
      <c r="O67" s="327"/>
      <c r="P67" s="324"/>
      <c r="Q67" s="324"/>
      <c r="R67" s="324"/>
      <c r="S67" s="327" t="s">
        <v>651</v>
      </c>
      <c r="T67" s="324" t="s">
        <v>671</v>
      </c>
      <c r="U67" s="324"/>
      <c r="V67" s="326"/>
      <c r="W67" s="339" t="str">
        <f>IF(A67="","",SUMIF(SK!B$88:B$163,ROW(),SK!D$88:D$163))</f>
        <v/>
      </c>
      <c r="X67" s="17"/>
      <c r="Y67" s="551"/>
      <c r="Z67" s="513"/>
      <c r="AA67" s="311" t="str">
        <f>IF(Score!T67="", "",Score!T67 )</f>
        <v/>
      </c>
      <c r="AB67" s="311"/>
      <c r="AC67" s="309" t="str">
        <f>IF(Score!U67="", "",Score!U67 )</f>
        <v/>
      </c>
      <c r="AD67" s="324"/>
      <c r="AE67" s="324"/>
      <c r="AF67" s="324"/>
      <c r="AG67" s="327" t="s">
        <v>615</v>
      </c>
      <c r="AH67" s="324" t="s">
        <v>671</v>
      </c>
      <c r="AI67" s="324"/>
      <c r="AJ67" s="324"/>
      <c r="AK67" s="327" t="s">
        <v>617</v>
      </c>
      <c r="AL67" s="324"/>
      <c r="AM67" s="324"/>
      <c r="AN67" s="324"/>
      <c r="AO67" s="327" t="s">
        <v>629</v>
      </c>
      <c r="AP67" s="324"/>
      <c r="AQ67" s="324"/>
      <c r="AR67" s="324"/>
      <c r="AS67" s="327"/>
      <c r="AT67" s="324"/>
      <c r="AU67" s="324"/>
      <c r="AV67" s="326"/>
      <c r="AW67" s="339" t="str">
        <f>IF(AA67="","",SUMIF(SK!R$88:R$163,ROW(),SK!T$88:T$163))</f>
        <v/>
      </c>
      <c r="AX67" s="17"/>
      <c r="AY67" s="551"/>
      <c r="AZ67" s="513"/>
    </row>
    <row r="68" spans="1:52" ht="31.9" customHeight="1" thickBot="1" x14ac:dyDescent="0.25">
      <c r="A68" s="306" t="str">
        <f>IF(Score!A68="", "",Score!A68 )</f>
        <v/>
      </c>
      <c r="B68" s="310"/>
      <c r="C68" s="308" t="str">
        <f>IF(Score!B68="", "",Score!B68 )</f>
        <v/>
      </c>
      <c r="D68" s="324" t="s">
        <v>667</v>
      </c>
      <c r="E68" s="324"/>
      <c r="F68" s="324"/>
      <c r="G68" s="325" t="s">
        <v>649</v>
      </c>
      <c r="H68" s="324" t="s">
        <v>667</v>
      </c>
      <c r="I68" s="324"/>
      <c r="J68" s="324"/>
      <c r="K68" s="325" t="s">
        <v>637</v>
      </c>
      <c r="L68" s="324" t="s">
        <v>664</v>
      </c>
      <c r="M68" s="324"/>
      <c r="N68" s="324"/>
      <c r="O68" s="325" t="s">
        <v>639</v>
      </c>
      <c r="P68" s="324"/>
      <c r="Q68" s="324"/>
      <c r="R68" s="324"/>
      <c r="S68" s="325" t="s">
        <v>651</v>
      </c>
      <c r="T68" s="324" t="s">
        <v>664</v>
      </c>
      <c r="U68" s="324"/>
      <c r="V68" s="326"/>
      <c r="W68" s="339" t="str">
        <f>IF(A68="","",SUMIF(SK!B$88:B$163,ROW(),SK!D$88:D$163))</f>
        <v/>
      </c>
      <c r="X68" s="17"/>
      <c r="Y68" s="772" t="str">
        <f>Y26</f>
        <v/>
      </c>
      <c r="Z68" s="513" t="str">
        <f>Z26</f>
        <v/>
      </c>
      <c r="AA68" s="310" t="str">
        <f>IF(Score!T68="", "",Score!T68 )</f>
        <v/>
      </c>
      <c r="AB68" s="310"/>
      <c r="AC68" s="308" t="str">
        <f>IF(Score!U68="", "",Score!U68 )</f>
        <v/>
      </c>
      <c r="AD68" s="324"/>
      <c r="AE68" s="324"/>
      <c r="AF68" s="324"/>
      <c r="AG68" s="325" t="s">
        <v>615</v>
      </c>
      <c r="AH68" s="324" t="s">
        <v>664</v>
      </c>
      <c r="AI68" s="324"/>
      <c r="AJ68" s="324"/>
      <c r="AK68" s="325" t="s">
        <v>624</v>
      </c>
      <c r="AL68" s="324"/>
      <c r="AM68" s="324"/>
      <c r="AN68" s="324"/>
      <c r="AO68" s="325" t="s">
        <v>629</v>
      </c>
      <c r="AP68" s="324"/>
      <c r="AQ68" s="324"/>
      <c r="AR68" s="324"/>
      <c r="AS68" s="325" t="s">
        <v>617</v>
      </c>
      <c r="AT68" s="324"/>
      <c r="AU68" s="324"/>
      <c r="AV68" s="326"/>
      <c r="AW68" s="339" t="str">
        <f>IF(AA68="","",SUMIF(SK!R$88:R$163,ROW(),SK!T$88:T$163))</f>
        <v/>
      </c>
      <c r="AX68" s="17"/>
      <c r="AY68" s="772" t="str">
        <f>AY26</f>
        <v/>
      </c>
      <c r="AZ68" s="513" t="str">
        <f>AZ26</f>
        <v/>
      </c>
    </row>
    <row r="69" spans="1:52" ht="31.9" customHeight="1" thickBot="1" x14ac:dyDescent="0.25">
      <c r="A69" s="307" t="str">
        <f>IF(Score!A69="", "",Score!A69 )</f>
        <v/>
      </c>
      <c r="B69" s="311"/>
      <c r="C69" s="309" t="str">
        <f>IF(Score!B69="", "",Score!B69 )</f>
        <v/>
      </c>
      <c r="D69" s="324"/>
      <c r="E69" s="324"/>
      <c r="F69" s="324"/>
      <c r="G69" s="327"/>
      <c r="H69" s="324"/>
      <c r="I69" s="324"/>
      <c r="J69" s="324"/>
      <c r="K69" s="327"/>
      <c r="L69" s="324"/>
      <c r="M69" s="324"/>
      <c r="N69" s="324"/>
      <c r="O69" s="327"/>
      <c r="P69" s="324"/>
      <c r="Q69" s="324"/>
      <c r="R69" s="324"/>
      <c r="S69" s="327"/>
      <c r="T69" s="324"/>
      <c r="U69" s="324"/>
      <c r="V69" s="326"/>
      <c r="W69" s="339" t="str">
        <f>IF(A69="","",SUMIF(SK!B$88:B$163,ROW(),SK!D$88:D$163))</f>
        <v/>
      </c>
      <c r="X69" s="17"/>
      <c r="Y69" s="551"/>
      <c r="Z69" s="513"/>
      <c r="AA69" s="311" t="str">
        <f>IF(Score!T69="", "",Score!T69 )</f>
        <v/>
      </c>
      <c r="AB69" s="311"/>
      <c r="AC69" s="309" t="str">
        <f>IF(Score!U69="", "",Score!U69 )</f>
        <v/>
      </c>
      <c r="AD69" s="324"/>
      <c r="AE69" s="324"/>
      <c r="AF69" s="324"/>
      <c r="AG69" s="327"/>
      <c r="AH69" s="324"/>
      <c r="AI69" s="324"/>
      <c r="AJ69" s="324"/>
      <c r="AK69" s="327"/>
      <c r="AL69" s="324"/>
      <c r="AM69" s="324"/>
      <c r="AN69" s="324"/>
      <c r="AO69" s="327"/>
      <c r="AP69" s="324"/>
      <c r="AQ69" s="324"/>
      <c r="AR69" s="324"/>
      <c r="AS69" s="327"/>
      <c r="AT69" s="324"/>
      <c r="AU69" s="324"/>
      <c r="AV69" s="326"/>
      <c r="AW69" s="339" t="str">
        <f>IF(AA69="","",SUMIF(SK!R$88:R$163,ROW(),SK!T$88:T$163))</f>
        <v/>
      </c>
      <c r="AX69" s="17"/>
      <c r="AY69" s="551"/>
      <c r="AZ69" s="513"/>
    </row>
    <row r="70" spans="1:52" ht="31.9" customHeight="1" thickBot="1" x14ac:dyDescent="0.25">
      <c r="A70" s="306" t="str">
        <f>IF(Score!A70="", "",Score!A70 )</f>
        <v/>
      </c>
      <c r="B70" s="310"/>
      <c r="C70" s="308" t="str">
        <f>IF(Score!B70="", "",Score!B70 )</f>
        <v/>
      </c>
      <c r="D70" s="324"/>
      <c r="E70" s="324"/>
      <c r="F70" s="324"/>
      <c r="G70" s="325"/>
      <c r="H70" s="324"/>
      <c r="I70" s="324"/>
      <c r="J70" s="324"/>
      <c r="K70" s="325"/>
      <c r="L70" s="324"/>
      <c r="M70" s="324"/>
      <c r="N70" s="324"/>
      <c r="O70" s="325"/>
      <c r="P70" s="324"/>
      <c r="Q70" s="324"/>
      <c r="R70" s="324"/>
      <c r="S70" s="325"/>
      <c r="T70" s="324"/>
      <c r="U70" s="324"/>
      <c r="V70" s="326"/>
      <c r="W70" s="339" t="str">
        <f>IF(A70="","",SUMIF(SK!B$88:B$163,ROW(),SK!D$88:D$163))</f>
        <v/>
      </c>
      <c r="X70" s="17"/>
      <c r="Y70" s="772" t="str">
        <f>Y28</f>
        <v/>
      </c>
      <c r="Z70" s="513" t="str">
        <f>Z28</f>
        <v/>
      </c>
      <c r="AA70" s="310" t="str">
        <f>IF(Score!T70="", "",Score!T70 )</f>
        <v/>
      </c>
      <c r="AB70" s="310"/>
      <c r="AC70" s="308" t="str">
        <f>IF(Score!U70="", "",Score!U70 )</f>
        <v/>
      </c>
      <c r="AD70" s="324"/>
      <c r="AE70" s="324"/>
      <c r="AF70" s="324"/>
      <c r="AG70" s="325"/>
      <c r="AH70" s="324"/>
      <c r="AI70" s="324"/>
      <c r="AJ70" s="324"/>
      <c r="AK70" s="325"/>
      <c r="AL70" s="324"/>
      <c r="AM70" s="324"/>
      <c r="AN70" s="324"/>
      <c r="AO70" s="325"/>
      <c r="AP70" s="324"/>
      <c r="AQ70" s="324"/>
      <c r="AR70" s="324"/>
      <c r="AS70" s="325"/>
      <c r="AT70" s="324"/>
      <c r="AU70" s="324"/>
      <c r="AV70" s="326"/>
      <c r="AW70" s="339" t="str">
        <f>IF(AA70="","",SUMIF(SK!R$88:R$163,ROW(),SK!T$88:T$163))</f>
        <v/>
      </c>
      <c r="AX70" s="17"/>
      <c r="AY70" s="772" t="str">
        <f>AY28</f>
        <v/>
      </c>
      <c r="AZ70" s="513" t="str">
        <f>AZ28</f>
        <v/>
      </c>
    </row>
    <row r="71" spans="1:52" ht="31.9" customHeight="1" thickBot="1" x14ac:dyDescent="0.25">
      <c r="A71" s="307" t="str">
        <f>IF(Score!A71="", "",Score!A71 )</f>
        <v/>
      </c>
      <c r="B71" s="311"/>
      <c r="C71" s="309" t="str">
        <f>IF(Score!B71="", "",Score!B71 )</f>
        <v/>
      </c>
      <c r="D71" s="324"/>
      <c r="E71" s="324"/>
      <c r="F71" s="324"/>
      <c r="G71" s="327"/>
      <c r="H71" s="324"/>
      <c r="I71" s="324"/>
      <c r="J71" s="324"/>
      <c r="K71" s="327"/>
      <c r="L71" s="324"/>
      <c r="M71" s="324"/>
      <c r="N71" s="324"/>
      <c r="O71" s="327"/>
      <c r="P71" s="324"/>
      <c r="Q71" s="324"/>
      <c r="R71" s="324"/>
      <c r="S71" s="327"/>
      <c r="T71" s="324"/>
      <c r="U71" s="324"/>
      <c r="V71" s="326"/>
      <c r="W71" s="339" t="str">
        <f>IF(A71="","",SUMIF(SK!B$88:B$163,ROW(),SK!D$88:D$163))</f>
        <v/>
      </c>
      <c r="X71" s="17"/>
      <c r="Y71" s="551"/>
      <c r="Z71" s="513"/>
      <c r="AA71" s="311" t="str">
        <f>IF(Score!T71="", "",Score!T71 )</f>
        <v/>
      </c>
      <c r="AB71" s="311"/>
      <c r="AC71" s="309" t="str">
        <f>IF(Score!U71="", "",Score!U71 )</f>
        <v/>
      </c>
      <c r="AD71" s="324"/>
      <c r="AE71" s="324"/>
      <c r="AF71" s="324"/>
      <c r="AG71" s="327"/>
      <c r="AH71" s="324"/>
      <c r="AI71" s="324"/>
      <c r="AJ71" s="324"/>
      <c r="AK71" s="327"/>
      <c r="AL71" s="324"/>
      <c r="AM71" s="324"/>
      <c r="AN71" s="324"/>
      <c r="AO71" s="327"/>
      <c r="AP71" s="324"/>
      <c r="AQ71" s="324"/>
      <c r="AR71" s="324"/>
      <c r="AS71" s="327"/>
      <c r="AT71" s="324"/>
      <c r="AU71" s="324"/>
      <c r="AV71" s="326"/>
      <c r="AW71" s="339" t="str">
        <f>IF(AA71="","",SUMIF(SK!R$88:R$163,ROW(),SK!T$88:T$163))</f>
        <v/>
      </c>
      <c r="AX71" s="17"/>
      <c r="AY71" s="551"/>
      <c r="AZ71" s="513"/>
    </row>
    <row r="72" spans="1:52" ht="31.9" customHeight="1" thickBot="1" x14ac:dyDescent="0.25">
      <c r="A72" s="306" t="str">
        <f>IF(Score!A72="", "",Score!A72 )</f>
        <v/>
      </c>
      <c r="B72" s="310"/>
      <c r="C72" s="308" t="str">
        <f>IF(Score!B72="", "",Score!B72 )</f>
        <v/>
      </c>
      <c r="D72" s="324"/>
      <c r="E72" s="324"/>
      <c r="F72" s="324"/>
      <c r="G72" s="325"/>
      <c r="H72" s="324"/>
      <c r="I72" s="324"/>
      <c r="J72" s="324"/>
      <c r="K72" s="325"/>
      <c r="L72" s="324"/>
      <c r="M72" s="324"/>
      <c r="N72" s="324"/>
      <c r="O72" s="325"/>
      <c r="P72" s="324"/>
      <c r="Q72" s="324"/>
      <c r="R72" s="324"/>
      <c r="S72" s="325"/>
      <c r="T72" s="324"/>
      <c r="U72" s="324"/>
      <c r="V72" s="326"/>
      <c r="W72" s="339" t="str">
        <f>IF(A72="","",SUMIF(SK!B$88:B$163,ROW(),SK!D$88:D$163))</f>
        <v/>
      </c>
      <c r="X72" s="17"/>
      <c r="Y72" s="772" t="str">
        <f>Y30</f>
        <v/>
      </c>
      <c r="Z72" s="513" t="str">
        <f>Z30</f>
        <v/>
      </c>
      <c r="AA72" s="310" t="str">
        <f>IF(Score!T72="", "",Score!T72 )</f>
        <v/>
      </c>
      <c r="AB72" s="310"/>
      <c r="AC72" s="308" t="str">
        <f>IF(Score!U72="", "",Score!U72 )</f>
        <v/>
      </c>
      <c r="AD72" s="324"/>
      <c r="AE72" s="324"/>
      <c r="AF72" s="324"/>
      <c r="AG72" s="325"/>
      <c r="AH72" s="324"/>
      <c r="AI72" s="324"/>
      <c r="AJ72" s="324"/>
      <c r="AK72" s="325"/>
      <c r="AL72" s="324"/>
      <c r="AM72" s="324"/>
      <c r="AN72" s="324"/>
      <c r="AO72" s="325"/>
      <c r="AP72" s="324"/>
      <c r="AQ72" s="324"/>
      <c r="AR72" s="324"/>
      <c r="AS72" s="325"/>
      <c r="AT72" s="324"/>
      <c r="AU72" s="324"/>
      <c r="AV72" s="326"/>
      <c r="AW72" s="339" t="str">
        <f>IF(AA72="","",SUMIF(SK!R$88:R$163,ROW(),SK!T$88:T$163))</f>
        <v/>
      </c>
      <c r="AX72" s="17"/>
      <c r="AY72" s="772" t="str">
        <f>AY30</f>
        <v/>
      </c>
      <c r="AZ72" s="513" t="str">
        <f>AZ30</f>
        <v/>
      </c>
    </row>
    <row r="73" spans="1:52" ht="31.9" customHeight="1" thickBot="1" x14ac:dyDescent="0.25">
      <c r="A73" s="307" t="str">
        <f>IF(Score!A73="", "",Score!A73 )</f>
        <v/>
      </c>
      <c r="B73" s="311"/>
      <c r="C73" s="309" t="str">
        <f>IF(Score!B73="", "",Score!B73 )</f>
        <v/>
      </c>
      <c r="D73" s="324"/>
      <c r="E73" s="324"/>
      <c r="F73" s="324"/>
      <c r="G73" s="327"/>
      <c r="H73" s="324"/>
      <c r="I73" s="324"/>
      <c r="J73" s="324"/>
      <c r="K73" s="327"/>
      <c r="L73" s="324"/>
      <c r="M73" s="324"/>
      <c r="N73" s="324"/>
      <c r="O73" s="327"/>
      <c r="P73" s="324"/>
      <c r="Q73" s="324"/>
      <c r="R73" s="324"/>
      <c r="S73" s="327"/>
      <c r="T73" s="324"/>
      <c r="U73" s="324"/>
      <c r="V73" s="326"/>
      <c r="W73" s="339" t="str">
        <f>IF(A73="","",SUMIF(SK!B$88:B$163,ROW(),SK!D$88:D$163))</f>
        <v/>
      </c>
      <c r="X73" s="17"/>
      <c r="Y73" s="551"/>
      <c r="Z73" s="513"/>
      <c r="AA73" s="311" t="str">
        <f>IF(Score!T73="", "",Score!T73 )</f>
        <v/>
      </c>
      <c r="AB73" s="311"/>
      <c r="AC73" s="309" t="str">
        <f>IF(Score!U73="", "",Score!U73 )</f>
        <v/>
      </c>
      <c r="AD73" s="324"/>
      <c r="AE73" s="324"/>
      <c r="AF73" s="324"/>
      <c r="AG73" s="327"/>
      <c r="AH73" s="324"/>
      <c r="AI73" s="324"/>
      <c r="AJ73" s="324"/>
      <c r="AK73" s="327"/>
      <c r="AL73" s="324"/>
      <c r="AM73" s="324"/>
      <c r="AN73" s="324"/>
      <c r="AO73" s="327"/>
      <c r="AP73" s="324"/>
      <c r="AQ73" s="324"/>
      <c r="AR73" s="324"/>
      <c r="AS73" s="327"/>
      <c r="AT73" s="324"/>
      <c r="AU73" s="324"/>
      <c r="AV73" s="326"/>
      <c r="AW73" s="339" t="str">
        <f>IF(AA73="","",SUMIF(SK!R$88:R$163,ROW(),SK!T$88:T$163))</f>
        <v/>
      </c>
      <c r="AX73" s="17"/>
      <c r="AY73" s="551"/>
      <c r="AZ73" s="513"/>
    </row>
    <row r="74" spans="1:52" ht="31.9" customHeight="1" thickBot="1" x14ac:dyDescent="0.25">
      <c r="A74" s="306" t="str">
        <f>IF(Score!A74="", "",Score!A74 )</f>
        <v/>
      </c>
      <c r="B74" s="310"/>
      <c r="C74" s="308" t="str">
        <f>IF(Score!B74="", "",Score!B74 )</f>
        <v/>
      </c>
      <c r="D74" s="324"/>
      <c r="E74" s="324"/>
      <c r="F74" s="324"/>
      <c r="G74" s="325"/>
      <c r="H74" s="324"/>
      <c r="I74" s="324"/>
      <c r="J74" s="324"/>
      <c r="K74" s="325"/>
      <c r="L74" s="324"/>
      <c r="M74" s="324"/>
      <c r="N74" s="324"/>
      <c r="O74" s="325"/>
      <c r="P74" s="324"/>
      <c r="Q74" s="324"/>
      <c r="R74" s="324"/>
      <c r="S74" s="325"/>
      <c r="T74" s="324"/>
      <c r="U74" s="324"/>
      <c r="V74" s="326"/>
      <c r="W74" s="339" t="str">
        <f>IF(A74="","",SUMIF(SK!B$88:B$163,ROW(),SK!D$88:D$163))</f>
        <v/>
      </c>
      <c r="X74" s="17"/>
      <c r="Y74" s="772" t="str">
        <f>Y32</f>
        <v/>
      </c>
      <c r="Z74" s="513" t="str">
        <f>Z32</f>
        <v/>
      </c>
      <c r="AA74" s="310" t="str">
        <f>IF(Score!T74="", "",Score!T74 )</f>
        <v/>
      </c>
      <c r="AB74" s="310"/>
      <c r="AC74" s="308" t="str">
        <f>IF(Score!U74="", "",Score!U74 )</f>
        <v/>
      </c>
      <c r="AD74" s="324"/>
      <c r="AE74" s="324"/>
      <c r="AF74" s="324"/>
      <c r="AG74" s="325"/>
      <c r="AH74" s="324"/>
      <c r="AI74" s="324"/>
      <c r="AJ74" s="324"/>
      <c r="AK74" s="325"/>
      <c r="AL74" s="324"/>
      <c r="AM74" s="324"/>
      <c r="AN74" s="324"/>
      <c r="AO74" s="325"/>
      <c r="AP74" s="324"/>
      <c r="AQ74" s="324"/>
      <c r="AR74" s="324"/>
      <c r="AS74" s="325"/>
      <c r="AT74" s="324"/>
      <c r="AU74" s="324"/>
      <c r="AV74" s="326"/>
      <c r="AW74" s="339" t="str">
        <f>IF(AA74="","",SUMIF(SK!R$88:R$163,ROW(),SK!T$88:T$163))</f>
        <v/>
      </c>
      <c r="AX74" s="17"/>
      <c r="AY74" s="772" t="str">
        <f>AY32</f>
        <v/>
      </c>
      <c r="AZ74" s="513" t="str">
        <f>AZ32</f>
        <v/>
      </c>
    </row>
    <row r="75" spans="1:52" ht="31.9" customHeight="1" thickBot="1" x14ac:dyDescent="0.25">
      <c r="A75" s="307" t="str">
        <f>IF(Score!A75="", "",Score!A75 )</f>
        <v/>
      </c>
      <c r="B75" s="311"/>
      <c r="C75" s="309" t="str">
        <f>IF(Score!B75="", "",Score!B75 )</f>
        <v/>
      </c>
      <c r="D75" s="324"/>
      <c r="E75" s="324"/>
      <c r="F75" s="324"/>
      <c r="G75" s="327"/>
      <c r="H75" s="324"/>
      <c r="I75" s="324"/>
      <c r="J75" s="324"/>
      <c r="K75" s="327"/>
      <c r="L75" s="324"/>
      <c r="M75" s="324"/>
      <c r="N75" s="324"/>
      <c r="O75" s="327"/>
      <c r="P75" s="324"/>
      <c r="Q75" s="324"/>
      <c r="R75" s="324"/>
      <c r="S75" s="327"/>
      <c r="T75" s="324"/>
      <c r="U75" s="324"/>
      <c r="V75" s="326"/>
      <c r="W75" s="339" t="str">
        <f>IF(A75="","",SUMIF(SK!B$88:B$163,ROW(),SK!D$88:D$163))</f>
        <v/>
      </c>
      <c r="X75" s="17"/>
      <c r="Y75" s="551"/>
      <c r="Z75" s="513"/>
      <c r="AA75" s="311" t="str">
        <f>IF(Score!T75="", "",Score!T75 )</f>
        <v/>
      </c>
      <c r="AB75" s="311"/>
      <c r="AC75" s="309" t="str">
        <f>IF(Score!U75="", "",Score!U75 )</f>
        <v/>
      </c>
      <c r="AD75" s="324"/>
      <c r="AE75" s="324"/>
      <c r="AF75" s="324"/>
      <c r="AG75" s="327"/>
      <c r="AH75" s="324"/>
      <c r="AI75" s="324"/>
      <c r="AJ75" s="324"/>
      <c r="AK75" s="327"/>
      <c r="AL75" s="324"/>
      <c r="AM75" s="324"/>
      <c r="AN75" s="324"/>
      <c r="AO75" s="327"/>
      <c r="AP75" s="324"/>
      <c r="AQ75" s="324"/>
      <c r="AR75" s="324"/>
      <c r="AS75" s="327"/>
      <c r="AT75" s="324"/>
      <c r="AU75" s="324"/>
      <c r="AV75" s="326"/>
      <c r="AW75" s="339" t="str">
        <f>IF(AA75="","",SUMIF(SK!R$88:R$163,ROW(),SK!T$88:T$163))</f>
        <v/>
      </c>
      <c r="AX75" s="17"/>
      <c r="AY75" s="551"/>
      <c r="AZ75" s="513"/>
    </row>
    <row r="76" spans="1:52" ht="31.9" customHeight="1" thickBot="1" x14ac:dyDescent="0.25">
      <c r="A76" s="306" t="str">
        <f>IF(Score!A76="", "",Score!A76 )</f>
        <v/>
      </c>
      <c r="B76" s="310"/>
      <c r="C76" s="308" t="str">
        <f>IF(Score!B76="", "",Score!B76 )</f>
        <v/>
      </c>
      <c r="D76" s="324"/>
      <c r="E76" s="324"/>
      <c r="F76" s="324"/>
      <c r="G76" s="325"/>
      <c r="H76" s="324"/>
      <c r="I76" s="324"/>
      <c r="J76" s="324"/>
      <c r="K76" s="325"/>
      <c r="L76" s="324"/>
      <c r="M76" s="324"/>
      <c r="N76" s="324"/>
      <c r="O76" s="325"/>
      <c r="P76" s="324"/>
      <c r="Q76" s="324"/>
      <c r="R76" s="324"/>
      <c r="S76" s="325"/>
      <c r="T76" s="324"/>
      <c r="U76" s="324"/>
      <c r="V76" s="326"/>
      <c r="W76" s="339" t="str">
        <f>IF(A76="","",SUMIF(SK!B$88:B$163,ROW(),SK!D$88:D$163))</f>
        <v/>
      </c>
      <c r="X76" s="17"/>
      <c r="Y76" s="772" t="str">
        <f>Y34</f>
        <v/>
      </c>
      <c r="Z76" s="513" t="str">
        <f>Z34</f>
        <v/>
      </c>
      <c r="AA76" s="310" t="str">
        <f>IF(Score!T76="", "",Score!T76 )</f>
        <v/>
      </c>
      <c r="AB76" s="310"/>
      <c r="AC76" s="308" t="str">
        <f>IF(Score!U76="", "",Score!U76 )</f>
        <v/>
      </c>
      <c r="AD76" s="324"/>
      <c r="AE76" s="324"/>
      <c r="AF76" s="324"/>
      <c r="AG76" s="325"/>
      <c r="AH76" s="324"/>
      <c r="AI76" s="324"/>
      <c r="AJ76" s="324"/>
      <c r="AK76" s="325"/>
      <c r="AL76" s="324"/>
      <c r="AM76" s="324"/>
      <c r="AN76" s="324"/>
      <c r="AO76" s="325"/>
      <c r="AP76" s="324"/>
      <c r="AQ76" s="324"/>
      <c r="AR76" s="324"/>
      <c r="AS76" s="325"/>
      <c r="AT76" s="324"/>
      <c r="AU76" s="324"/>
      <c r="AV76" s="326"/>
      <c r="AW76" s="339" t="str">
        <f>IF(AA76="","",SUMIF(SK!R$88:R$163,ROW(),SK!T$88:T$163))</f>
        <v/>
      </c>
      <c r="AX76" s="17"/>
      <c r="AY76" s="772" t="str">
        <f>AY34</f>
        <v/>
      </c>
      <c r="AZ76" s="513" t="str">
        <f>AZ34</f>
        <v/>
      </c>
    </row>
    <row r="77" spans="1:52" ht="31.9" customHeight="1" thickBot="1" x14ac:dyDescent="0.25">
      <c r="A77" s="307" t="str">
        <f>IF(Score!A77="", "",Score!A77 )</f>
        <v/>
      </c>
      <c r="B77" s="311"/>
      <c r="C77" s="309" t="str">
        <f>IF(Score!B77="", "",Score!B77 )</f>
        <v/>
      </c>
      <c r="D77" s="324"/>
      <c r="E77" s="324"/>
      <c r="F77" s="324"/>
      <c r="G77" s="327"/>
      <c r="H77" s="324"/>
      <c r="I77" s="324"/>
      <c r="J77" s="324"/>
      <c r="K77" s="327"/>
      <c r="L77" s="324"/>
      <c r="M77" s="324"/>
      <c r="N77" s="324"/>
      <c r="O77" s="327"/>
      <c r="P77" s="324"/>
      <c r="Q77" s="324"/>
      <c r="R77" s="324"/>
      <c r="S77" s="327"/>
      <c r="T77" s="324"/>
      <c r="U77" s="324"/>
      <c r="V77" s="326"/>
      <c r="W77" s="339" t="str">
        <f>IF(A77="","",SUMIF(SK!B$88:B$163,ROW(),SK!D$88:D$163))</f>
        <v/>
      </c>
      <c r="X77" s="17"/>
      <c r="Y77" s="516"/>
      <c r="Z77" s="513"/>
      <c r="AA77" s="311" t="str">
        <f>IF(Score!T77="", "",Score!T77 )</f>
        <v/>
      </c>
      <c r="AB77" s="311"/>
      <c r="AC77" s="309" t="str">
        <f>IF(Score!U77="", "",Score!U77 )</f>
        <v/>
      </c>
      <c r="AD77" s="324"/>
      <c r="AE77" s="324"/>
      <c r="AF77" s="324"/>
      <c r="AG77" s="327"/>
      <c r="AH77" s="324"/>
      <c r="AI77" s="324"/>
      <c r="AJ77" s="324"/>
      <c r="AK77" s="327"/>
      <c r="AL77" s="324"/>
      <c r="AM77" s="324"/>
      <c r="AN77" s="324"/>
      <c r="AO77" s="327"/>
      <c r="AP77" s="324"/>
      <c r="AQ77" s="324"/>
      <c r="AR77" s="324"/>
      <c r="AS77" s="327"/>
      <c r="AT77" s="324"/>
      <c r="AU77" s="324"/>
      <c r="AV77" s="326"/>
      <c r="AW77" s="339" t="str">
        <f>IF(AA77="","",SUMIF(SK!R$88:R$163,ROW(),SK!T$88:T$163))</f>
        <v/>
      </c>
      <c r="AX77" s="17"/>
      <c r="AY77" s="516"/>
      <c r="AZ77" s="513"/>
    </row>
    <row r="78" spans="1:52" ht="31.9" customHeight="1" thickBot="1" x14ac:dyDescent="0.25">
      <c r="A78" s="306" t="str">
        <f>IF(Score!A78="", "",Score!A78 )</f>
        <v/>
      </c>
      <c r="B78" s="310"/>
      <c r="C78" s="308" t="str">
        <f>IF(Score!B78="", "",Score!B78 )</f>
        <v/>
      </c>
      <c r="D78" s="324"/>
      <c r="E78" s="324"/>
      <c r="F78" s="324"/>
      <c r="G78" s="325"/>
      <c r="H78" s="324"/>
      <c r="I78" s="324"/>
      <c r="J78" s="324"/>
      <c r="K78" s="325"/>
      <c r="L78" s="324"/>
      <c r="M78" s="324"/>
      <c r="N78" s="324"/>
      <c r="O78" s="325"/>
      <c r="P78" s="324"/>
      <c r="Q78" s="324"/>
      <c r="R78" s="324"/>
      <c r="S78" s="325"/>
      <c r="T78" s="324"/>
      <c r="U78" s="324"/>
      <c r="V78" s="326"/>
      <c r="W78" s="339" t="str">
        <f>IF(A78="","",SUMIF(SK!B$88:B$163,ROW(),SK!D$88:D$163))</f>
        <v/>
      </c>
      <c r="X78" s="512"/>
      <c r="Y78" s="772" t="str">
        <f>Y36</f>
        <v/>
      </c>
      <c r="Z78" s="513" t="str">
        <f>Z36</f>
        <v/>
      </c>
      <c r="AA78" s="310" t="str">
        <f>IF(Score!T78="", "",Score!T78 )</f>
        <v/>
      </c>
      <c r="AB78" s="310"/>
      <c r="AC78" s="308" t="str">
        <f>IF(Score!U78="", "",Score!U78 )</f>
        <v/>
      </c>
      <c r="AD78" s="324"/>
      <c r="AE78" s="324"/>
      <c r="AF78" s="324"/>
      <c r="AG78" s="325"/>
      <c r="AH78" s="324"/>
      <c r="AI78" s="324"/>
      <c r="AJ78" s="324"/>
      <c r="AK78" s="325"/>
      <c r="AL78" s="324"/>
      <c r="AM78" s="324"/>
      <c r="AN78" s="324"/>
      <c r="AO78" s="325"/>
      <c r="AP78" s="324"/>
      <c r="AQ78" s="324"/>
      <c r="AR78" s="324"/>
      <c r="AS78" s="325"/>
      <c r="AT78" s="324"/>
      <c r="AU78" s="324"/>
      <c r="AV78" s="326"/>
      <c r="AW78" s="339" t="str">
        <f>IF(AA78="","",SUMIF(SK!R$88:R$163,ROW(),SK!T$88:T$163))</f>
        <v/>
      </c>
      <c r="AX78" s="511"/>
      <c r="AY78" s="772" t="str">
        <f>AY36</f>
        <v/>
      </c>
      <c r="AZ78" s="513" t="str">
        <f>AZ36</f>
        <v/>
      </c>
    </row>
    <row r="79" spans="1:52" ht="31.9" customHeight="1" thickBot="1" x14ac:dyDescent="0.25">
      <c r="A79" s="307" t="str">
        <f>IF(Score!A79="", "",Score!A79 )</f>
        <v/>
      </c>
      <c r="B79" s="311"/>
      <c r="C79" s="309" t="str">
        <f>IF(Score!B79="", "",Score!B79 )</f>
        <v/>
      </c>
      <c r="D79" s="324"/>
      <c r="E79" s="324"/>
      <c r="F79" s="324"/>
      <c r="G79" s="327"/>
      <c r="H79" s="324"/>
      <c r="I79" s="324"/>
      <c r="J79" s="324"/>
      <c r="K79" s="327"/>
      <c r="L79" s="324"/>
      <c r="M79" s="324"/>
      <c r="N79" s="324"/>
      <c r="O79" s="327"/>
      <c r="P79" s="324"/>
      <c r="Q79" s="324"/>
      <c r="R79" s="324"/>
      <c r="S79" s="327"/>
      <c r="T79" s="324"/>
      <c r="U79" s="324"/>
      <c r="V79" s="326"/>
      <c r="W79" s="339" t="str">
        <f>IF(A79="","",SUMIF(SK!B$88:B$163,ROW(),SK!D$88:D$163))</f>
        <v/>
      </c>
      <c r="X79" s="510"/>
      <c r="Y79" s="516"/>
      <c r="Z79" s="513"/>
      <c r="AA79" s="311" t="str">
        <f>IF(Score!T79="", "",Score!T79 )</f>
        <v/>
      </c>
      <c r="AB79" s="311"/>
      <c r="AC79" s="309" t="str">
        <f>IF(Score!U79="", "",Score!U79 )</f>
        <v/>
      </c>
      <c r="AD79" s="324"/>
      <c r="AE79" s="324"/>
      <c r="AF79" s="324"/>
      <c r="AG79" s="327"/>
      <c r="AH79" s="324"/>
      <c r="AI79" s="324"/>
      <c r="AJ79" s="324"/>
      <c r="AK79" s="327"/>
      <c r="AL79" s="324"/>
      <c r="AM79" s="324"/>
      <c r="AN79" s="324"/>
      <c r="AO79" s="327"/>
      <c r="AP79" s="324"/>
      <c r="AQ79" s="324"/>
      <c r="AR79" s="324"/>
      <c r="AS79" s="327"/>
      <c r="AT79" s="324"/>
      <c r="AU79" s="324"/>
      <c r="AV79" s="326"/>
      <c r="AW79" s="339" t="str">
        <f>IF(AA79="","",SUMIF(SK!R$88:R$163,ROW(),SK!T$88:T$163))</f>
        <v/>
      </c>
      <c r="AX79" s="510"/>
      <c r="AY79" s="516"/>
      <c r="AZ79" s="513"/>
    </row>
    <row r="80" spans="1:52" ht="31.9" customHeight="1" thickBot="1" x14ac:dyDescent="0.25">
      <c r="A80" s="306" t="str">
        <f>IF(Score!A80="", "",Score!A80 )</f>
        <v/>
      </c>
      <c r="B80" s="310"/>
      <c r="C80" s="308" t="str">
        <f>IF(Score!B80="", "",Score!B80 )</f>
        <v/>
      </c>
      <c r="D80" s="324"/>
      <c r="E80" s="324"/>
      <c r="F80" s="324"/>
      <c r="G80" s="325"/>
      <c r="H80" s="324"/>
      <c r="I80" s="324"/>
      <c r="J80" s="324"/>
      <c r="K80" s="325"/>
      <c r="L80" s="324"/>
      <c r="M80" s="324"/>
      <c r="N80" s="324"/>
      <c r="O80" s="325"/>
      <c r="P80" s="324"/>
      <c r="Q80" s="324"/>
      <c r="R80" s="324"/>
      <c r="S80" s="325"/>
      <c r="T80" s="324"/>
      <c r="U80" s="324"/>
      <c r="V80" s="326"/>
      <c r="W80" s="339" t="str">
        <f>IF(A80="","",SUMIF(SK!B$88:B$163,ROW(),SK!D$88:D$163))</f>
        <v/>
      </c>
      <c r="X80" s="303"/>
      <c r="Y80" s="772" t="str">
        <f>Y38</f>
        <v/>
      </c>
      <c r="Z80" s="513" t="str">
        <f>Z38</f>
        <v/>
      </c>
      <c r="AA80" s="310" t="str">
        <f>IF(Score!T80="", "",Score!T80 )</f>
        <v/>
      </c>
      <c r="AB80" s="310"/>
      <c r="AC80" s="308" t="str">
        <f>IF(Score!U80="", "",Score!U80 )</f>
        <v/>
      </c>
      <c r="AD80" s="324"/>
      <c r="AE80" s="324"/>
      <c r="AF80" s="324"/>
      <c r="AG80" s="325"/>
      <c r="AH80" s="324"/>
      <c r="AI80" s="324"/>
      <c r="AJ80" s="324"/>
      <c r="AK80" s="325"/>
      <c r="AL80" s="324"/>
      <c r="AM80" s="324"/>
      <c r="AN80" s="324"/>
      <c r="AO80" s="325"/>
      <c r="AP80" s="324"/>
      <c r="AQ80" s="324"/>
      <c r="AR80" s="324"/>
      <c r="AS80" s="325"/>
      <c r="AT80" s="324"/>
      <c r="AU80" s="324"/>
      <c r="AV80" s="326"/>
      <c r="AW80" s="339" t="str">
        <f>IF(AA80="","",SUMIF(SK!R$88:R$163,ROW(),SK!T$88:T$163))</f>
        <v/>
      </c>
      <c r="AX80" s="303"/>
      <c r="AY80" s="772" t="str">
        <f>AY38</f>
        <v/>
      </c>
      <c r="AZ80" s="513" t="str">
        <f>AZ38</f>
        <v/>
      </c>
    </row>
    <row r="81" spans="1:52" ht="31.9" customHeight="1" thickBot="1" x14ac:dyDescent="0.25">
      <c r="A81" s="307" t="str">
        <f>IF(Score!A81="", "",Score!A81 )</f>
        <v/>
      </c>
      <c r="B81" s="311"/>
      <c r="C81" s="309" t="str">
        <f>IF(Score!B81="", "",Score!B81 )</f>
        <v/>
      </c>
      <c r="D81" s="324"/>
      <c r="E81" s="324"/>
      <c r="F81" s="324"/>
      <c r="G81" s="327"/>
      <c r="H81" s="324"/>
      <c r="I81" s="324"/>
      <c r="J81" s="324"/>
      <c r="K81" s="327"/>
      <c r="L81" s="324"/>
      <c r="M81" s="324"/>
      <c r="N81" s="324"/>
      <c r="O81" s="327"/>
      <c r="P81" s="324"/>
      <c r="Q81" s="324"/>
      <c r="R81" s="324"/>
      <c r="S81" s="327"/>
      <c r="T81" s="324"/>
      <c r="U81" s="324"/>
      <c r="V81" s="326"/>
      <c r="W81" s="339" t="str">
        <f>IF(A81="","",SUMIF(SK!B$88:B$163,ROW(),SK!D$88:D$163))</f>
        <v/>
      </c>
      <c r="X81" s="303"/>
      <c r="Y81" s="516"/>
      <c r="Z81" s="513"/>
      <c r="AA81" s="311" t="str">
        <f>IF(Score!T81="", "",Score!T81 )</f>
        <v/>
      </c>
      <c r="AB81" s="311"/>
      <c r="AC81" s="309" t="str">
        <f>IF(Score!U81="", "",Score!U81 )</f>
        <v/>
      </c>
      <c r="AD81" s="324"/>
      <c r="AE81" s="324"/>
      <c r="AF81" s="324"/>
      <c r="AG81" s="327"/>
      <c r="AH81" s="324"/>
      <c r="AI81" s="324"/>
      <c r="AJ81" s="324"/>
      <c r="AK81" s="327"/>
      <c r="AL81" s="324"/>
      <c r="AM81" s="324"/>
      <c r="AN81" s="324"/>
      <c r="AO81" s="327"/>
      <c r="AP81" s="324"/>
      <c r="AQ81" s="324"/>
      <c r="AR81" s="324"/>
      <c r="AS81" s="327"/>
      <c r="AT81" s="324"/>
      <c r="AU81" s="324"/>
      <c r="AV81" s="326"/>
      <c r="AW81" s="339" t="str">
        <f>IF(AA81="","",SUMIF(SK!R$88:R$163,ROW(),SK!T$88:T$163))</f>
        <v/>
      </c>
      <c r="AX81" s="303"/>
      <c r="AY81" s="516"/>
      <c r="AZ81" s="513"/>
    </row>
    <row r="82" spans="1:52" ht="31.9" customHeight="1" thickBot="1" x14ac:dyDescent="0.25">
      <c r="A82" s="306" t="str">
        <f>IF(Score!A82="", "",Score!A82 )</f>
        <v/>
      </c>
      <c r="B82" s="310"/>
      <c r="C82" s="308" t="str">
        <f>IF(Score!B82="", "",Score!B82 )</f>
        <v/>
      </c>
      <c r="D82" s="324"/>
      <c r="E82" s="324"/>
      <c r="F82" s="324"/>
      <c r="G82" s="325"/>
      <c r="H82" s="324"/>
      <c r="I82" s="324"/>
      <c r="J82" s="324"/>
      <c r="K82" s="325"/>
      <c r="L82" s="324"/>
      <c r="M82" s="324"/>
      <c r="N82" s="324"/>
      <c r="O82" s="325"/>
      <c r="P82" s="324"/>
      <c r="Q82" s="324"/>
      <c r="R82" s="324"/>
      <c r="S82" s="325"/>
      <c r="T82" s="324"/>
      <c r="U82" s="324"/>
      <c r="V82" s="326"/>
      <c r="W82" s="339" t="str">
        <f>IF(A82="","",SUMIF(SK!B$88:B$163,ROW(),SK!D$88:D$163))</f>
        <v/>
      </c>
      <c r="X82" s="305"/>
      <c r="Y82" s="772" t="str">
        <f>Y40</f>
        <v/>
      </c>
      <c r="Z82" s="513" t="str">
        <f>Z40</f>
        <v/>
      </c>
      <c r="AA82" s="310" t="str">
        <f>IF(Score!T82="", "",Score!T82 )</f>
        <v/>
      </c>
      <c r="AB82" s="310"/>
      <c r="AC82" s="308" t="str">
        <f>IF(Score!U82="", "",Score!U82 )</f>
        <v/>
      </c>
      <c r="AD82" s="324"/>
      <c r="AE82" s="324"/>
      <c r="AF82" s="324"/>
      <c r="AG82" s="325"/>
      <c r="AH82" s="324"/>
      <c r="AI82" s="324"/>
      <c r="AJ82" s="324"/>
      <c r="AK82" s="325"/>
      <c r="AL82" s="324"/>
      <c r="AM82" s="324"/>
      <c r="AN82" s="324"/>
      <c r="AO82" s="325"/>
      <c r="AP82" s="324"/>
      <c r="AQ82" s="324"/>
      <c r="AR82" s="324"/>
      <c r="AS82" s="325"/>
      <c r="AT82" s="324"/>
      <c r="AU82" s="324"/>
      <c r="AV82" s="326"/>
      <c r="AW82" s="339" t="str">
        <f>IF(AA82="","",SUMIF(SK!R$88:R$163,ROW(),SK!T$88:T$163))</f>
        <v/>
      </c>
      <c r="AX82" s="305"/>
      <c r="AY82" s="772" t="str">
        <f>AY40</f>
        <v/>
      </c>
      <c r="AZ82" s="513" t="str">
        <f>AZ40</f>
        <v/>
      </c>
    </row>
    <row r="83" spans="1:52" ht="31.9" customHeight="1" thickBot="1" x14ac:dyDescent="0.25">
      <c r="A83" s="307" t="str">
        <f>IF(Score!A83="", "",Score!A83 )</f>
        <v/>
      </c>
      <c r="B83" s="311"/>
      <c r="C83" s="309" t="str">
        <f>IF(Score!B83="", "",Score!B83 )</f>
        <v/>
      </c>
      <c r="D83" s="324"/>
      <c r="E83" s="324"/>
      <c r="F83" s="324"/>
      <c r="G83" s="327"/>
      <c r="H83" s="324"/>
      <c r="I83" s="324"/>
      <c r="J83" s="324"/>
      <c r="K83" s="327"/>
      <c r="L83" s="324"/>
      <c r="M83" s="324"/>
      <c r="N83" s="324"/>
      <c r="O83" s="327"/>
      <c r="P83" s="324"/>
      <c r="Q83" s="324"/>
      <c r="R83" s="324"/>
      <c r="S83" s="327"/>
      <c r="T83" s="324"/>
      <c r="U83" s="324"/>
      <c r="V83" s="326"/>
      <c r="W83" s="339" t="str">
        <f>IF(A83="","",SUMIF(SK!B$88:B$163,ROW(),SK!D$88:D$163))</f>
        <v/>
      </c>
      <c r="X83" s="304"/>
      <c r="Y83" s="772" t="str">
        <f>Y41</f>
        <v/>
      </c>
      <c r="Z83" s="513" t="str">
        <f>Z41</f>
        <v/>
      </c>
      <c r="AA83" s="311" t="str">
        <f>IF(Score!T83="", "",Score!T83 )</f>
        <v/>
      </c>
      <c r="AB83" s="311"/>
      <c r="AC83" s="309" t="str">
        <f>IF(Score!U83="", "",Score!U83 )</f>
        <v/>
      </c>
      <c r="AD83" s="324"/>
      <c r="AE83" s="324"/>
      <c r="AF83" s="324"/>
      <c r="AG83" s="327"/>
      <c r="AH83" s="324"/>
      <c r="AI83" s="324"/>
      <c r="AJ83" s="324"/>
      <c r="AK83" s="327"/>
      <c r="AL83" s="324"/>
      <c r="AM83" s="324"/>
      <c r="AN83" s="324"/>
      <c r="AO83" s="327"/>
      <c r="AP83" s="324"/>
      <c r="AQ83" s="324"/>
      <c r="AR83" s="324"/>
      <c r="AS83" s="327"/>
      <c r="AT83" s="324"/>
      <c r="AU83" s="324"/>
      <c r="AV83" s="326"/>
      <c r="AW83" s="339" t="str">
        <f>IF(AA83="","",SUMIF(SK!R$88:R$163,ROW(),SK!T$88:T$163))</f>
        <v/>
      </c>
      <c r="AX83" s="304"/>
      <c r="AY83" s="772" t="str">
        <f>AY41</f>
        <v/>
      </c>
      <c r="AZ83" s="514" t="str">
        <f>AZ41</f>
        <v/>
      </c>
    </row>
    <row r="84" spans="1:52" s="323" customFormat="1" ht="15" customHeight="1" x14ac:dyDescent="0.25">
      <c r="A84" s="1212" t="s">
        <v>521</v>
      </c>
      <c r="B84" s="1213"/>
      <c r="C84" s="1213"/>
      <c r="D84" s="1213"/>
      <c r="E84" s="1213"/>
      <c r="F84" s="1213"/>
      <c r="G84" s="1213"/>
      <c r="H84" s="1213"/>
      <c r="I84" s="1213"/>
      <c r="J84" s="1213"/>
      <c r="K84" s="1213"/>
      <c r="L84" s="1213"/>
      <c r="M84" s="1213"/>
      <c r="N84" s="1213"/>
      <c r="O84" s="1213"/>
      <c r="P84" s="1213"/>
      <c r="Q84" s="1213"/>
      <c r="R84" s="1213"/>
      <c r="S84" s="1213"/>
      <c r="T84" s="1213"/>
      <c r="U84" s="1213"/>
      <c r="V84" s="1213"/>
      <c r="W84" s="1213"/>
      <c r="X84" s="1213"/>
      <c r="Y84" s="1213"/>
      <c r="Z84" s="1213"/>
      <c r="AA84" s="1212" t="s">
        <v>521</v>
      </c>
      <c r="AB84" s="1213"/>
      <c r="AC84" s="1213"/>
      <c r="AD84" s="1213"/>
      <c r="AE84" s="1213"/>
      <c r="AF84" s="1213"/>
      <c r="AG84" s="1213"/>
      <c r="AH84" s="1213"/>
      <c r="AI84" s="1213"/>
      <c r="AJ84" s="1213"/>
      <c r="AK84" s="1213"/>
      <c r="AL84" s="1213"/>
      <c r="AM84" s="1213"/>
      <c r="AN84" s="1213"/>
      <c r="AO84" s="1213"/>
      <c r="AP84" s="1213"/>
      <c r="AQ84" s="1213"/>
      <c r="AR84" s="1213"/>
      <c r="AS84" s="1213"/>
      <c r="AT84" s="1213"/>
      <c r="AU84" s="1213"/>
      <c r="AV84" s="1213"/>
      <c r="AW84" s="1213"/>
      <c r="AX84" s="1213"/>
      <c r="AY84" s="1213"/>
      <c r="AZ84" s="1213"/>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7" type="noConversion"/>
  <printOptions horizontalCentered="1"/>
  <pageMargins left="0.5" right="0.5" top="0.79" bottom="0.3" header="0.42" footer="0.15"/>
  <pageSetup scale="52" firstPageNumber="0" fitToWidth="0" fitToHeight="0" orientation="portrait" horizontalDpi="4294967294" verticalDpi="4294967294" r:id="rId1"/>
  <headerFooter alignWithMargins="0">
    <oddHeader><![CDATA[&L&"Calibri,Regular"&34&K000000&G&A&R&"Calibri,Regular"&K000000
‘&A’ revision 240411
StatsBook © 2008–2024 WFTDA]]></oddHeader>
  </headerFooter>
  <rowBreaks count="2" manualBreakCount="2">
    <brk id="42" max="49" man="1"/>
    <brk id="84" max="49" man="1"/>
  </rowBreaks>
  <colBreaks count="1" manualBreakCount="1">
    <brk id="26" max="83" man="1"/>
  </colBreaks>
  <drawing r:id="rId5"/>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Normal="100" zoomScaleSheetLayoutView="100" workbookViewId="0">
      <selection sqref="A1:J2"/>
    </sheetView>
  </sheetViews>
  <sheetFormatPr defaultColWidth="8.7109375" defaultRowHeight="12.75" x14ac:dyDescent="0.2"/>
  <cols>
    <col min="1" max="1" customWidth="true" style="551" width="6.140625" collapsed="false"/>
    <col min="2" max="2" customWidth="true" style="860" width="5.42578125" collapsed="false"/>
    <col min="3" max="3" customWidth="true" style="551" width="11.7109375" collapsed="false"/>
    <col min="4" max="6" customWidth="true" style="551" width="3.42578125" collapsed="false"/>
    <col min="7" max="7" customWidth="true" style="551" width="11.7109375" collapsed="false"/>
    <col min="8" max="10" customWidth="true" style="551" width="3.42578125" collapsed="false"/>
    <col min="11" max="11" customWidth="true" style="551" width="11.7109375" collapsed="false"/>
    <col min="12" max="14" customWidth="true" style="551" width="3.42578125" collapsed="false"/>
    <col min="15" max="15" customWidth="true" style="551" width="11.7109375" collapsed="false"/>
    <col min="16" max="18" customWidth="true" style="551" width="3.42578125" collapsed="false"/>
    <col min="19" max="19" customWidth="true" style="551" width="11.7109375" collapsed="false"/>
    <col min="20" max="22" customWidth="true" style="551" width="3.42578125" collapsed="false"/>
    <col min="23" max="23" customWidth="true" style="551" width="1.42578125" collapsed="false"/>
    <col min="24" max="24" customWidth="true" style="452" width="7.28515625" collapsed="false"/>
    <col min="25" max="33" customWidth="true" style="452" width="5.140625" collapsed="false"/>
    <col min="34" max="34" customWidth="true" style="452" width="2.0" collapsed="false"/>
    <col min="35" max="35" customWidth="true" style="551" width="5.140625" collapsed="false"/>
    <col min="36" max="36" customWidth="true" style="551" width="6.140625" collapsed="false"/>
    <col min="37" max="37" customWidth="true" style="860" width="5.42578125" collapsed="false"/>
    <col min="38" max="38" customWidth="true" style="551" width="11.7109375" collapsed="false"/>
    <col min="39" max="41" customWidth="true" style="551" width="3.42578125" collapsed="false"/>
    <col min="42" max="42" customWidth="true" style="551" width="11.7109375" collapsed="false"/>
    <col min="43" max="45" customWidth="true" style="551" width="3.42578125" collapsed="false"/>
    <col min="46" max="46" customWidth="true" style="551" width="11.7109375" collapsed="false"/>
    <col min="47" max="49" customWidth="true" style="551" width="3.42578125" collapsed="false"/>
    <col min="50" max="50" customWidth="true" style="551" width="11.7109375" collapsed="false"/>
    <col min="51" max="53" customWidth="true" style="551" width="3.42578125" collapsed="false"/>
    <col min="54" max="54" customWidth="true" style="551" width="11.7109375" collapsed="false"/>
    <col min="55" max="57" customWidth="true" style="551" width="3.42578125" collapsed="false"/>
    <col min="58" max="58" customWidth="true" style="551" width="1.42578125" collapsed="false"/>
    <col min="59" max="59" customWidth="true" style="452" width="7.28515625" collapsed="false"/>
    <col min="60" max="68" customWidth="true" style="452" width="5.140625" collapsed="false"/>
    <col min="69" max="69" customWidth="true" style="452" width="2.0" collapsed="false"/>
    <col min="70" max="70" customWidth="true" style="551" width="5.140625" collapsed="false"/>
    <col min="71" max="16384" style="551" width="8.7109375" collapsed="false"/>
  </cols>
  <sheetData>
    <row r="1" spans="1:70" s="298" customFormat="1" ht="28.9" customHeight="1" x14ac:dyDescent="0.35">
      <c r="A1" s="1225" t="str">
        <f>Score!$A$1</f>
        <v>Home Team</v>
      </c>
      <c r="B1" s="1225"/>
      <c r="C1" s="1225"/>
      <c r="D1" s="1225"/>
      <c r="E1" s="1225"/>
      <c r="F1" s="1225"/>
      <c r="G1" s="1225"/>
      <c r="H1" s="1225"/>
      <c r="I1" s="1225"/>
      <c r="J1" s="1225"/>
      <c r="K1" s="1220" t="str">
        <f>IF(ISBLANK(IGRF!$B$12), "", IGRF!$B$12)</f>
        <v/>
      </c>
      <c r="L1" s="1220"/>
      <c r="M1" s="1220"/>
      <c r="N1" s="1220"/>
      <c r="O1" s="1220"/>
      <c r="P1" s="1227" t="str">
        <f>IF(ISBLANK(IGRF!$B$7), "", IGRF!$B$7)</f>
        <v/>
      </c>
      <c r="Q1" s="1227"/>
      <c r="R1" s="1227"/>
      <c r="S1" s="1227"/>
      <c r="T1" s="1228"/>
      <c r="U1" s="1228"/>
      <c r="V1" s="1228"/>
      <c r="W1" s="1228"/>
      <c r="X1" s="1228"/>
      <c r="Y1" s="1228"/>
      <c r="Z1" s="1228"/>
      <c r="AA1" s="1228"/>
      <c r="AB1" s="1228"/>
      <c r="AC1" s="1228"/>
      <c r="AD1" s="1228"/>
      <c r="AE1" s="1228"/>
      <c r="AF1" s="1229">
        <v>1</v>
      </c>
      <c r="AG1" s="1229"/>
      <c r="AH1" s="1229"/>
      <c r="AI1" s="1229"/>
      <c r="AJ1" s="1225" t="str">
        <f>Score!T1</f>
        <v>Away Team</v>
      </c>
      <c r="AK1" s="1225"/>
      <c r="AL1" s="1225"/>
      <c r="AM1" s="1225"/>
      <c r="AN1" s="1225"/>
      <c r="AO1" s="1225"/>
      <c r="AP1" s="1225"/>
      <c r="AQ1" s="1225"/>
      <c r="AR1" s="1225"/>
      <c r="AS1" s="1225"/>
      <c r="AT1" s="1220" t="str">
        <f>IF(ISBLANK(IGRF!$I$12), "", IGRF!$I$12)</f>
        <v/>
      </c>
      <c r="AU1" s="1220"/>
      <c r="AV1" s="1220"/>
      <c r="AW1" s="1220"/>
      <c r="AX1" s="1220"/>
      <c r="AY1" s="1227" t="str">
        <f>P1</f>
        <v/>
      </c>
      <c r="AZ1" s="1227"/>
      <c r="BA1" s="1227"/>
      <c r="BB1" s="1227"/>
      <c r="BC1" s="1228"/>
      <c r="BD1" s="1228"/>
      <c r="BE1" s="1228"/>
      <c r="BF1" s="1228"/>
      <c r="BG1" s="1228"/>
      <c r="BH1" s="1228"/>
      <c r="BI1" s="1228"/>
      <c r="BJ1" s="1228"/>
      <c r="BK1" s="1228"/>
      <c r="BL1" s="1228"/>
      <c r="BM1" s="1228"/>
      <c r="BN1" s="1228"/>
      <c r="BO1" s="1229">
        <v>1</v>
      </c>
      <c r="BP1" s="1229"/>
      <c r="BQ1" s="1229"/>
      <c r="BR1" s="1229"/>
    </row>
    <row r="2" spans="1:70" s="298" customFormat="1" ht="15" customHeight="1" thickBot="1" x14ac:dyDescent="0.25">
      <c r="A2" s="1226"/>
      <c r="B2" s="1226"/>
      <c r="C2" s="1226"/>
      <c r="D2" s="1226"/>
      <c r="E2" s="1226"/>
      <c r="F2" s="1226"/>
      <c r="G2" s="1226"/>
      <c r="H2" s="1226"/>
      <c r="I2" s="1226"/>
      <c r="J2" s="1226"/>
      <c r="K2" s="1209" t="s">
        <v>187</v>
      </c>
      <c r="L2" s="1209"/>
      <c r="M2" s="1209"/>
      <c r="N2" s="1209"/>
      <c r="O2" s="1209"/>
      <c r="P2" s="1230" t="s">
        <v>190</v>
      </c>
      <c r="Q2" s="1230"/>
      <c r="R2" s="1230"/>
      <c r="S2" s="1230"/>
      <c r="T2" s="1209" t="s">
        <v>479</v>
      </c>
      <c r="U2" s="1209"/>
      <c r="V2" s="1209"/>
      <c r="W2" s="1209"/>
      <c r="X2" s="1209"/>
      <c r="Y2" s="1209"/>
      <c r="Z2" s="1209"/>
      <c r="AA2" s="1209"/>
      <c r="AB2" s="1209"/>
      <c r="AC2" s="1209"/>
      <c r="AD2" s="1209"/>
      <c r="AE2" s="1209"/>
      <c r="AF2" s="1224" t="str">
        <f>IF(ISBLANK(IGRF!$L$3), "", "GAME " &amp; IGRF!$L$3)</f>
        <v/>
      </c>
      <c r="AG2" s="1224"/>
      <c r="AH2" s="1224"/>
      <c r="AI2" s="1224"/>
      <c r="AJ2" s="1226"/>
      <c r="AK2" s="1226"/>
      <c r="AL2" s="1226"/>
      <c r="AM2" s="1226"/>
      <c r="AN2" s="1226"/>
      <c r="AO2" s="1226"/>
      <c r="AP2" s="1226"/>
      <c r="AQ2" s="1226"/>
      <c r="AR2" s="1226"/>
      <c r="AS2" s="1226"/>
      <c r="AT2" s="1218" t="s">
        <v>187</v>
      </c>
      <c r="AU2" s="1218"/>
      <c r="AV2" s="1218"/>
      <c r="AW2" s="1218"/>
      <c r="AX2" s="1218"/>
      <c r="AY2" s="1235" t="s">
        <v>190</v>
      </c>
      <c r="AZ2" s="1235"/>
      <c r="BA2" s="1235"/>
      <c r="BB2" s="1235"/>
      <c r="BC2" s="1218" t="s">
        <v>479</v>
      </c>
      <c r="BD2" s="1218"/>
      <c r="BE2" s="1218"/>
      <c r="BF2" s="1218"/>
      <c r="BG2" s="1218"/>
      <c r="BH2" s="1218"/>
      <c r="BI2" s="1218"/>
      <c r="BJ2" s="1218"/>
      <c r="BK2" s="1218"/>
      <c r="BL2" s="1218"/>
      <c r="BM2" s="1218"/>
      <c r="BN2" s="1218"/>
      <c r="BO2" s="1224" t="str">
        <f>AF2</f>
        <v/>
      </c>
      <c r="BP2" s="1224"/>
      <c r="BQ2" s="1224"/>
      <c r="BR2" s="1224"/>
    </row>
    <row r="3" spans="1:70" s="299" customFormat="1" ht="13.5" customHeight="1" thickBot="1" x14ac:dyDescent="0.25">
      <c r="A3" s="800" t="s">
        <v>265</v>
      </c>
      <c r="B3" s="801" t="s">
        <v>188</v>
      </c>
      <c r="C3" s="802" t="s">
        <v>106</v>
      </c>
      <c r="D3" s="1221" t="s">
        <v>266</v>
      </c>
      <c r="E3" s="1221"/>
      <c r="F3" s="1221"/>
      <c r="G3" s="802" t="s">
        <v>104</v>
      </c>
      <c r="H3" s="1221" t="s">
        <v>266</v>
      </c>
      <c r="I3" s="1221"/>
      <c r="J3" s="1221"/>
      <c r="K3" s="802" t="s">
        <v>105</v>
      </c>
      <c r="L3" s="1221" t="s">
        <v>266</v>
      </c>
      <c r="M3" s="1221"/>
      <c r="N3" s="1221"/>
      <c r="O3" s="802" t="s">
        <v>105</v>
      </c>
      <c r="P3" s="1221" t="s">
        <v>266</v>
      </c>
      <c r="Q3" s="1221"/>
      <c r="R3" s="1221"/>
      <c r="S3" s="802" t="s">
        <v>105</v>
      </c>
      <c r="T3" s="1221" t="s">
        <v>266</v>
      </c>
      <c r="U3" s="1221"/>
      <c r="V3" s="1221"/>
      <c r="W3" s="803"/>
      <c r="X3" s="804" t="s">
        <v>480</v>
      </c>
      <c r="Y3" s="1222" t="s">
        <v>164</v>
      </c>
      <c r="Z3" s="1222"/>
      <c r="AA3" s="1222"/>
      <c r="AB3" s="1222"/>
      <c r="AC3" s="1222"/>
      <c r="AD3" s="1222"/>
      <c r="AE3" s="1222"/>
      <c r="AF3" s="1222"/>
      <c r="AG3" s="1222"/>
      <c r="AH3" s="1222" t="s">
        <v>112</v>
      </c>
      <c r="AI3" s="1223"/>
      <c r="AJ3" s="800" t="s">
        <v>265</v>
      </c>
      <c r="AK3" s="801" t="s">
        <v>188</v>
      </c>
      <c r="AL3" s="802" t="s">
        <v>106</v>
      </c>
      <c r="AM3" s="1221" t="s">
        <v>266</v>
      </c>
      <c r="AN3" s="1221"/>
      <c r="AO3" s="1221"/>
      <c r="AP3" s="802" t="s">
        <v>104</v>
      </c>
      <c r="AQ3" s="1221" t="s">
        <v>266</v>
      </c>
      <c r="AR3" s="1221"/>
      <c r="AS3" s="1221"/>
      <c r="AT3" s="802" t="s">
        <v>105</v>
      </c>
      <c r="AU3" s="1221" t="s">
        <v>266</v>
      </c>
      <c r="AV3" s="1221"/>
      <c r="AW3" s="1221"/>
      <c r="AX3" s="802" t="s">
        <v>105</v>
      </c>
      <c r="AY3" s="1221" t="s">
        <v>266</v>
      </c>
      <c r="AZ3" s="1221"/>
      <c r="BA3" s="1221"/>
      <c r="BB3" s="802" t="s">
        <v>105</v>
      </c>
      <c r="BC3" s="1221" t="s">
        <v>266</v>
      </c>
      <c r="BD3" s="1221"/>
      <c r="BE3" s="1221"/>
      <c r="BF3" s="803"/>
      <c r="BG3" s="803" t="s">
        <v>480</v>
      </c>
      <c r="BH3" s="1222" t="s">
        <v>164</v>
      </c>
      <c r="BI3" s="1222"/>
      <c r="BJ3" s="1222"/>
      <c r="BK3" s="1222"/>
      <c r="BL3" s="1222"/>
      <c r="BM3" s="1222"/>
      <c r="BN3" s="1222"/>
      <c r="BO3" s="1222"/>
      <c r="BP3" s="1222"/>
      <c r="BQ3" s="1222" t="s">
        <v>112</v>
      </c>
      <c r="BR3" s="1223"/>
    </row>
    <row r="4" spans="1:70" ht="31.9" customHeight="1" thickTop="1" thickBot="1" x14ac:dyDescent="0.25">
      <c r="A4" s="805"/>
      <c r="B4" s="806"/>
      <c r="C4" s="807"/>
      <c r="D4" s="808"/>
      <c r="E4" s="808"/>
      <c r="F4" s="808"/>
      <c r="G4" s="809"/>
      <c r="H4" s="808"/>
      <c r="I4" s="808"/>
      <c r="J4" s="808"/>
      <c r="K4" s="809"/>
      <c r="L4" s="808"/>
      <c r="M4" s="808"/>
      <c r="N4" s="808"/>
      <c r="O4" s="809"/>
      <c r="P4" s="808"/>
      <c r="Q4" s="808"/>
      <c r="R4" s="808"/>
      <c r="S4" s="809"/>
      <c r="T4" s="808"/>
      <c r="U4" s="808"/>
      <c r="V4" s="810"/>
      <c r="W4" s="17"/>
      <c r="X4" s="1231" t="str">
        <f>IF(IGRF!B14="","",IGRF!B14)</f>
        <v/>
      </c>
      <c r="Y4" s="811"/>
      <c r="Z4" s="812"/>
      <c r="AA4" s="813"/>
      <c r="AB4" s="813"/>
      <c r="AC4" s="813"/>
      <c r="AD4" s="814"/>
      <c r="AE4" s="815"/>
      <c r="AF4" s="816"/>
      <c r="AG4" s="817"/>
      <c r="AH4" s="818"/>
      <c r="AI4" s="819"/>
      <c r="AJ4" s="805"/>
      <c r="AK4" s="806"/>
      <c r="AL4" s="807"/>
      <c r="AM4" s="808"/>
      <c r="AN4" s="808"/>
      <c r="AO4" s="808"/>
      <c r="AP4" s="809"/>
      <c r="AQ4" s="808"/>
      <c r="AR4" s="808"/>
      <c r="AS4" s="808"/>
      <c r="AT4" s="809"/>
      <c r="AU4" s="808"/>
      <c r="AV4" s="808"/>
      <c r="AW4" s="808"/>
      <c r="AX4" s="809"/>
      <c r="AY4" s="808"/>
      <c r="AZ4" s="808"/>
      <c r="BA4" s="808"/>
      <c r="BB4" s="809"/>
      <c r="BC4" s="808"/>
      <c r="BD4" s="808"/>
      <c r="BE4" s="810"/>
      <c r="BF4" s="17"/>
      <c r="BG4" s="1231" t="str">
        <f>IF(IGRF!I14="","",IGRF!I14)</f>
        <v/>
      </c>
      <c r="BH4" s="811"/>
      <c r="BI4" s="812"/>
      <c r="BJ4" s="813"/>
      <c r="BK4" s="813"/>
      <c r="BL4" s="813"/>
      <c r="BM4" s="814"/>
      <c r="BN4" s="815"/>
      <c r="BO4" s="816"/>
      <c r="BP4" s="817"/>
      <c r="BQ4" s="818"/>
      <c r="BR4" s="819"/>
    </row>
    <row r="5" spans="1:70" ht="31.9" customHeight="1" thickBot="1" x14ac:dyDescent="0.25">
      <c r="A5" s="820"/>
      <c r="B5" s="821"/>
      <c r="C5" s="822"/>
      <c r="D5" s="808"/>
      <c r="E5" s="808"/>
      <c r="F5" s="808"/>
      <c r="G5" s="823"/>
      <c r="H5" s="808"/>
      <c r="I5" s="808"/>
      <c r="J5" s="808"/>
      <c r="K5" s="823"/>
      <c r="L5" s="808"/>
      <c r="M5" s="808"/>
      <c r="N5" s="808"/>
      <c r="O5" s="823"/>
      <c r="P5" s="808"/>
      <c r="Q5" s="808"/>
      <c r="R5" s="808"/>
      <c r="S5" s="823"/>
      <c r="T5" s="808"/>
      <c r="U5" s="808"/>
      <c r="V5" s="810"/>
      <c r="W5" s="17"/>
      <c r="X5" s="1232"/>
      <c r="Y5" s="824"/>
      <c r="Z5" s="825"/>
      <c r="AA5" s="826"/>
      <c r="AB5" s="826"/>
      <c r="AC5" s="826"/>
      <c r="AD5" s="827"/>
      <c r="AE5" s="828"/>
      <c r="AF5" s="829"/>
      <c r="AG5" s="830"/>
      <c r="AH5" s="831"/>
      <c r="AI5" s="832"/>
      <c r="AJ5" s="820"/>
      <c r="AK5" s="821"/>
      <c r="AL5" s="822"/>
      <c r="AM5" s="808"/>
      <c r="AN5" s="808"/>
      <c r="AO5" s="808"/>
      <c r="AP5" s="823"/>
      <c r="AQ5" s="808"/>
      <c r="AR5" s="808"/>
      <c r="AS5" s="808"/>
      <c r="AT5" s="823"/>
      <c r="AU5" s="808"/>
      <c r="AV5" s="808"/>
      <c r="AW5" s="808"/>
      <c r="AX5" s="823"/>
      <c r="AY5" s="808"/>
      <c r="AZ5" s="808"/>
      <c r="BA5" s="808"/>
      <c r="BB5" s="823"/>
      <c r="BC5" s="808"/>
      <c r="BD5" s="808"/>
      <c r="BE5" s="810"/>
      <c r="BF5" s="17"/>
      <c r="BG5" s="1232"/>
      <c r="BH5" s="824"/>
      <c r="BI5" s="825"/>
      <c r="BJ5" s="826"/>
      <c r="BK5" s="826"/>
      <c r="BL5" s="826"/>
      <c r="BM5" s="827"/>
      <c r="BN5" s="828"/>
      <c r="BO5" s="829"/>
      <c r="BP5" s="830"/>
      <c r="BQ5" s="831"/>
      <c r="BR5" s="832"/>
    </row>
    <row r="6" spans="1:70" ht="31.9" customHeight="1" thickTop="1" thickBot="1" x14ac:dyDescent="0.25">
      <c r="A6" s="805"/>
      <c r="B6" s="806"/>
      <c r="C6" s="807"/>
      <c r="D6" s="808"/>
      <c r="E6" s="808"/>
      <c r="F6" s="808"/>
      <c r="G6" s="809"/>
      <c r="H6" s="808"/>
      <c r="I6" s="808"/>
      <c r="J6" s="808"/>
      <c r="K6" s="809"/>
      <c r="L6" s="808"/>
      <c r="M6" s="808"/>
      <c r="N6" s="808"/>
      <c r="O6" s="809"/>
      <c r="P6" s="808"/>
      <c r="Q6" s="808"/>
      <c r="R6" s="808"/>
      <c r="S6" s="809"/>
      <c r="T6" s="808"/>
      <c r="U6" s="808"/>
      <c r="V6" s="810"/>
      <c r="W6" s="17"/>
      <c r="X6" s="1233" t="str">
        <f>IF(IGRF!B15="","",IGRF!B15)</f>
        <v/>
      </c>
      <c r="Y6" s="833"/>
      <c r="Z6" s="834"/>
      <c r="AA6" s="835"/>
      <c r="AB6" s="835"/>
      <c r="AC6" s="835"/>
      <c r="AD6" s="836"/>
      <c r="AE6" s="837"/>
      <c r="AF6" s="838"/>
      <c r="AG6" s="839"/>
      <c r="AH6" s="840"/>
      <c r="AI6" s="819"/>
      <c r="AJ6" s="805"/>
      <c r="AK6" s="806"/>
      <c r="AL6" s="807"/>
      <c r="AM6" s="808"/>
      <c r="AN6" s="808"/>
      <c r="AO6" s="808"/>
      <c r="AP6" s="809"/>
      <c r="AQ6" s="808"/>
      <c r="AR6" s="808"/>
      <c r="AS6" s="808"/>
      <c r="AT6" s="809"/>
      <c r="AU6" s="808"/>
      <c r="AV6" s="808"/>
      <c r="AW6" s="808"/>
      <c r="AX6" s="809"/>
      <c r="AY6" s="808"/>
      <c r="AZ6" s="808"/>
      <c r="BA6" s="808"/>
      <c r="BB6" s="809"/>
      <c r="BC6" s="808"/>
      <c r="BD6" s="808"/>
      <c r="BE6" s="810"/>
      <c r="BF6" s="17"/>
      <c r="BG6" s="1233" t="str">
        <f>IF(IGRF!I15="","",IGRF!I15)</f>
        <v/>
      </c>
      <c r="BH6" s="833"/>
      <c r="BI6" s="834"/>
      <c r="BJ6" s="835"/>
      <c r="BK6" s="835"/>
      <c r="BL6" s="835"/>
      <c r="BM6" s="836"/>
      <c r="BN6" s="837"/>
      <c r="BO6" s="838"/>
      <c r="BP6" s="839"/>
      <c r="BQ6" s="840"/>
      <c r="BR6" s="819"/>
    </row>
    <row r="7" spans="1:70" ht="31.9" customHeight="1" thickBot="1" x14ac:dyDescent="0.25">
      <c r="A7" s="820"/>
      <c r="B7" s="821"/>
      <c r="C7" s="822"/>
      <c r="D7" s="808"/>
      <c r="E7" s="808"/>
      <c r="F7" s="808"/>
      <c r="G7" s="823"/>
      <c r="H7" s="808"/>
      <c r="I7" s="808"/>
      <c r="J7" s="808"/>
      <c r="K7" s="823"/>
      <c r="L7" s="808"/>
      <c r="M7" s="808"/>
      <c r="N7" s="808"/>
      <c r="O7" s="823"/>
      <c r="P7" s="808"/>
      <c r="Q7" s="808"/>
      <c r="R7" s="808"/>
      <c r="S7" s="823"/>
      <c r="T7" s="808"/>
      <c r="U7" s="808"/>
      <c r="V7" s="810"/>
      <c r="W7" s="17"/>
      <c r="X7" s="1234"/>
      <c r="Y7" s="841"/>
      <c r="Z7" s="842"/>
      <c r="AA7" s="843"/>
      <c r="AB7" s="843"/>
      <c r="AC7" s="843"/>
      <c r="AD7" s="844"/>
      <c r="AE7" s="845"/>
      <c r="AF7" s="846"/>
      <c r="AG7" s="847"/>
      <c r="AH7" s="831"/>
      <c r="AI7" s="832"/>
      <c r="AJ7" s="820"/>
      <c r="AK7" s="821"/>
      <c r="AL7" s="822"/>
      <c r="AM7" s="808"/>
      <c r="AN7" s="808"/>
      <c r="AO7" s="808"/>
      <c r="AP7" s="823"/>
      <c r="AQ7" s="808"/>
      <c r="AR7" s="808"/>
      <c r="AS7" s="808"/>
      <c r="AT7" s="823"/>
      <c r="AU7" s="808"/>
      <c r="AV7" s="808"/>
      <c r="AW7" s="808"/>
      <c r="AX7" s="823"/>
      <c r="AY7" s="808"/>
      <c r="AZ7" s="808"/>
      <c r="BA7" s="808"/>
      <c r="BB7" s="823"/>
      <c r="BC7" s="808"/>
      <c r="BD7" s="808"/>
      <c r="BE7" s="810"/>
      <c r="BF7" s="17"/>
      <c r="BG7" s="1234"/>
      <c r="BH7" s="841"/>
      <c r="BI7" s="842"/>
      <c r="BJ7" s="843"/>
      <c r="BK7" s="843"/>
      <c r="BL7" s="843"/>
      <c r="BM7" s="844"/>
      <c r="BN7" s="845"/>
      <c r="BO7" s="846"/>
      <c r="BP7" s="847"/>
      <c r="BQ7" s="831"/>
      <c r="BR7" s="832"/>
    </row>
    <row r="8" spans="1:70" ht="31.9" customHeight="1" thickTop="1" thickBot="1" x14ac:dyDescent="0.25">
      <c r="A8" s="805"/>
      <c r="B8" s="806"/>
      <c r="C8" s="807"/>
      <c r="D8" s="808"/>
      <c r="E8" s="808"/>
      <c r="F8" s="808"/>
      <c r="G8" s="809"/>
      <c r="H8" s="808"/>
      <c r="I8" s="808"/>
      <c r="J8" s="808"/>
      <c r="K8" s="809"/>
      <c r="L8" s="808"/>
      <c r="M8" s="808"/>
      <c r="N8" s="808"/>
      <c r="O8" s="809"/>
      <c r="P8" s="808"/>
      <c r="Q8" s="808"/>
      <c r="R8" s="808"/>
      <c r="S8" s="809"/>
      <c r="T8" s="808"/>
      <c r="U8" s="808"/>
      <c r="V8" s="810"/>
      <c r="W8" s="17"/>
      <c r="X8" s="1231" t="str">
        <f>IF(IGRF!B16="","",IGRF!B16)</f>
        <v/>
      </c>
      <c r="Y8" s="811"/>
      <c r="Z8" s="812"/>
      <c r="AA8" s="813"/>
      <c r="AB8" s="813"/>
      <c r="AC8" s="813"/>
      <c r="AD8" s="814"/>
      <c r="AE8" s="815"/>
      <c r="AF8" s="816"/>
      <c r="AG8" s="817"/>
      <c r="AH8" s="840"/>
      <c r="AI8" s="819"/>
      <c r="AJ8" s="805"/>
      <c r="AK8" s="806"/>
      <c r="AL8" s="807"/>
      <c r="AM8" s="808"/>
      <c r="AN8" s="808"/>
      <c r="AO8" s="808"/>
      <c r="AP8" s="809"/>
      <c r="AQ8" s="808"/>
      <c r="AR8" s="808"/>
      <c r="AS8" s="808"/>
      <c r="AT8" s="809"/>
      <c r="AU8" s="808"/>
      <c r="AV8" s="808"/>
      <c r="AW8" s="808"/>
      <c r="AX8" s="809"/>
      <c r="AY8" s="808"/>
      <c r="AZ8" s="808"/>
      <c r="BA8" s="808"/>
      <c r="BB8" s="809"/>
      <c r="BC8" s="808"/>
      <c r="BD8" s="808"/>
      <c r="BE8" s="810"/>
      <c r="BF8" s="17"/>
      <c r="BG8" s="1231" t="str">
        <f>IF(IGRF!I16="","",IGRF!I16)</f>
        <v/>
      </c>
      <c r="BH8" s="811"/>
      <c r="BI8" s="812"/>
      <c r="BJ8" s="813"/>
      <c r="BK8" s="813"/>
      <c r="BL8" s="813"/>
      <c r="BM8" s="814"/>
      <c r="BN8" s="815"/>
      <c r="BO8" s="816"/>
      <c r="BP8" s="817"/>
      <c r="BQ8" s="840"/>
      <c r="BR8" s="819"/>
    </row>
    <row r="9" spans="1:70" ht="31.9" customHeight="1" thickBot="1" x14ac:dyDescent="0.25">
      <c r="A9" s="820"/>
      <c r="B9" s="821"/>
      <c r="C9" s="822"/>
      <c r="D9" s="808"/>
      <c r="E9" s="808"/>
      <c r="F9" s="808"/>
      <c r="G9" s="823"/>
      <c r="H9" s="808"/>
      <c r="I9" s="808"/>
      <c r="J9" s="808"/>
      <c r="K9" s="823"/>
      <c r="L9" s="808"/>
      <c r="M9" s="808"/>
      <c r="N9" s="808"/>
      <c r="O9" s="823"/>
      <c r="P9" s="808"/>
      <c r="Q9" s="808"/>
      <c r="R9" s="808"/>
      <c r="S9" s="823"/>
      <c r="T9" s="808"/>
      <c r="U9" s="808"/>
      <c r="V9" s="810"/>
      <c r="W9" s="17"/>
      <c r="X9" s="1232"/>
      <c r="Y9" s="824"/>
      <c r="Z9" s="825"/>
      <c r="AA9" s="826"/>
      <c r="AB9" s="826"/>
      <c r="AC9" s="826"/>
      <c r="AD9" s="827"/>
      <c r="AE9" s="828"/>
      <c r="AF9" s="829"/>
      <c r="AG9" s="830"/>
      <c r="AH9" s="831"/>
      <c r="AI9" s="832"/>
      <c r="AJ9" s="820"/>
      <c r="AK9" s="821"/>
      <c r="AL9" s="822"/>
      <c r="AM9" s="808"/>
      <c r="AN9" s="808"/>
      <c r="AO9" s="808"/>
      <c r="AP9" s="823"/>
      <c r="AQ9" s="808"/>
      <c r="AR9" s="808"/>
      <c r="AS9" s="808"/>
      <c r="AT9" s="823"/>
      <c r="AU9" s="808"/>
      <c r="AV9" s="808"/>
      <c r="AW9" s="808"/>
      <c r="AX9" s="823"/>
      <c r="AY9" s="808"/>
      <c r="AZ9" s="808"/>
      <c r="BA9" s="808"/>
      <c r="BB9" s="823"/>
      <c r="BC9" s="808"/>
      <c r="BD9" s="808"/>
      <c r="BE9" s="810"/>
      <c r="BF9" s="17"/>
      <c r="BG9" s="1232"/>
      <c r="BH9" s="824"/>
      <c r="BI9" s="825"/>
      <c r="BJ9" s="826"/>
      <c r="BK9" s="826"/>
      <c r="BL9" s="826"/>
      <c r="BM9" s="827"/>
      <c r="BN9" s="828"/>
      <c r="BO9" s="829"/>
      <c r="BP9" s="830"/>
      <c r="BQ9" s="831"/>
      <c r="BR9" s="832"/>
    </row>
    <row r="10" spans="1:70" ht="31.9" customHeight="1" thickTop="1" thickBot="1" x14ac:dyDescent="0.25">
      <c r="A10" s="805"/>
      <c r="B10" s="806"/>
      <c r="C10" s="807"/>
      <c r="D10" s="808"/>
      <c r="E10" s="808"/>
      <c r="F10" s="808"/>
      <c r="G10" s="809"/>
      <c r="H10" s="808"/>
      <c r="I10" s="808"/>
      <c r="J10" s="808"/>
      <c r="K10" s="809"/>
      <c r="L10" s="808"/>
      <c r="M10" s="808"/>
      <c r="N10" s="808"/>
      <c r="O10" s="809"/>
      <c r="P10" s="808"/>
      <c r="Q10" s="808"/>
      <c r="R10" s="808"/>
      <c r="S10" s="809"/>
      <c r="T10" s="808"/>
      <c r="U10" s="808"/>
      <c r="V10" s="810"/>
      <c r="W10" s="17"/>
      <c r="X10" s="1233" t="str">
        <f>IF(IGRF!B17="","",IGRF!B17)</f>
        <v/>
      </c>
      <c r="Y10" s="833"/>
      <c r="Z10" s="834"/>
      <c r="AA10" s="835"/>
      <c r="AB10" s="835"/>
      <c r="AC10" s="835"/>
      <c r="AD10" s="836"/>
      <c r="AE10" s="837"/>
      <c r="AF10" s="838"/>
      <c r="AG10" s="839"/>
      <c r="AH10" s="840"/>
      <c r="AI10" s="819"/>
      <c r="AJ10" s="805"/>
      <c r="AK10" s="806"/>
      <c r="AL10" s="807"/>
      <c r="AM10" s="808"/>
      <c r="AN10" s="808"/>
      <c r="AO10" s="808"/>
      <c r="AP10" s="809"/>
      <c r="AQ10" s="808"/>
      <c r="AR10" s="808"/>
      <c r="AS10" s="808"/>
      <c r="AT10" s="809"/>
      <c r="AU10" s="808"/>
      <c r="AV10" s="808"/>
      <c r="AW10" s="808"/>
      <c r="AX10" s="809"/>
      <c r="AY10" s="808"/>
      <c r="AZ10" s="808"/>
      <c r="BA10" s="808"/>
      <c r="BB10" s="809"/>
      <c r="BC10" s="808"/>
      <c r="BD10" s="808"/>
      <c r="BE10" s="810"/>
      <c r="BF10" s="17"/>
      <c r="BG10" s="1233" t="str">
        <f>IF(IGRF!I17="","",IGRF!I17)</f>
        <v/>
      </c>
      <c r="BH10" s="833"/>
      <c r="BI10" s="834"/>
      <c r="BJ10" s="835"/>
      <c r="BK10" s="835"/>
      <c r="BL10" s="835"/>
      <c r="BM10" s="836"/>
      <c r="BN10" s="837"/>
      <c r="BO10" s="838"/>
      <c r="BP10" s="839"/>
      <c r="BQ10" s="840"/>
      <c r="BR10" s="819"/>
    </row>
    <row r="11" spans="1:70" ht="31.9" customHeight="1" thickBot="1" x14ac:dyDescent="0.25">
      <c r="A11" s="820"/>
      <c r="B11" s="821"/>
      <c r="C11" s="822"/>
      <c r="D11" s="808"/>
      <c r="E11" s="808"/>
      <c r="F11" s="808"/>
      <c r="G11" s="823"/>
      <c r="H11" s="808"/>
      <c r="I11" s="808"/>
      <c r="J11" s="808"/>
      <c r="K11" s="823"/>
      <c r="L11" s="808"/>
      <c r="M11" s="808"/>
      <c r="N11" s="808"/>
      <c r="O11" s="823"/>
      <c r="P11" s="808"/>
      <c r="Q11" s="808"/>
      <c r="R11" s="808"/>
      <c r="S11" s="823"/>
      <c r="T11" s="808"/>
      <c r="U11" s="808"/>
      <c r="V11" s="810"/>
      <c r="W11" s="17"/>
      <c r="X11" s="1234"/>
      <c r="Y11" s="841"/>
      <c r="Z11" s="842"/>
      <c r="AA11" s="843"/>
      <c r="AB11" s="843"/>
      <c r="AC11" s="843"/>
      <c r="AD11" s="844"/>
      <c r="AE11" s="845"/>
      <c r="AF11" s="846"/>
      <c r="AG11" s="847"/>
      <c r="AH11" s="831"/>
      <c r="AI11" s="832"/>
      <c r="AJ11" s="820"/>
      <c r="AK11" s="821"/>
      <c r="AL11" s="822"/>
      <c r="AM11" s="808"/>
      <c r="AN11" s="808"/>
      <c r="AO11" s="808"/>
      <c r="AP11" s="823"/>
      <c r="AQ11" s="808"/>
      <c r="AR11" s="808"/>
      <c r="AS11" s="808"/>
      <c r="AT11" s="823"/>
      <c r="AU11" s="808"/>
      <c r="AV11" s="808"/>
      <c r="AW11" s="808"/>
      <c r="AX11" s="823"/>
      <c r="AY11" s="808"/>
      <c r="AZ11" s="808"/>
      <c r="BA11" s="808"/>
      <c r="BB11" s="823"/>
      <c r="BC11" s="808"/>
      <c r="BD11" s="808"/>
      <c r="BE11" s="810"/>
      <c r="BF11" s="17"/>
      <c r="BG11" s="1234"/>
      <c r="BH11" s="841"/>
      <c r="BI11" s="842"/>
      <c r="BJ11" s="843"/>
      <c r="BK11" s="843"/>
      <c r="BL11" s="843"/>
      <c r="BM11" s="844"/>
      <c r="BN11" s="845"/>
      <c r="BO11" s="846"/>
      <c r="BP11" s="847"/>
      <c r="BQ11" s="831"/>
      <c r="BR11" s="832"/>
    </row>
    <row r="12" spans="1:70" ht="31.9" customHeight="1" thickTop="1" thickBot="1" x14ac:dyDescent="0.25">
      <c r="A12" s="805"/>
      <c r="B12" s="806"/>
      <c r="C12" s="807"/>
      <c r="D12" s="808"/>
      <c r="E12" s="808"/>
      <c r="F12" s="808"/>
      <c r="G12" s="809"/>
      <c r="H12" s="808"/>
      <c r="I12" s="808"/>
      <c r="J12" s="808"/>
      <c r="K12" s="809"/>
      <c r="L12" s="808"/>
      <c r="M12" s="808"/>
      <c r="N12" s="808"/>
      <c r="O12" s="809"/>
      <c r="P12" s="808"/>
      <c r="Q12" s="808"/>
      <c r="R12" s="808"/>
      <c r="S12" s="809"/>
      <c r="T12" s="808"/>
      <c r="U12" s="808"/>
      <c r="V12" s="810"/>
      <c r="W12" s="17"/>
      <c r="X12" s="1231" t="str">
        <f>IF(IGRF!B18="","",IGRF!B18)</f>
        <v/>
      </c>
      <c r="Y12" s="811"/>
      <c r="Z12" s="812"/>
      <c r="AA12" s="813"/>
      <c r="AB12" s="813"/>
      <c r="AC12" s="813"/>
      <c r="AD12" s="814"/>
      <c r="AE12" s="815"/>
      <c r="AF12" s="816"/>
      <c r="AG12" s="817"/>
      <c r="AH12" s="840"/>
      <c r="AI12" s="819"/>
      <c r="AJ12" s="805"/>
      <c r="AK12" s="806"/>
      <c r="AL12" s="807"/>
      <c r="AM12" s="808"/>
      <c r="AN12" s="808"/>
      <c r="AO12" s="808"/>
      <c r="AP12" s="809"/>
      <c r="AQ12" s="808"/>
      <c r="AR12" s="808"/>
      <c r="AS12" s="808"/>
      <c r="AT12" s="809"/>
      <c r="AU12" s="808"/>
      <c r="AV12" s="808"/>
      <c r="AW12" s="808"/>
      <c r="AX12" s="809"/>
      <c r="AY12" s="808"/>
      <c r="AZ12" s="808"/>
      <c r="BA12" s="808"/>
      <c r="BB12" s="809"/>
      <c r="BC12" s="808"/>
      <c r="BD12" s="808"/>
      <c r="BE12" s="810"/>
      <c r="BF12" s="17"/>
      <c r="BG12" s="1231" t="str">
        <f>IF(IGRF!I18="","",IGRF!I18)</f>
        <v/>
      </c>
      <c r="BH12" s="811"/>
      <c r="BI12" s="812"/>
      <c r="BJ12" s="813"/>
      <c r="BK12" s="813"/>
      <c r="BL12" s="813"/>
      <c r="BM12" s="814"/>
      <c r="BN12" s="815"/>
      <c r="BO12" s="816"/>
      <c r="BP12" s="817"/>
      <c r="BQ12" s="840"/>
      <c r="BR12" s="819"/>
    </row>
    <row r="13" spans="1:70" ht="31.9" customHeight="1" thickBot="1" x14ac:dyDescent="0.25">
      <c r="A13" s="820"/>
      <c r="B13" s="821"/>
      <c r="C13" s="822"/>
      <c r="D13" s="808"/>
      <c r="E13" s="808"/>
      <c r="F13" s="808"/>
      <c r="G13" s="823"/>
      <c r="H13" s="808"/>
      <c r="I13" s="808"/>
      <c r="J13" s="808"/>
      <c r="K13" s="823"/>
      <c r="L13" s="808"/>
      <c r="M13" s="808"/>
      <c r="N13" s="808"/>
      <c r="O13" s="823"/>
      <c r="P13" s="808"/>
      <c r="Q13" s="808"/>
      <c r="R13" s="808"/>
      <c r="S13" s="823"/>
      <c r="T13" s="808"/>
      <c r="U13" s="808"/>
      <c r="V13" s="810"/>
      <c r="W13" s="17"/>
      <c r="X13" s="1232"/>
      <c r="Y13" s="824"/>
      <c r="Z13" s="825"/>
      <c r="AA13" s="826"/>
      <c r="AB13" s="826"/>
      <c r="AC13" s="826"/>
      <c r="AD13" s="827"/>
      <c r="AE13" s="828"/>
      <c r="AF13" s="829"/>
      <c r="AG13" s="830"/>
      <c r="AH13" s="831"/>
      <c r="AI13" s="832"/>
      <c r="AJ13" s="820"/>
      <c r="AK13" s="821"/>
      <c r="AL13" s="822"/>
      <c r="AM13" s="808"/>
      <c r="AN13" s="808"/>
      <c r="AO13" s="808"/>
      <c r="AP13" s="823"/>
      <c r="AQ13" s="808"/>
      <c r="AR13" s="808"/>
      <c r="AS13" s="808"/>
      <c r="AT13" s="823"/>
      <c r="AU13" s="808"/>
      <c r="AV13" s="808"/>
      <c r="AW13" s="808"/>
      <c r="AX13" s="823"/>
      <c r="AY13" s="808"/>
      <c r="AZ13" s="808"/>
      <c r="BA13" s="808"/>
      <c r="BB13" s="823"/>
      <c r="BC13" s="808"/>
      <c r="BD13" s="808"/>
      <c r="BE13" s="810"/>
      <c r="BF13" s="17"/>
      <c r="BG13" s="1232"/>
      <c r="BH13" s="824"/>
      <c r="BI13" s="825"/>
      <c r="BJ13" s="826"/>
      <c r="BK13" s="826"/>
      <c r="BL13" s="826"/>
      <c r="BM13" s="827"/>
      <c r="BN13" s="828"/>
      <c r="BO13" s="829"/>
      <c r="BP13" s="830"/>
      <c r="BQ13" s="831"/>
      <c r="BR13" s="832"/>
    </row>
    <row r="14" spans="1:70" ht="31.9" customHeight="1" thickTop="1" thickBot="1" x14ac:dyDescent="0.25">
      <c r="A14" s="805"/>
      <c r="B14" s="806"/>
      <c r="C14" s="807"/>
      <c r="D14" s="808"/>
      <c r="E14" s="808"/>
      <c r="F14" s="808"/>
      <c r="G14" s="809"/>
      <c r="H14" s="808"/>
      <c r="I14" s="808"/>
      <c r="J14" s="808"/>
      <c r="K14" s="809"/>
      <c r="L14" s="808"/>
      <c r="M14" s="808"/>
      <c r="N14" s="808"/>
      <c r="O14" s="809"/>
      <c r="P14" s="808"/>
      <c r="Q14" s="808"/>
      <c r="R14" s="808"/>
      <c r="S14" s="809"/>
      <c r="T14" s="808"/>
      <c r="U14" s="808"/>
      <c r="V14" s="810"/>
      <c r="W14" s="17"/>
      <c r="X14" s="1233" t="str">
        <f>IF(IGRF!B19="","",IGRF!B19)</f>
        <v/>
      </c>
      <c r="Y14" s="833"/>
      <c r="Z14" s="834"/>
      <c r="AA14" s="835"/>
      <c r="AB14" s="835"/>
      <c r="AC14" s="835"/>
      <c r="AD14" s="836"/>
      <c r="AE14" s="837"/>
      <c r="AF14" s="838"/>
      <c r="AG14" s="839"/>
      <c r="AH14" s="840"/>
      <c r="AI14" s="819"/>
      <c r="AJ14" s="805"/>
      <c r="AK14" s="806"/>
      <c r="AL14" s="807"/>
      <c r="AM14" s="808"/>
      <c r="AN14" s="808"/>
      <c r="AO14" s="808"/>
      <c r="AP14" s="809"/>
      <c r="AQ14" s="808"/>
      <c r="AR14" s="808"/>
      <c r="AS14" s="808"/>
      <c r="AT14" s="809"/>
      <c r="AU14" s="808"/>
      <c r="AV14" s="808"/>
      <c r="AW14" s="808"/>
      <c r="AX14" s="809"/>
      <c r="AY14" s="808"/>
      <c r="AZ14" s="808"/>
      <c r="BA14" s="808"/>
      <c r="BB14" s="809"/>
      <c r="BC14" s="808"/>
      <c r="BD14" s="808"/>
      <c r="BE14" s="810"/>
      <c r="BF14" s="17"/>
      <c r="BG14" s="1233" t="str">
        <f>IF(IGRF!I19="","",IGRF!I19)</f>
        <v/>
      </c>
      <c r="BH14" s="833"/>
      <c r="BI14" s="834"/>
      <c r="BJ14" s="835"/>
      <c r="BK14" s="835"/>
      <c r="BL14" s="835"/>
      <c r="BM14" s="836"/>
      <c r="BN14" s="837"/>
      <c r="BO14" s="838"/>
      <c r="BP14" s="839"/>
      <c r="BQ14" s="840"/>
      <c r="BR14" s="819"/>
    </row>
    <row r="15" spans="1:70" ht="31.9" customHeight="1" thickBot="1" x14ac:dyDescent="0.25">
      <c r="A15" s="820"/>
      <c r="B15" s="821"/>
      <c r="C15" s="822"/>
      <c r="D15" s="808"/>
      <c r="E15" s="808"/>
      <c r="F15" s="808"/>
      <c r="G15" s="823"/>
      <c r="H15" s="808"/>
      <c r="I15" s="808"/>
      <c r="J15" s="808"/>
      <c r="K15" s="823"/>
      <c r="L15" s="808"/>
      <c r="M15" s="808"/>
      <c r="N15" s="808"/>
      <c r="O15" s="823"/>
      <c r="P15" s="808"/>
      <c r="Q15" s="808"/>
      <c r="R15" s="808"/>
      <c r="S15" s="823"/>
      <c r="T15" s="808"/>
      <c r="U15" s="808"/>
      <c r="V15" s="810"/>
      <c r="W15" s="17"/>
      <c r="X15" s="1234"/>
      <c r="Y15" s="841"/>
      <c r="Z15" s="842"/>
      <c r="AA15" s="843"/>
      <c r="AB15" s="843"/>
      <c r="AC15" s="843"/>
      <c r="AD15" s="844"/>
      <c r="AE15" s="845"/>
      <c r="AF15" s="846"/>
      <c r="AG15" s="847"/>
      <c r="AH15" s="831"/>
      <c r="AI15" s="832"/>
      <c r="AJ15" s="820"/>
      <c r="AK15" s="821"/>
      <c r="AL15" s="822"/>
      <c r="AM15" s="808"/>
      <c r="AN15" s="808"/>
      <c r="AO15" s="808"/>
      <c r="AP15" s="823"/>
      <c r="AQ15" s="808"/>
      <c r="AR15" s="808"/>
      <c r="AS15" s="808"/>
      <c r="AT15" s="823"/>
      <c r="AU15" s="808"/>
      <c r="AV15" s="808"/>
      <c r="AW15" s="808"/>
      <c r="AX15" s="823"/>
      <c r="AY15" s="808"/>
      <c r="AZ15" s="808"/>
      <c r="BA15" s="808"/>
      <c r="BB15" s="823"/>
      <c r="BC15" s="808"/>
      <c r="BD15" s="808"/>
      <c r="BE15" s="810"/>
      <c r="BF15" s="17"/>
      <c r="BG15" s="1234"/>
      <c r="BH15" s="841"/>
      <c r="BI15" s="842"/>
      <c r="BJ15" s="843"/>
      <c r="BK15" s="843"/>
      <c r="BL15" s="843"/>
      <c r="BM15" s="844"/>
      <c r="BN15" s="845"/>
      <c r="BO15" s="846"/>
      <c r="BP15" s="847"/>
      <c r="BQ15" s="831"/>
      <c r="BR15" s="832"/>
    </row>
    <row r="16" spans="1:70" ht="31.9" customHeight="1" thickTop="1" thickBot="1" x14ac:dyDescent="0.25">
      <c r="A16" s="805"/>
      <c r="B16" s="806"/>
      <c r="C16" s="807"/>
      <c r="D16" s="808"/>
      <c r="E16" s="808"/>
      <c r="F16" s="808"/>
      <c r="G16" s="809"/>
      <c r="H16" s="808"/>
      <c r="I16" s="808"/>
      <c r="J16" s="808"/>
      <c r="K16" s="809"/>
      <c r="L16" s="808"/>
      <c r="M16" s="808"/>
      <c r="N16" s="808"/>
      <c r="O16" s="809"/>
      <c r="P16" s="808"/>
      <c r="Q16" s="808"/>
      <c r="R16" s="808"/>
      <c r="S16" s="809"/>
      <c r="T16" s="808"/>
      <c r="U16" s="808"/>
      <c r="V16" s="810"/>
      <c r="W16" s="17"/>
      <c r="X16" s="1231" t="str">
        <f>IF(IGRF!B20="","",IGRF!B20)</f>
        <v/>
      </c>
      <c r="Y16" s="811"/>
      <c r="Z16" s="812"/>
      <c r="AA16" s="813"/>
      <c r="AB16" s="813"/>
      <c r="AC16" s="813"/>
      <c r="AD16" s="814"/>
      <c r="AE16" s="815"/>
      <c r="AF16" s="816"/>
      <c r="AG16" s="817"/>
      <c r="AH16" s="840"/>
      <c r="AI16" s="819"/>
      <c r="AJ16" s="805"/>
      <c r="AK16" s="806"/>
      <c r="AL16" s="807"/>
      <c r="AM16" s="808"/>
      <c r="AN16" s="808"/>
      <c r="AO16" s="808"/>
      <c r="AP16" s="809"/>
      <c r="AQ16" s="808"/>
      <c r="AR16" s="808"/>
      <c r="AS16" s="808"/>
      <c r="AT16" s="809"/>
      <c r="AU16" s="808"/>
      <c r="AV16" s="808"/>
      <c r="AW16" s="808"/>
      <c r="AX16" s="809"/>
      <c r="AY16" s="808"/>
      <c r="AZ16" s="808"/>
      <c r="BA16" s="808"/>
      <c r="BB16" s="809"/>
      <c r="BC16" s="808"/>
      <c r="BD16" s="808"/>
      <c r="BE16" s="810"/>
      <c r="BF16" s="17"/>
      <c r="BG16" s="1231" t="str">
        <f>IF(IGRF!I20="","",IGRF!I20)</f>
        <v/>
      </c>
      <c r="BH16" s="811"/>
      <c r="BI16" s="812"/>
      <c r="BJ16" s="813"/>
      <c r="BK16" s="813"/>
      <c r="BL16" s="813"/>
      <c r="BM16" s="814"/>
      <c r="BN16" s="815"/>
      <c r="BO16" s="816"/>
      <c r="BP16" s="817"/>
      <c r="BQ16" s="840"/>
      <c r="BR16" s="819"/>
    </row>
    <row r="17" spans="1:70" ht="31.9" customHeight="1" thickBot="1" x14ac:dyDescent="0.25">
      <c r="A17" s="820"/>
      <c r="B17" s="821"/>
      <c r="C17" s="822"/>
      <c r="D17" s="808"/>
      <c r="E17" s="808"/>
      <c r="F17" s="808"/>
      <c r="G17" s="823"/>
      <c r="H17" s="808"/>
      <c r="I17" s="808"/>
      <c r="J17" s="808"/>
      <c r="K17" s="823"/>
      <c r="L17" s="808"/>
      <c r="M17" s="808"/>
      <c r="N17" s="808"/>
      <c r="O17" s="823"/>
      <c r="P17" s="808"/>
      <c r="Q17" s="808"/>
      <c r="R17" s="808"/>
      <c r="S17" s="823"/>
      <c r="T17" s="808"/>
      <c r="U17" s="808"/>
      <c r="V17" s="810"/>
      <c r="W17" s="17"/>
      <c r="X17" s="1232"/>
      <c r="Y17" s="824"/>
      <c r="Z17" s="825"/>
      <c r="AA17" s="826"/>
      <c r="AB17" s="826"/>
      <c r="AC17" s="826"/>
      <c r="AD17" s="827"/>
      <c r="AE17" s="828"/>
      <c r="AF17" s="829"/>
      <c r="AG17" s="830"/>
      <c r="AH17" s="831"/>
      <c r="AI17" s="832"/>
      <c r="AJ17" s="820"/>
      <c r="AK17" s="821"/>
      <c r="AL17" s="822"/>
      <c r="AM17" s="808"/>
      <c r="AN17" s="808"/>
      <c r="AO17" s="808"/>
      <c r="AP17" s="823"/>
      <c r="AQ17" s="808"/>
      <c r="AR17" s="808"/>
      <c r="AS17" s="808"/>
      <c r="AT17" s="823"/>
      <c r="AU17" s="808"/>
      <c r="AV17" s="808"/>
      <c r="AW17" s="808"/>
      <c r="AX17" s="823"/>
      <c r="AY17" s="808"/>
      <c r="AZ17" s="808"/>
      <c r="BA17" s="808"/>
      <c r="BB17" s="823"/>
      <c r="BC17" s="808"/>
      <c r="BD17" s="808"/>
      <c r="BE17" s="810"/>
      <c r="BF17" s="17"/>
      <c r="BG17" s="1232"/>
      <c r="BH17" s="824"/>
      <c r="BI17" s="825"/>
      <c r="BJ17" s="826"/>
      <c r="BK17" s="826"/>
      <c r="BL17" s="826"/>
      <c r="BM17" s="827"/>
      <c r="BN17" s="828"/>
      <c r="BO17" s="829"/>
      <c r="BP17" s="830"/>
      <c r="BQ17" s="831"/>
      <c r="BR17" s="832"/>
    </row>
    <row r="18" spans="1:70" ht="31.9" customHeight="1" thickTop="1" thickBot="1" x14ac:dyDescent="0.25">
      <c r="A18" s="805"/>
      <c r="B18" s="806"/>
      <c r="C18" s="807"/>
      <c r="D18" s="808"/>
      <c r="E18" s="808"/>
      <c r="F18" s="808"/>
      <c r="G18" s="809"/>
      <c r="H18" s="808"/>
      <c r="I18" s="808"/>
      <c r="J18" s="808"/>
      <c r="K18" s="809"/>
      <c r="L18" s="808"/>
      <c r="M18" s="808"/>
      <c r="N18" s="808"/>
      <c r="O18" s="809"/>
      <c r="P18" s="808"/>
      <c r="Q18" s="808"/>
      <c r="R18" s="808"/>
      <c r="S18" s="809"/>
      <c r="T18" s="808"/>
      <c r="U18" s="808"/>
      <c r="V18" s="810"/>
      <c r="W18" s="17"/>
      <c r="X18" s="1233" t="str">
        <f>IF(IGRF!B21="","",IGRF!B21)</f>
        <v/>
      </c>
      <c r="Y18" s="833"/>
      <c r="Z18" s="834"/>
      <c r="AA18" s="835"/>
      <c r="AB18" s="835"/>
      <c r="AC18" s="835"/>
      <c r="AD18" s="836"/>
      <c r="AE18" s="837"/>
      <c r="AF18" s="838"/>
      <c r="AG18" s="839"/>
      <c r="AH18" s="840"/>
      <c r="AI18" s="819"/>
      <c r="AJ18" s="805"/>
      <c r="AK18" s="806"/>
      <c r="AL18" s="807"/>
      <c r="AM18" s="808"/>
      <c r="AN18" s="808"/>
      <c r="AO18" s="808"/>
      <c r="AP18" s="809"/>
      <c r="AQ18" s="808"/>
      <c r="AR18" s="808"/>
      <c r="AS18" s="808"/>
      <c r="AT18" s="809"/>
      <c r="AU18" s="808"/>
      <c r="AV18" s="808"/>
      <c r="AW18" s="808"/>
      <c r="AX18" s="809"/>
      <c r="AY18" s="808"/>
      <c r="AZ18" s="808"/>
      <c r="BA18" s="808"/>
      <c r="BB18" s="809"/>
      <c r="BC18" s="808"/>
      <c r="BD18" s="808"/>
      <c r="BE18" s="810"/>
      <c r="BF18" s="17"/>
      <c r="BG18" s="1233" t="str">
        <f>IF(IGRF!I21="","",IGRF!I21)</f>
        <v/>
      </c>
      <c r="BH18" s="833"/>
      <c r="BI18" s="834"/>
      <c r="BJ18" s="835"/>
      <c r="BK18" s="835"/>
      <c r="BL18" s="835"/>
      <c r="BM18" s="836"/>
      <c r="BN18" s="837"/>
      <c r="BO18" s="838"/>
      <c r="BP18" s="839"/>
      <c r="BQ18" s="840"/>
      <c r="BR18" s="819"/>
    </row>
    <row r="19" spans="1:70" ht="31.9" customHeight="1" thickBot="1" x14ac:dyDescent="0.25">
      <c r="A19" s="820"/>
      <c r="B19" s="821"/>
      <c r="C19" s="822"/>
      <c r="D19" s="808"/>
      <c r="E19" s="808"/>
      <c r="F19" s="808"/>
      <c r="G19" s="823"/>
      <c r="H19" s="808"/>
      <c r="I19" s="808"/>
      <c r="J19" s="808"/>
      <c r="K19" s="823"/>
      <c r="L19" s="808"/>
      <c r="M19" s="808"/>
      <c r="N19" s="808"/>
      <c r="O19" s="823"/>
      <c r="P19" s="808"/>
      <c r="Q19" s="808"/>
      <c r="R19" s="808"/>
      <c r="S19" s="823"/>
      <c r="T19" s="808"/>
      <c r="U19" s="808"/>
      <c r="V19" s="810"/>
      <c r="W19" s="17"/>
      <c r="X19" s="1234"/>
      <c r="Y19" s="841"/>
      <c r="Z19" s="842"/>
      <c r="AA19" s="843"/>
      <c r="AB19" s="843"/>
      <c r="AC19" s="843"/>
      <c r="AD19" s="844"/>
      <c r="AE19" s="845"/>
      <c r="AF19" s="846"/>
      <c r="AG19" s="847"/>
      <c r="AH19" s="831"/>
      <c r="AI19" s="832"/>
      <c r="AJ19" s="820"/>
      <c r="AK19" s="821"/>
      <c r="AL19" s="822"/>
      <c r="AM19" s="808"/>
      <c r="AN19" s="808"/>
      <c r="AO19" s="808"/>
      <c r="AP19" s="823"/>
      <c r="AQ19" s="808"/>
      <c r="AR19" s="808"/>
      <c r="AS19" s="808"/>
      <c r="AT19" s="823"/>
      <c r="AU19" s="808"/>
      <c r="AV19" s="808"/>
      <c r="AW19" s="808"/>
      <c r="AX19" s="823"/>
      <c r="AY19" s="808"/>
      <c r="AZ19" s="808"/>
      <c r="BA19" s="808"/>
      <c r="BB19" s="823"/>
      <c r="BC19" s="808"/>
      <c r="BD19" s="808"/>
      <c r="BE19" s="810"/>
      <c r="BF19" s="17"/>
      <c r="BG19" s="1234"/>
      <c r="BH19" s="841"/>
      <c r="BI19" s="842"/>
      <c r="BJ19" s="843"/>
      <c r="BK19" s="843"/>
      <c r="BL19" s="843"/>
      <c r="BM19" s="844"/>
      <c r="BN19" s="845"/>
      <c r="BO19" s="846"/>
      <c r="BP19" s="847"/>
      <c r="BQ19" s="831"/>
      <c r="BR19" s="832"/>
    </row>
    <row r="20" spans="1:70" ht="31.9" customHeight="1" thickTop="1" thickBot="1" x14ac:dyDescent="0.25">
      <c r="A20" s="805"/>
      <c r="B20" s="806"/>
      <c r="C20" s="807"/>
      <c r="D20" s="808"/>
      <c r="E20" s="808"/>
      <c r="F20" s="808"/>
      <c r="G20" s="809"/>
      <c r="H20" s="808"/>
      <c r="I20" s="808"/>
      <c r="J20" s="808"/>
      <c r="K20" s="809"/>
      <c r="L20" s="808"/>
      <c r="M20" s="808"/>
      <c r="N20" s="808"/>
      <c r="O20" s="809"/>
      <c r="P20" s="808"/>
      <c r="Q20" s="808"/>
      <c r="R20" s="808"/>
      <c r="S20" s="809"/>
      <c r="T20" s="808"/>
      <c r="U20" s="808"/>
      <c r="V20" s="810"/>
      <c r="W20" s="17"/>
      <c r="X20" s="1231" t="str">
        <f>IF(IGRF!B22="","",IGRF!B22)</f>
        <v/>
      </c>
      <c r="Y20" s="811"/>
      <c r="Z20" s="812"/>
      <c r="AA20" s="813"/>
      <c r="AB20" s="813"/>
      <c r="AC20" s="813"/>
      <c r="AD20" s="814"/>
      <c r="AE20" s="815"/>
      <c r="AF20" s="816"/>
      <c r="AG20" s="817"/>
      <c r="AH20" s="840"/>
      <c r="AI20" s="819"/>
      <c r="AJ20" s="805"/>
      <c r="AK20" s="806"/>
      <c r="AL20" s="807"/>
      <c r="AM20" s="808"/>
      <c r="AN20" s="808"/>
      <c r="AO20" s="808"/>
      <c r="AP20" s="809"/>
      <c r="AQ20" s="808"/>
      <c r="AR20" s="808"/>
      <c r="AS20" s="808"/>
      <c r="AT20" s="809"/>
      <c r="AU20" s="808"/>
      <c r="AV20" s="808"/>
      <c r="AW20" s="808"/>
      <c r="AX20" s="809"/>
      <c r="AY20" s="808"/>
      <c r="AZ20" s="808"/>
      <c r="BA20" s="808"/>
      <c r="BB20" s="809"/>
      <c r="BC20" s="808"/>
      <c r="BD20" s="808"/>
      <c r="BE20" s="810"/>
      <c r="BF20" s="17"/>
      <c r="BG20" s="1231" t="str">
        <f>IF(IGRF!I22="","",IGRF!I22)</f>
        <v/>
      </c>
      <c r="BH20" s="811"/>
      <c r="BI20" s="812"/>
      <c r="BJ20" s="813"/>
      <c r="BK20" s="813"/>
      <c r="BL20" s="813"/>
      <c r="BM20" s="814"/>
      <c r="BN20" s="815"/>
      <c r="BO20" s="816"/>
      <c r="BP20" s="817"/>
      <c r="BQ20" s="840"/>
      <c r="BR20" s="819"/>
    </row>
    <row r="21" spans="1:70" ht="31.9" customHeight="1" thickBot="1" x14ac:dyDescent="0.25">
      <c r="A21" s="820"/>
      <c r="B21" s="821"/>
      <c r="C21" s="822"/>
      <c r="D21" s="808"/>
      <c r="E21" s="808"/>
      <c r="F21" s="808"/>
      <c r="G21" s="823"/>
      <c r="H21" s="808"/>
      <c r="I21" s="808"/>
      <c r="J21" s="808"/>
      <c r="K21" s="823"/>
      <c r="L21" s="808"/>
      <c r="M21" s="808"/>
      <c r="N21" s="808"/>
      <c r="O21" s="823"/>
      <c r="P21" s="808"/>
      <c r="Q21" s="808"/>
      <c r="R21" s="808"/>
      <c r="S21" s="823"/>
      <c r="T21" s="808"/>
      <c r="U21" s="808"/>
      <c r="V21" s="810"/>
      <c r="W21" s="17"/>
      <c r="X21" s="1232"/>
      <c r="Y21" s="824"/>
      <c r="Z21" s="825"/>
      <c r="AA21" s="826"/>
      <c r="AB21" s="826"/>
      <c r="AC21" s="826"/>
      <c r="AD21" s="827"/>
      <c r="AE21" s="828"/>
      <c r="AF21" s="829"/>
      <c r="AG21" s="830"/>
      <c r="AH21" s="831"/>
      <c r="AI21" s="832"/>
      <c r="AJ21" s="820"/>
      <c r="AK21" s="821"/>
      <c r="AL21" s="822"/>
      <c r="AM21" s="808"/>
      <c r="AN21" s="808"/>
      <c r="AO21" s="808"/>
      <c r="AP21" s="823"/>
      <c r="AQ21" s="808"/>
      <c r="AR21" s="808"/>
      <c r="AS21" s="808"/>
      <c r="AT21" s="823"/>
      <c r="AU21" s="808"/>
      <c r="AV21" s="808"/>
      <c r="AW21" s="808"/>
      <c r="AX21" s="823"/>
      <c r="AY21" s="808"/>
      <c r="AZ21" s="808"/>
      <c r="BA21" s="808"/>
      <c r="BB21" s="823"/>
      <c r="BC21" s="808"/>
      <c r="BD21" s="808"/>
      <c r="BE21" s="810"/>
      <c r="BF21" s="17"/>
      <c r="BG21" s="1232"/>
      <c r="BH21" s="824"/>
      <c r="BI21" s="825"/>
      <c r="BJ21" s="826"/>
      <c r="BK21" s="826"/>
      <c r="BL21" s="826"/>
      <c r="BM21" s="827"/>
      <c r="BN21" s="828"/>
      <c r="BO21" s="829"/>
      <c r="BP21" s="830"/>
      <c r="BQ21" s="831"/>
      <c r="BR21" s="832"/>
    </row>
    <row r="22" spans="1:70" ht="31.9" customHeight="1" thickTop="1" thickBot="1" x14ac:dyDescent="0.25">
      <c r="A22" s="805"/>
      <c r="B22" s="806"/>
      <c r="C22" s="807"/>
      <c r="D22" s="808"/>
      <c r="E22" s="808"/>
      <c r="F22" s="808"/>
      <c r="G22" s="809"/>
      <c r="H22" s="808"/>
      <c r="I22" s="808"/>
      <c r="J22" s="808"/>
      <c r="K22" s="809"/>
      <c r="L22" s="808"/>
      <c r="M22" s="808"/>
      <c r="N22" s="808"/>
      <c r="O22" s="809"/>
      <c r="P22" s="808"/>
      <c r="Q22" s="808"/>
      <c r="R22" s="808"/>
      <c r="S22" s="809"/>
      <c r="T22" s="808"/>
      <c r="U22" s="808"/>
      <c r="V22" s="810"/>
      <c r="W22" s="17"/>
      <c r="X22" s="1233" t="str">
        <f>IF(IGRF!B23="","",IGRF!B23)</f>
        <v/>
      </c>
      <c r="Y22" s="833"/>
      <c r="Z22" s="834"/>
      <c r="AA22" s="835"/>
      <c r="AB22" s="835"/>
      <c r="AC22" s="835"/>
      <c r="AD22" s="836"/>
      <c r="AE22" s="837"/>
      <c r="AF22" s="838"/>
      <c r="AG22" s="839"/>
      <c r="AH22" s="840"/>
      <c r="AI22" s="819"/>
      <c r="AJ22" s="805"/>
      <c r="AK22" s="806"/>
      <c r="AL22" s="807"/>
      <c r="AM22" s="808"/>
      <c r="AN22" s="808"/>
      <c r="AO22" s="808"/>
      <c r="AP22" s="809"/>
      <c r="AQ22" s="808"/>
      <c r="AR22" s="808"/>
      <c r="AS22" s="808"/>
      <c r="AT22" s="809"/>
      <c r="AU22" s="808"/>
      <c r="AV22" s="808"/>
      <c r="AW22" s="808"/>
      <c r="AX22" s="809"/>
      <c r="AY22" s="808"/>
      <c r="AZ22" s="808"/>
      <c r="BA22" s="808"/>
      <c r="BB22" s="809"/>
      <c r="BC22" s="808"/>
      <c r="BD22" s="808"/>
      <c r="BE22" s="810"/>
      <c r="BF22" s="17"/>
      <c r="BG22" s="1233" t="str">
        <f>IF(IGRF!I23="","",IGRF!I23)</f>
        <v/>
      </c>
      <c r="BH22" s="833"/>
      <c r="BI22" s="834"/>
      <c r="BJ22" s="835"/>
      <c r="BK22" s="835"/>
      <c r="BL22" s="835"/>
      <c r="BM22" s="836"/>
      <c r="BN22" s="837"/>
      <c r="BO22" s="838"/>
      <c r="BP22" s="839"/>
      <c r="BQ22" s="840"/>
      <c r="BR22" s="819"/>
    </row>
    <row r="23" spans="1:70" ht="31.9" customHeight="1" thickBot="1" x14ac:dyDescent="0.25">
      <c r="A23" s="820"/>
      <c r="B23" s="821"/>
      <c r="C23" s="822"/>
      <c r="D23" s="808"/>
      <c r="E23" s="808"/>
      <c r="F23" s="808"/>
      <c r="G23" s="823"/>
      <c r="H23" s="808"/>
      <c r="I23" s="808"/>
      <c r="J23" s="808"/>
      <c r="K23" s="823"/>
      <c r="L23" s="808"/>
      <c r="M23" s="808"/>
      <c r="N23" s="808"/>
      <c r="O23" s="823"/>
      <c r="P23" s="808"/>
      <c r="Q23" s="808"/>
      <c r="R23" s="808"/>
      <c r="S23" s="823"/>
      <c r="T23" s="808"/>
      <c r="U23" s="808"/>
      <c r="V23" s="810"/>
      <c r="W23" s="17"/>
      <c r="X23" s="1234"/>
      <c r="Y23" s="841"/>
      <c r="Z23" s="842"/>
      <c r="AA23" s="843"/>
      <c r="AB23" s="843"/>
      <c r="AC23" s="843"/>
      <c r="AD23" s="844"/>
      <c r="AE23" s="845"/>
      <c r="AF23" s="846"/>
      <c r="AG23" s="847"/>
      <c r="AH23" s="831"/>
      <c r="AI23" s="832"/>
      <c r="AJ23" s="820"/>
      <c r="AK23" s="821"/>
      <c r="AL23" s="822"/>
      <c r="AM23" s="808"/>
      <c r="AN23" s="808"/>
      <c r="AO23" s="808"/>
      <c r="AP23" s="823"/>
      <c r="AQ23" s="808"/>
      <c r="AR23" s="808"/>
      <c r="AS23" s="808"/>
      <c r="AT23" s="823"/>
      <c r="AU23" s="808"/>
      <c r="AV23" s="808"/>
      <c r="AW23" s="808"/>
      <c r="AX23" s="823"/>
      <c r="AY23" s="808"/>
      <c r="AZ23" s="808"/>
      <c r="BA23" s="808"/>
      <c r="BB23" s="823"/>
      <c r="BC23" s="808"/>
      <c r="BD23" s="808"/>
      <c r="BE23" s="810"/>
      <c r="BF23" s="17"/>
      <c r="BG23" s="1234"/>
      <c r="BH23" s="841"/>
      <c r="BI23" s="842"/>
      <c r="BJ23" s="843"/>
      <c r="BK23" s="843"/>
      <c r="BL23" s="843"/>
      <c r="BM23" s="844"/>
      <c r="BN23" s="845"/>
      <c r="BO23" s="846"/>
      <c r="BP23" s="847"/>
      <c r="BQ23" s="831"/>
      <c r="BR23" s="832"/>
    </row>
    <row r="24" spans="1:70" ht="31.9" customHeight="1" thickTop="1" thickBot="1" x14ac:dyDescent="0.25">
      <c r="A24" s="805"/>
      <c r="B24" s="806"/>
      <c r="C24" s="807"/>
      <c r="D24" s="808"/>
      <c r="E24" s="808"/>
      <c r="F24" s="808"/>
      <c r="G24" s="809"/>
      <c r="H24" s="808"/>
      <c r="I24" s="808"/>
      <c r="J24" s="808"/>
      <c r="K24" s="809"/>
      <c r="L24" s="808"/>
      <c r="M24" s="808"/>
      <c r="N24" s="808"/>
      <c r="O24" s="809"/>
      <c r="P24" s="808"/>
      <c r="Q24" s="808"/>
      <c r="R24" s="808"/>
      <c r="S24" s="809"/>
      <c r="T24" s="808"/>
      <c r="U24" s="808"/>
      <c r="V24" s="810"/>
      <c r="W24" s="17"/>
      <c r="X24" s="1231" t="str">
        <f>IF(IGRF!B24="","",IGRF!B24)</f>
        <v/>
      </c>
      <c r="Y24" s="811"/>
      <c r="Z24" s="812"/>
      <c r="AA24" s="813"/>
      <c r="AB24" s="813"/>
      <c r="AC24" s="813"/>
      <c r="AD24" s="814"/>
      <c r="AE24" s="815"/>
      <c r="AF24" s="816"/>
      <c r="AG24" s="817"/>
      <c r="AH24" s="840"/>
      <c r="AI24" s="819"/>
      <c r="AJ24" s="805"/>
      <c r="AK24" s="806"/>
      <c r="AL24" s="807"/>
      <c r="AM24" s="808"/>
      <c r="AN24" s="808"/>
      <c r="AO24" s="808"/>
      <c r="AP24" s="809"/>
      <c r="AQ24" s="808"/>
      <c r="AR24" s="808"/>
      <c r="AS24" s="808"/>
      <c r="AT24" s="809"/>
      <c r="AU24" s="808"/>
      <c r="AV24" s="808"/>
      <c r="AW24" s="808"/>
      <c r="AX24" s="809"/>
      <c r="AY24" s="808"/>
      <c r="AZ24" s="808"/>
      <c r="BA24" s="808"/>
      <c r="BB24" s="809"/>
      <c r="BC24" s="808"/>
      <c r="BD24" s="808"/>
      <c r="BE24" s="810"/>
      <c r="BF24" s="17"/>
      <c r="BG24" s="1231" t="str">
        <f>IF(IGRF!I24="","",IGRF!I24)</f>
        <v/>
      </c>
      <c r="BH24" s="811"/>
      <c r="BI24" s="812"/>
      <c r="BJ24" s="813"/>
      <c r="BK24" s="813"/>
      <c r="BL24" s="813"/>
      <c r="BM24" s="814"/>
      <c r="BN24" s="815"/>
      <c r="BO24" s="816"/>
      <c r="BP24" s="817"/>
      <c r="BQ24" s="840"/>
      <c r="BR24" s="819"/>
    </row>
    <row r="25" spans="1:70" ht="31.9" customHeight="1" thickBot="1" x14ac:dyDescent="0.25">
      <c r="A25" s="820"/>
      <c r="B25" s="821"/>
      <c r="C25" s="822"/>
      <c r="D25" s="808"/>
      <c r="E25" s="808"/>
      <c r="F25" s="808"/>
      <c r="G25" s="823"/>
      <c r="H25" s="808"/>
      <c r="I25" s="808"/>
      <c r="J25" s="808"/>
      <c r="K25" s="823"/>
      <c r="L25" s="808"/>
      <c r="M25" s="808"/>
      <c r="N25" s="808"/>
      <c r="O25" s="823"/>
      <c r="P25" s="808"/>
      <c r="Q25" s="808"/>
      <c r="R25" s="808"/>
      <c r="S25" s="823"/>
      <c r="T25" s="808"/>
      <c r="U25" s="808"/>
      <c r="V25" s="810"/>
      <c r="W25" s="17"/>
      <c r="X25" s="1232"/>
      <c r="Y25" s="824"/>
      <c r="Z25" s="825"/>
      <c r="AA25" s="826"/>
      <c r="AB25" s="826"/>
      <c r="AC25" s="826"/>
      <c r="AD25" s="827"/>
      <c r="AE25" s="828"/>
      <c r="AF25" s="829"/>
      <c r="AG25" s="830"/>
      <c r="AH25" s="831"/>
      <c r="AI25" s="832"/>
      <c r="AJ25" s="820"/>
      <c r="AK25" s="821"/>
      <c r="AL25" s="822"/>
      <c r="AM25" s="808"/>
      <c r="AN25" s="808"/>
      <c r="AO25" s="808"/>
      <c r="AP25" s="823"/>
      <c r="AQ25" s="808"/>
      <c r="AR25" s="808"/>
      <c r="AS25" s="808"/>
      <c r="AT25" s="823"/>
      <c r="AU25" s="808"/>
      <c r="AV25" s="808"/>
      <c r="AW25" s="808"/>
      <c r="AX25" s="823"/>
      <c r="AY25" s="808"/>
      <c r="AZ25" s="808"/>
      <c r="BA25" s="808"/>
      <c r="BB25" s="823"/>
      <c r="BC25" s="808"/>
      <c r="BD25" s="808"/>
      <c r="BE25" s="810"/>
      <c r="BF25" s="17"/>
      <c r="BG25" s="1232"/>
      <c r="BH25" s="824"/>
      <c r="BI25" s="825"/>
      <c r="BJ25" s="826"/>
      <c r="BK25" s="826"/>
      <c r="BL25" s="826"/>
      <c r="BM25" s="827"/>
      <c r="BN25" s="828"/>
      <c r="BO25" s="829"/>
      <c r="BP25" s="830"/>
      <c r="BQ25" s="831"/>
      <c r="BR25" s="832"/>
    </row>
    <row r="26" spans="1:70" ht="31.9" customHeight="1" thickTop="1" thickBot="1" x14ac:dyDescent="0.25">
      <c r="A26" s="805"/>
      <c r="B26" s="806"/>
      <c r="C26" s="807"/>
      <c r="D26" s="808"/>
      <c r="E26" s="808"/>
      <c r="F26" s="808"/>
      <c r="G26" s="809"/>
      <c r="H26" s="808"/>
      <c r="I26" s="808"/>
      <c r="J26" s="808"/>
      <c r="K26" s="809"/>
      <c r="L26" s="808"/>
      <c r="M26" s="808"/>
      <c r="N26" s="808"/>
      <c r="O26" s="809"/>
      <c r="P26" s="808"/>
      <c r="Q26" s="808"/>
      <c r="R26" s="808"/>
      <c r="S26" s="809"/>
      <c r="T26" s="808"/>
      <c r="U26" s="808"/>
      <c r="V26" s="810"/>
      <c r="W26" s="17"/>
      <c r="X26" s="1233" t="str">
        <f>IF(IGRF!B25="","",IGRF!B25)</f>
        <v/>
      </c>
      <c r="Y26" s="833"/>
      <c r="Z26" s="834"/>
      <c r="AA26" s="835"/>
      <c r="AB26" s="835"/>
      <c r="AC26" s="835"/>
      <c r="AD26" s="836"/>
      <c r="AE26" s="837"/>
      <c r="AF26" s="838"/>
      <c r="AG26" s="839"/>
      <c r="AH26" s="840"/>
      <c r="AI26" s="819"/>
      <c r="AJ26" s="805"/>
      <c r="AK26" s="806"/>
      <c r="AL26" s="807"/>
      <c r="AM26" s="808"/>
      <c r="AN26" s="808"/>
      <c r="AO26" s="808"/>
      <c r="AP26" s="809"/>
      <c r="AQ26" s="808"/>
      <c r="AR26" s="808"/>
      <c r="AS26" s="808"/>
      <c r="AT26" s="809"/>
      <c r="AU26" s="808"/>
      <c r="AV26" s="808"/>
      <c r="AW26" s="808"/>
      <c r="AX26" s="809"/>
      <c r="AY26" s="808"/>
      <c r="AZ26" s="808"/>
      <c r="BA26" s="808"/>
      <c r="BB26" s="809"/>
      <c r="BC26" s="808"/>
      <c r="BD26" s="808"/>
      <c r="BE26" s="810"/>
      <c r="BF26" s="17"/>
      <c r="BG26" s="1233" t="str">
        <f>IF(IGRF!I25="","",IGRF!I25)</f>
        <v/>
      </c>
      <c r="BH26" s="833"/>
      <c r="BI26" s="834"/>
      <c r="BJ26" s="835"/>
      <c r="BK26" s="835"/>
      <c r="BL26" s="835"/>
      <c r="BM26" s="836"/>
      <c r="BN26" s="837"/>
      <c r="BO26" s="838"/>
      <c r="BP26" s="839"/>
      <c r="BQ26" s="840"/>
      <c r="BR26" s="819"/>
    </row>
    <row r="27" spans="1:70" ht="31.9" customHeight="1" thickBot="1" x14ac:dyDescent="0.25">
      <c r="A27" s="820"/>
      <c r="B27" s="821"/>
      <c r="C27" s="822"/>
      <c r="D27" s="808"/>
      <c r="E27" s="808"/>
      <c r="F27" s="808"/>
      <c r="G27" s="823"/>
      <c r="H27" s="808"/>
      <c r="I27" s="808"/>
      <c r="J27" s="808"/>
      <c r="K27" s="823"/>
      <c r="L27" s="808"/>
      <c r="M27" s="808"/>
      <c r="N27" s="808"/>
      <c r="O27" s="823"/>
      <c r="P27" s="808"/>
      <c r="Q27" s="808"/>
      <c r="R27" s="808"/>
      <c r="S27" s="823"/>
      <c r="T27" s="808"/>
      <c r="U27" s="808"/>
      <c r="V27" s="810"/>
      <c r="W27" s="17"/>
      <c r="X27" s="1234"/>
      <c r="Y27" s="841"/>
      <c r="Z27" s="842"/>
      <c r="AA27" s="843"/>
      <c r="AB27" s="843"/>
      <c r="AC27" s="843"/>
      <c r="AD27" s="844"/>
      <c r="AE27" s="845"/>
      <c r="AF27" s="846"/>
      <c r="AG27" s="847"/>
      <c r="AH27" s="831"/>
      <c r="AI27" s="832"/>
      <c r="AJ27" s="820"/>
      <c r="AK27" s="821"/>
      <c r="AL27" s="822"/>
      <c r="AM27" s="808"/>
      <c r="AN27" s="808"/>
      <c r="AO27" s="808"/>
      <c r="AP27" s="823"/>
      <c r="AQ27" s="808"/>
      <c r="AR27" s="808"/>
      <c r="AS27" s="808"/>
      <c r="AT27" s="823"/>
      <c r="AU27" s="808"/>
      <c r="AV27" s="808"/>
      <c r="AW27" s="808"/>
      <c r="AX27" s="823"/>
      <c r="AY27" s="808"/>
      <c r="AZ27" s="808"/>
      <c r="BA27" s="808"/>
      <c r="BB27" s="823"/>
      <c r="BC27" s="808"/>
      <c r="BD27" s="808"/>
      <c r="BE27" s="810"/>
      <c r="BF27" s="17"/>
      <c r="BG27" s="1234"/>
      <c r="BH27" s="841"/>
      <c r="BI27" s="842"/>
      <c r="BJ27" s="843"/>
      <c r="BK27" s="843"/>
      <c r="BL27" s="843"/>
      <c r="BM27" s="844"/>
      <c r="BN27" s="845"/>
      <c r="BO27" s="846"/>
      <c r="BP27" s="847"/>
      <c r="BQ27" s="831"/>
      <c r="BR27" s="832"/>
    </row>
    <row r="28" spans="1:70" ht="31.9" customHeight="1" thickTop="1" thickBot="1" x14ac:dyDescent="0.25">
      <c r="A28" s="805"/>
      <c r="B28" s="806"/>
      <c r="C28" s="807"/>
      <c r="D28" s="808"/>
      <c r="E28" s="808"/>
      <c r="F28" s="808"/>
      <c r="G28" s="809"/>
      <c r="H28" s="808"/>
      <c r="I28" s="808"/>
      <c r="J28" s="808"/>
      <c r="K28" s="809"/>
      <c r="L28" s="808"/>
      <c r="M28" s="808"/>
      <c r="N28" s="808"/>
      <c r="O28" s="809"/>
      <c r="P28" s="808"/>
      <c r="Q28" s="808"/>
      <c r="R28" s="808"/>
      <c r="S28" s="809"/>
      <c r="T28" s="808"/>
      <c r="U28" s="808"/>
      <c r="V28" s="810"/>
      <c r="W28" s="17"/>
      <c r="X28" s="1231" t="str">
        <f>IF(IGRF!B26="","",IGRF!B26)</f>
        <v/>
      </c>
      <c r="Y28" s="811"/>
      <c r="Z28" s="812"/>
      <c r="AA28" s="813"/>
      <c r="AB28" s="813"/>
      <c r="AC28" s="813"/>
      <c r="AD28" s="814"/>
      <c r="AE28" s="815"/>
      <c r="AF28" s="816"/>
      <c r="AG28" s="817"/>
      <c r="AH28" s="840"/>
      <c r="AI28" s="819"/>
      <c r="AJ28" s="805"/>
      <c r="AK28" s="806"/>
      <c r="AL28" s="807"/>
      <c r="AM28" s="808"/>
      <c r="AN28" s="808"/>
      <c r="AO28" s="808"/>
      <c r="AP28" s="809"/>
      <c r="AQ28" s="808"/>
      <c r="AR28" s="808"/>
      <c r="AS28" s="808"/>
      <c r="AT28" s="809"/>
      <c r="AU28" s="808"/>
      <c r="AV28" s="808"/>
      <c r="AW28" s="808"/>
      <c r="AX28" s="809"/>
      <c r="AY28" s="808"/>
      <c r="AZ28" s="808"/>
      <c r="BA28" s="808"/>
      <c r="BB28" s="809"/>
      <c r="BC28" s="808"/>
      <c r="BD28" s="808"/>
      <c r="BE28" s="810"/>
      <c r="BF28" s="17"/>
      <c r="BG28" s="1231" t="str">
        <f>IF(IGRF!I26="","",IGRF!I26)</f>
        <v/>
      </c>
      <c r="BH28" s="811"/>
      <c r="BI28" s="812"/>
      <c r="BJ28" s="813"/>
      <c r="BK28" s="813"/>
      <c r="BL28" s="813"/>
      <c r="BM28" s="814"/>
      <c r="BN28" s="815"/>
      <c r="BO28" s="816"/>
      <c r="BP28" s="817"/>
      <c r="BQ28" s="840"/>
      <c r="BR28" s="819"/>
    </row>
    <row r="29" spans="1:70" ht="31.9" customHeight="1" thickBot="1" x14ac:dyDescent="0.25">
      <c r="A29" s="820"/>
      <c r="B29" s="821"/>
      <c r="C29" s="822"/>
      <c r="D29" s="808"/>
      <c r="E29" s="808"/>
      <c r="F29" s="808"/>
      <c r="G29" s="823"/>
      <c r="H29" s="808"/>
      <c r="I29" s="808"/>
      <c r="J29" s="808"/>
      <c r="K29" s="823"/>
      <c r="L29" s="808"/>
      <c r="M29" s="808"/>
      <c r="N29" s="808"/>
      <c r="O29" s="823"/>
      <c r="P29" s="808"/>
      <c r="Q29" s="808"/>
      <c r="R29" s="808"/>
      <c r="S29" s="823"/>
      <c r="T29" s="808"/>
      <c r="U29" s="808"/>
      <c r="V29" s="810"/>
      <c r="W29" s="17"/>
      <c r="X29" s="1232"/>
      <c r="Y29" s="824"/>
      <c r="Z29" s="825"/>
      <c r="AA29" s="826"/>
      <c r="AB29" s="826"/>
      <c r="AC29" s="826"/>
      <c r="AD29" s="827"/>
      <c r="AE29" s="828"/>
      <c r="AF29" s="829"/>
      <c r="AG29" s="830"/>
      <c r="AH29" s="831"/>
      <c r="AI29" s="832"/>
      <c r="AJ29" s="820"/>
      <c r="AK29" s="821"/>
      <c r="AL29" s="822"/>
      <c r="AM29" s="808"/>
      <c r="AN29" s="808"/>
      <c r="AO29" s="808"/>
      <c r="AP29" s="823"/>
      <c r="AQ29" s="808"/>
      <c r="AR29" s="808"/>
      <c r="AS29" s="808"/>
      <c r="AT29" s="823"/>
      <c r="AU29" s="808"/>
      <c r="AV29" s="808"/>
      <c r="AW29" s="808"/>
      <c r="AX29" s="823"/>
      <c r="AY29" s="808"/>
      <c r="AZ29" s="808"/>
      <c r="BA29" s="808"/>
      <c r="BB29" s="823"/>
      <c r="BC29" s="808"/>
      <c r="BD29" s="808"/>
      <c r="BE29" s="810"/>
      <c r="BF29" s="17"/>
      <c r="BG29" s="1232"/>
      <c r="BH29" s="824"/>
      <c r="BI29" s="825"/>
      <c r="BJ29" s="826"/>
      <c r="BK29" s="826"/>
      <c r="BL29" s="826"/>
      <c r="BM29" s="827"/>
      <c r="BN29" s="828"/>
      <c r="BO29" s="829"/>
      <c r="BP29" s="830"/>
      <c r="BQ29" s="831"/>
      <c r="BR29" s="832"/>
    </row>
    <row r="30" spans="1:70" ht="31.9" customHeight="1" thickTop="1" thickBot="1" x14ac:dyDescent="0.25">
      <c r="A30" s="805"/>
      <c r="B30" s="806"/>
      <c r="C30" s="807"/>
      <c r="D30" s="808"/>
      <c r="E30" s="808"/>
      <c r="F30" s="808"/>
      <c r="G30" s="809"/>
      <c r="H30" s="808"/>
      <c r="I30" s="808"/>
      <c r="J30" s="808"/>
      <c r="K30" s="809"/>
      <c r="L30" s="808"/>
      <c r="M30" s="808"/>
      <c r="N30" s="808"/>
      <c r="O30" s="809"/>
      <c r="P30" s="808"/>
      <c r="Q30" s="808"/>
      <c r="R30" s="808"/>
      <c r="S30" s="809"/>
      <c r="T30" s="808"/>
      <c r="U30" s="808"/>
      <c r="V30" s="810"/>
      <c r="W30" s="17"/>
      <c r="X30" s="1233" t="str">
        <f>IF(IGRF!B27="","",IGRF!B27)</f>
        <v/>
      </c>
      <c r="Y30" s="833"/>
      <c r="Z30" s="834"/>
      <c r="AA30" s="835"/>
      <c r="AB30" s="835"/>
      <c r="AC30" s="835"/>
      <c r="AD30" s="836"/>
      <c r="AE30" s="837"/>
      <c r="AF30" s="838"/>
      <c r="AG30" s="839"/>
      <c r="AH30" s="840"/>
      <c r="AI30" s="819"/>
      <c r="AJ30" s="805"/>
      <c r="AK30" s="806"/>
      <c r="AL30" s="807"/>
      <c r="AM30" s="808"/>
      <c r="AN30" s="808"/>
      <c r="AO30" s="808"/>
      <c r="AP30" s="809"/>
      <c r="AQ30" s="808"/>
      <c r="AR30" s="808"/>
      <c r="AS30" s="808"/>
      <c r="AT30" s="809"/>
      <c r="AU30" s="808"/>
      <c r="AV30" s="808"/>
      <c r="AW30" s="808"/>
      <c r="AX30" s="809"/>
      <c r="AY30" s="808"/>
      <c r="AZ30" s="808"/>
      <c r="BA30" s="808"/>
      <c r="BB30" s="809"/>
      <c r="BC30" s="808"/>
      <c r="BD30" s="808"/>
      <c r="BE30" s="810"/>
      <c r="BF30" s="17"/>
      <c r="BG30" s="1233" t="str">
        <f>IF(IGRF!I27="","",IGRF!I27)</f>
        <v/>
      </c>
      <c r="BH30" s="833"/>
      <c r="BI30" s="834"/>
      <c r="BJ30" s="835"/>
      <c r="BK30" s="835"/>
      <c r="BL30" s="835"/>
      <c r="BM30" s="836"/>
      <c r="BN30" s="837"/>
      <c r="BO30" s="838"/>
      <c r="BP30" s="839"/>
      <c r="BQ30" s="840"/>
      <c r="BR30" s="819"/>
    </row>
    <row r="31" spans="1:70" ht="31.9" customHeight="1" thickBot="1" x14ac:dyDescent="0.25">
      <c r="A31" s="820"/>
      <c r="B31" s="821"/>
      <c r="C31" s="822"/>
      <c r="D31" s="808"/>
      <c r="E31" s="808"/>
      <c r="F31" s="808"/>
      <c r="G31" s="823"/>
      <c r="H31" s="808"/>
      <c r="I31" s="808"/>
      <c r="J31" s="808"/>
      <c r="K31" s="823"/>
      <c r="L31" s="808"/>
      <c r="M31" s="808"/>
      <c r="N31" s="808"/>
      <c r="O31" s="823"/>
      <c r="P31" s="808"/>
      <c r="Q31" s="808"/>
      <c r="R31" s="808"/>
      <c r="S31" s="823"/>
      <c r="T31" s="808"/>
      <c r="U31" s="808"/>
      <c r="V31" s="810"/>
      <c r="W31" s="17"/>
      <c r="X31" s="1234"/>
      <c r="Y31" s="841"/>
      <c r="Z31" s="842"/>
      <c r="AA31" s="843"/>
      <c r="AB31" s="843"/>
      <c r="AC31" s="843"/>
      <c r="AD31" s="844"/>
      <c r="AE31" s="845"/>
      <c r="AF31" s="846"/>
      <c r="AG31" s="847"/>
      <c r="AH31" s="831"/>
      <c r="AI31" s="832"/>
      <c r="AJ31" s="820"/>
      <c r="AK31" s="821"/>
      <c r="AL31" s="822"/>
      <c r="AM31" s="808"/>
      <c r="AN31" s="808"/>
      <c r="AO31" s="808"/>
      <c r="AP31" s="823"/>
      <c r="AQ31" s="808"/>
      <c r="AR31" s="808"/>
      <c r="AS31" s="808"/>
      <c r="AT31" s="823"/>
      <c r="AU31" s="808"/>
      <c r="AV31" s="808"/>
      <c r="AW31" s="808"/>
      <c r="AX31" s="823"/>
      <c r="AY31" s="808"/>
      <c r="AZ31" s="808"/>
      <c r="BA31" s="808"/>
      <c r="BB31" s="823"/>
      <c r="BC31" s="808"/>
      <c r="BD31" s="808"/>
      <c r="BE31" s="810"/>
      <c r="BF31" s="17"/>
      <c r="BG31" s="1234"/>
      <c r="BH31" s="841"/>
      <c r="BI31" s="842"/>
      <c r="BJ31" s="843"/>
      <c r="BK31" s="843"/>
      <c r="BL31" s="843"/>
      <c r="BM31" s="844"/>
      <c r="BN31" s="845"/>
      <c r="BO31" s="846"/>
      <c r="BP31" s="847"/>
      <c r="BQ31" s="831"/>
      <c r="BR31" s="832"/>
    </row>
    <row r="32" spans="1:70" ht="31.9" customHeight="1" thickTop="1" thickBot="1" x14ac:dyDescent="0.25">
      <c r="A32" s="805"/>
      <c r="B32" s="806"/>
      <c r="C32" s="807"/>
      <c r="D32" s="808"/>
      <c r="E32" s="808"/>
      <c r="F32" s="808"/>
      <c r="G32" s="809"/>
      <c r="H32" s="808"/>
      <c r="I32" s="808"/>
      <c r="J32" s="808"/>
      <c r="K32" s="809"/>
      <c r="L32" s="808"/>
      <c r="M32" s="808"/>
      <c r="N32" s="808"/>
      <c r="O32" s="809"/>
      <c r="P32" s="808"/>
      <c r="Q32" s="808"/>
      <c r="R32" s="808"/>
      <c r="S32" s="809"/>
      <c r="T32" s="808"/>
      <c r="U32" s="808"/>
      <c r="V32" s="810"/>
      <c r="W32" s="17"/>
      <c r="X32" s="1231" t="str">
        <f>IF(IGRF!B28="","",IGRF!B28)</f>
        <v/>
      </c>
      <c r="Y32" s="811"/>
      <c r="Z32" s="812"/>
      <c r="AA32" s="813"/>
      <c r="AB32" s="813"/>
      <c r="AC32" s="813"/>
      <c r="AD32" s="814"/>
      <c r="AE32" s="815"/>
      <c r="AF32" s="816"/>
      <c r="AG32" s="817"/>
      <c r="AH32" s="840"/>
      <c r="AI32" s="819"/>
      <c r="AJ32" s="805"/>
      <c r="AK32" s="806"/>
      <c r="AL32" s="807"/>
      <c r="AM32" s="808"/>
      <c r="AN32" s="808"/>
      <c r="AO32" s="808"/>
      <c r="AP32" s="809"/>
      <c r="AQ32" s="808"/>
      <c r="AR32" s="808"/>
      <c r="AS32" s="808"/>
      <c r="AT32" s="809"/>
      <c r="AU32" s="808"/>
      <c r="AV32" s="808"/>
      <c r="AW32" s="808"/>
      <c r="AX32" s="809"/>
      <c r="AY32" s="808"/>
      <c r="AZ32" s="808"/>
      <c r="BA32" s="808"/>
      <c r="BB32" s="809"/>
      <c r="BC32" s="808"/>
      <c r="BD32" s="808"/>
      <c r="BE32" s="810"/>
      <c r="BF32" s="17"/>
      <c r="BG32" s="1231" t="str">
        <f>IF(IGRF!I28="","",IGRF!I28)</f>
        <v/>
      </c>
      <c r="BH32" s="811"/>
      <c r="BI32" s="812"/>
      <c r="BJ32" s="813"/>
      <c r="BK32" s="813"/>
      <c r="BL32" s="813"/>
      <c r="BM32" s="814"/>
      <c r="BN32" s="815"/>
      <c r="BO32" s="816"/>
      <c r="BP32" s="817"/>
      <c r="BQ32" s="840"/>
      <c r="BR32" s="819"/>
    </row>
    <row r="33" spans="1:71" ht="31.9" customHeight="1" thickBot="1" x14ac:dyDescent="0.25">
      <c r="A33" s="820"/>
      <c r="B33" s="821"/>
      <c r="C33" s="822"/>
      <c r="D33" s="808"/>
      <c r="E33" s="808"/>
      <c r="F33" s="808"/>
      <c r="G33" s="823"/>
      <c r="H33" s="808"/>
      <c r="I33" s="808"/>
      <c r="J33" s="808"/>
      <c r="K33" s="823"/>
      <c r="L33" s="808"/>
      <c r="M33" s="808"/>
      <c r="N33" s="808"/>
      <c r="O33" s="823"/>
      <c r="P33" s="808"/>
      <c r="Q33" s="808"/>
      <c r="R33" s="808"/>
      <c r="S33" s="823"/>
      <c r="T33" s="808"/>
      <c r="U33" s="808"/>
      <c r="V33" s="810"/>
      <c r="W33" s="17"/>
      <c r="X33" s="1232"/>
      <c r="Y33" s="824"/>
      <c r="Z33" s="825"/>
      <c r="AA33" s="826"/>
      <c r="AB33" s="826"/>
      <c r="AC33" s="826"/>
      <c r="AD33" s="827"/>
      <c r="AE33" s="828"/>
      <c r="AF33" s="829"/>
      <c r="AG33" s="830"/>
      <c r="AH33" s="831"/>
      <c r="AI33" s="832"/>
      <c r="AJ33" s="820"/>
      <c r="AK33" s="821"/>
      <c r="AL33" s="822"/>
      <c r="AM33" s="808"/>
      <c r="AN33" s="808"/>
      <c r="AO33" s="808"/>
      <c r="AP33" s="823"/>
      <c r="AQ33" s="808"/>
      <c r="AR33" s="808"/>
      <c r="AS33" s="808"/>
      <c r="AT33" s="823"/>
      <c r="AU33" s="808"/>
      <c r="AV33" s="808"/>
      <c r="AW33" s="808"/>
      <c r="AX33" s="823"/>
      <c r="AY33" s="808"/>
      <c r="AZ33" s="808"/>
      <c r="BA33" s="808"/>
      <c r="BB33" s="823"/>
      <c r="BC33" s="808"/>
      <c r="BD33" s="808"/>
      <c r="BE33" s="810"/>
      <c r="BF33" s="17"/>
      <c r="BG33" s="1232"/>
      <c r="BH33" s="824"/>
      <c r="BI33" s="825"/>
      <c r="BJ33" s="826"/>
      <c r="BK33" s="826"/>
      <c r="BL33" s="826"/>
      <c r="BM33" s="827"/>
      <c r="BN33" s="828"/>
      <c r="BO33" s="829"/>
      <c r="BP33" s="830"/>
      <c r="BQ33" s="831"/>
      <c r="BR33" s="832"/>
    </row>
    <row r="34" spans="1:71" ht="31.9" customHeight="1" thickTop="1" thickBot="1" x14ac:dyDescent="0.25">
      <c r="A34" s="805"/>
      <c r="B34" s="806"/>
      <c r="C34" s="807"/>
      <c r="D34" s="808"/>
      <c r="E34" s="808"/>
      <c r="F34" s="808"/>
      <c r="G34" s="809"/>
      <c r="H34" s="808"/>
      <c r="I34" s="808"/>
      <c r="J34" s="808"/>
      <c r="K34" s="809"/>
      <c r="L34" s="808"/>
      <c r="M34" s="808"/>
      <c r="N34" s="808"/>
      <c r="O34" s="809"/>
      <c r="P34" s="808"/>
      <c r="Q34" s="808"/>
      <c r="R34" s="808"/>
      <c r="S34" s="809"/>
      <c r="T34" s="808"/>
      <c r="U34" s="808"/>
      <c r="V34" s="810"/>
      <c r="W34" s="17"/>
      <c r="X34" s="1233" t="str">
        <f>IF(IGRF!B29="","",IGRF!B29)</f>
        <v/>
      </c>
      <c r="Y34" s="833"/>
      <c r="Z34" s="834"/>
      <c r="AA34" s="835"/>
      <c r="AB34" s="835"/>
      <c r="AC34" s="835"/>
      <c r="AD34" s="836"/>
      <c r="AE34" s="837"/>
      <c r="AF34" s="838"/>
      <c r="AG34" s="839"/>
      <c r="AH34" s="840"/>
      <c r="AI34" s="819"/>
      <c r="AJ34" s="805"/>
      <c r="AK34" s="806"/>
      <c r="AL34" s="807"/>
      <c r="AM34" s="808"/>
      <c r="AN34" s="808"/>
      <c r="AO34" s="808"/>
      <c r="AP34" s="809"/>
      <c r="AQ34" s="808"/>
      <c r="AR34" s="808"/>
      <c r="AS34" s="808"/>
      <c r="AT34" s="809"/>
      <c r="AU34" s="808"/>
      <c r="AV34" s="808"/>
      <c r="AW34" s="808"/>
      <c r="AX34" s="809"/>
      <c r="AY34" s="808"/>
      <c r="AZ34" s="808"/>
      <c r="BA34" s="808"/>
      <c r="BB34" s="809"/>
      <c r="BC34" s="808"/>
      <c r="BD34" s="808"/>
      <c r="BE34" s="810"/>
      <c r="BF34" s="17"/>
      <c r="BG34" s="1233" t="str">
        <f>IF(IGRF!I29="","",IGRF!I29)</f>
        <v/>
      </c>
      <c r="BH34" s="833"/>
      <c r="BI34" s="834"/>
      <c r="BJ34" s="835"/>
      <c r="BK34" s="835"/>
      <c r="BL34" s="835"/>
      <c r="BM34" s="836"/>
      <c r="BN34" s="837"/>
      <c r="BO34" s="838"/>
      <c r="BP34" s="839"/>
      <c r="BQ34" s="840"/>
      <c r="BR34" s="819"/>
    </row>
    <row r="35" spans="1:71" ht="31.9" customHeight="1" thickBot="1" x14ac:dyDescent="0.25">
      <c r="A35" s="820"/>
      <c r="B35" s="821"/>
      <c r="C35" s="822"/>
      <c r="D35" s="808"/>
      <c r="E35" s="808"/>
      <c r="F35" s="808"/>
      <c r="G35" s="823"/>
      <c r="H35" s="808"/>
      <c r="I35" s="808"/>
      <c r="J35" s="808"/>
      <c r="K35" s="823"/>
      <c r="L35" s="808"/>
      <c r="M35" s="808"/>
      <c r="N35" s="808"/>
      <c r="O35" s="823"/>
      <c r="P35" s="808"/>
      <c r="Q35" s="808"/>
      <c r="R35" s="808"/>
      <c r="S35" s="823"/>
      <c r="T35" s="808"/>
      <c r="U35" s="808"/>
      <c r="V35" s="810"/>
      <c r="W35" s="17"/>
      <c r="X35" s="1234"/>
      <c r="Y35" s="841"/>
      <c r="Z35" s="842"/>
      <c r="AA35" s="843"/>
      <c r="AB35" s="843"/>
      <c r="AC35" s="843"/>
      <c r="AD35" s="844"/>
      <c r="AE35" s="845"/>
      <c r="AF35" s="846"/>
      <c r="AG35" s="847"/>
      <c r="AH35" s="831"/>
      <c r="AI35" s="832"/>
      <c r="AJ35" s="820"/>
      <c r="AK35" s="821"/>
      <c r="AL35" s="822"/>
      <c r="AM35" s="808"/>
      <c r="AN35" s="808"/>
      <c r="AO35" s="808"/>
      <c r="AP35" s="823"/>
      <c r="AQ35" s="808"/>
      <c r="AR35" s="808"/>
      <c r="AS35" s="808"/>
      <c r="AT35" s="823"/>
      <c r="AU35" s="808"/>
      <c r="AV35" s="808"/>
      <c r="AW35" s="808"/>
      <c r="AX35" s="823"/>
      <c r="AY35" s="808"/>
      <c r="AZ35" s="808"/>
      <c r="BA35" s="808"/>
      <c r="BB35" s="823"/>
      <c r="BC35" s="808"/>
      <c r="BD35" s="808"/>
      <c r="BE35" s="810"/>
      <c r="BF35" s="17"/>
      <c r="BG35" s="1234"/>
      <c r="BH35" s="841"/>
      <c r="BI35" s="842"/>
      <c r="BJ35" s="843"/>
      <c r="BK35" s="843"/>
      <c r="BL35" s="843"/>
      <c r="BM35" s="844"/>
      <c r="BN35" s="845"/>
      <c r="BO35" s="846"/>
      <c r="BP35" s="847"/>
      <c r="BQ35" s="831"/>
      <c r="BR35" s="832"/>
    </row>
    <row r="36" spans="1:71" ht="31.9" customHeight="1" thickTop="1" thickBot="1" x14ac:dyDescent="0.25">
      <c r="A36" s="805"/>
      <c r="B36" s="806"/>
      <c r="C36" s="807"/>
      <c r="D36" s="808"/>
      <c r="E36" s="808"/>
      <c r="F36" s="808"/>
      <c r="G36" s="809"/>
      <c r="H36" s="808"/>
      <c r="I36" s="808"/>
      <c r="J36" s="808"/>
      <c r="K36" s="809"/>
      <c r="L36" s="808"/>
      <c r="M36" s="808"/>
      <c r="N36" s="808"/>
      <c r="O36" s="809"/>
      <c r="P36" s="808"/>
      <c r="Q36" s="808"/>
      <c r="R36" s="808"/>
      <c r="S36" s="809"/>
      <c r="T36" s="808"/>
      <c r="U36" s="808"/>
      <c r="V36" s="810"/>
      <c r="W36" s="17"/>
      <c r="X36" s="1231" t="str">
        <f>IF(IGRF!B30="","",IGRF!B30)</f>
        <v/>
      </c>
      <c r="Y36" s="811"/>
      <c r="Z36" s="812"/>
      <c r="AA36" s="813"/>
      <c r="AB36" s="813"/>
      <c r="AC36" s="813"/>
      <c r="AD36" s="814"/>
      <c r="AE36" s="815"/>
      <c r="AF36" s="816"/>
      <c r="AG36" s="817"/>
      <c r="AH36" s="840"/>
      <c r="AI36" s="819"/>
      <c r="AJ36" s="805"/>
      <c r="AK36" s="806"/>
      <c r="AL36" s="807"/>
      <c r="AM36" s="808"/>
      <c r="AN36" s="808"/>
      <c r="AO36" s="808"/>
      <c r="AP36" s="809"/>
      <c r="AQ36" s="808"/>
      <c r="AR36" s="808"/>
      <c r="AS36" s="808"/>
      <c r="AT36" s="809"/>
      <c r="AU36" s="808"/>
      <c r="AV36" s="808"/>
      <c r="AW36" s="808"/>
      <c r="AX36" s="809"/>
      <c r="AY36" s="808"/>
      <c r="AZ36" s="808"/>
      <c r="BA36" s="808"/>
      <c r="BB36" s="809"/>
      <c r="BC36" s="808"/>
      <c r="BD36" s="808"/>
      <c r="BE36" s="810"/>
      <c r="BF36" s="17"/>
      <c r="BG36" s="1231" t="str">
        <f>IF(IGRF!I30="","",IGRF!I30)</f>
        <v/>
      </c>
      <c r="BH36" s="811"/>
      <c r="BI36" s="812"/>
      <c r="BJ36" s="813"/>
      <c r="BK36" s="813"/>
      <c r="BL36" s="813"/>
      <c r="BM36" s="814"/>
      <c r="BN36" s="815"/>
      <c r="BO36" s="816"/>
      <c r="BP36" s="817"/>
      <c r="BQ36" s="840"/>
      <c r="BR36" s="819"/>
    </row>
    <row r="37" spans="1:71" ht="31.9" customHeight="1" thickBot="1" x14ac:dyDescent="0.25">
      <c r="A37" s="820"/>
      <c r="B37" s="821"/>
      <c r="C37" s="822"/>
      <c r="D37" s="808"/>
      <c r="E37" s="808"/>
      <c r="F37" s="808"/>
      <c r="G37" s="823"/>
      <c r="H37" s="808"/>
      <c r="I37" s="808"/>
      <c r="J37" s="808"/>
      <c r="K37" s="823"/>
      <c r="L37" s="808"/>
      <c r="M37" s="808"/>
      <c r="N37" s="808"/>
      <c r="O37" s="823"/>
      <c r="P37" s="808"/>
      <c r="Q37" s="808"/>
      <c r="R37" s="808"/>
      <c r="S37" s="823"/>
      <c r="T37" s="808"/>
      <c r="U37" s="808"/>
      <c r="V37" s="810"/>
      <c r="W37" s="17"/>
      <c r="X37" s="1232"/>
      <c r="Y37" s="824"/>
      <c r="Z37" s="825"/>
      <c r="AA37" s="826"/>
      <c r="AB37" s="826"/>
      <c r="AC37" s="826"/>
      <c r="AD37" s="827"/>
      <c r="AE37" s="828"/>
      <c r="AF37" s="829"/>
      <c r="AG37" s="830"/>
      <c r="AH37" s="831"/>
      <c r="AI37" s="832"/>
      <c r="AJ37" s="820"/>
      <c r="AK37" s="821"/>
      <c r="AL37" s="822"/>
      <c r="AM37" s="808"/>
      <c r="AN37" s="808"/>
      <c r="AO37" s="808"/>
      <c r="AP37" s="823"/>
      <c r="AQ37" s="808"/>
      <c r="AR37" s="808"/>
      <c r="AS37" s="808"/>
      <c r="AT37" s="823"/>
      <c r="AU37" s="808"/>
      <c r="AV37" s="808"/>
      <c r="AW37" s="808"/>
      <c r="AX37" s="823"/>
      <c r="AY37" s="808"/>
      <c r="AZ37" s="808"/>
      <c r="BA37" s="808"/>
      <c r="BB37" s="823"/>
      <c r="BC37" s="808"/>
      <c r="BD37" s="808"/>
      <c r="BE37" s="810"/>
      <c r="BF37" s="17"/>
      <c r="BG37" s="1232"/>
      <c r="BH37" s="824"/>
      <c r="BI37" s="825"/>
      <c r="BJ37" s="826"/>
      <c r="BK37" s="826"/>
      <c r="BL37" s="826"/>
      <c r="BM37" s="827"/>
      <c r="BN37" s="828"/>
      <c r="BO37" s="829"/>
      <c r="BP37" s="830"/>
      <c r="BQ37" s="831"/>
      <c r="BR37" s="832"/>
    </row>
    <row r="38" spans="1:71" ht="31.9" customHeight="1" thickTop="1" thickBot="1" x14ac:dyDescent="0.25">
      <c r="A38" s="805"/>
      <c r="B38" s="806"/>
      <c r="C38" s="807"/>
      <c r="D38" s="808"/>
      <c r="E38" s="808"/>
      <c r="F38" s="808"/>
      <c r="G38" s="809"/>
      <c r="H38" s="808"/>
      <c r="I38" s="808"/>
      <c r="J38" s="808"/>
      <c r="K38" s="809"/>
      <c r="L38" s="808"/>
      <c r="M38" s="808"/>
      <c r="N38" s="808"/>
      <c r="O38" s="809"/>
      <c r="P38" s="808"/>
      <c r="Q38" s="808"/>
      <c r="R38" s="808"/>
      <c r="S38" s="809"/>
      <c r="T38" s="808"/>
      <c r="U38" s="808"/>
      <c r="V38" s="810"/>
      <c r="W38" s="17"/>
      <c r="X38" s="1233" t="str">
        <f>IF(IGRF!B31="","",IGRF!B31)</f>
        <v/>
      </c>
      <c r="Y38" s="833"/>
      <c r="Z38" s="834"/>
      <c r="AA38" s="835"/>
      <c r="AB38" s="835"/>
      <c r="AC38" s="835"/>
      <c r="AD38" s="836"/>
      <c r="AE38" s="837"/>
      <c r="AF38" s="838"/>
      <c r="AG38" s="839"/>
      <c r="AH38" s="840"/>
      <c r="AI38" s="819"/>
      <c r="AJ38" s="805"/>
      <c r="AK38" s="806"/>
      <c r="AL38" s="807"/>
      <c r="AM38" s="808"/>
      <c r="AN38" s="808"/>
      <c r="AO38" s="808"/>
      <c r="AP38" s="809"/>
      <c r="AQ38" s="808"/>
      <c r="AR38" s="808"/>
      <c r="AS38" s="808"/>
      <c r="AT38" s="809"/>
      <c r="AU38" s="808"/>
      <c r="AV38" s="808"/>
      <c r="AW38" s="808"/>
      <c r="AX38" s="809"/>
      <c r="AY38" s="808"/>
      <c r="AZ38" s="808"/>
      <c r="BA38" s="808"/>
      <c r="BB38" s="809"/>
      <c r="BC38" s="808"/>
      <c r="BD38" s="808"/>
      <c r="BE38" s="810"/>
      <c r="BF38" s="17"/>
      <c r="BG38" s="1233" t="str">
        <f>IF(IGRF!I31="","",IGRF!I31)</f>
        <v/>
      </c>
      <c r="BH38" s="833"/>
      <c r="BI38" s="834"/>
      <c r="BJ38" s="835"/>
      <c r="BK38" s="835"/>
      <c r="BL38" s="835"/>
      <c r="BM38" s="836"/>
      <c r="BN38" s="837"/>
      <c r="BO38" s="838"/>
      <c r="BP38" s="839"/>
      <c r="BQ38" s="840"/>
      <c r="BR38" s="819"/>
    </row>
    <row r="39" spans="1:71" ht="31.9" customHeight="1" thickBot="1" x14ac:dyDescent="0.25">
      <c r="A39" s="820"/>
      <c r="B39" s="821"/>
      <c r="C39" s="822"/>
      <c r="D39" s="808"/>
      <c r="E39" s="808"/>
      <c r="F39" s="808"/>
      <c r="G39" s="823"/>
      <c r="H39" s="808"/>
      <c r="I39" s="808"/>
      <c r="J39" s="808"/>
      <c r="K39" s="823"/>
      <c r="L39" s="808"/>
      <c r="M39" s="808"/>
      <c r="N39" s="808"/>
      <c r="O39" s="823"/>
      <c r="P39" s="808"/>
      <c r="Q39" s="808"/>
      <c r="R39" s="808"/>
      <c r="S39" s="823"/>
      <c r="T39" s="808"/>
      <c r="U39" s="808"/>
      <c r="V39" s="810"/>
      <c r="W39" s="17"/>
      <c r="X39" s="1234"/>
      <c r="Y39" s="841"/>
      <c r="Z39" s="842"/>
      <c r="AA39" s="843"/>
      <c r="AB39" s="843"/>
      <c r="AC39" s="843"/>
      <c r="AD39" s="844"/>
      <c r="AE39" s="845"/>
      <c r="AF39" s="846"/>
      <c r="AG39" s="847"/>
      <c r="AH39" s="831"/>
      <c r="AI39" s="832"/>
      <c r="AJ39" s="820"/>
      <c r="AK39" s="821"/>
      <c r="AL39" s="822"/>
      <c r="AM39" s="808"/>
      <c r="AN39" s="808"/>
      <c r="AO39" s="808"/>
      <c r="AP39" s="823"/>
      <c r="AQ39" s="808"/>
      <c r="AR39" s="808"/>
      <c r="AS39" s="808"/>
      <c r="AT39" s="823"/>
      <c r="AU39" s="808"/>
      <c r="AV39" s="808"/>
      <c r="AW39" s="808"/>
      <c r="AX39" s="823"/>
      <c r="AY39" s="808"/>
      <c r="AZ39" s="808"/>
      <c r="BA39" s="808"/>
      <c r="BB39" s="823"/>
      <c r="BC39" s="808"/>
      <c r="BD39" s="808"/>
      <c r="BE39" s="810"/>
      <c r="BF39" s="17"/>
      <c r="BG39" s="1234"/>
      <c r="BH39" s="841"/>
      <c r="BI39" s="842"/>
      <c r="BJ39" s="843"/>
      <c r="BK39" s="843"/>
      <c r="BL39" s="843"/>
      <c r="BM39" s="844"/>
      <c r="BN39" s="845"/>
      <c r="BO39" s="846"/>
      <c r="BP39" s="847"/>
      <c r="BQ39" s="831"/>
      <c r="BR39" s="832"/>
    </row>
    <row r="40" spans="1:71" ht="31.9" customHeight="1" thickTop="1" thickBot="1" x14ac:dyDescent="0.25">
      <c r="A40" s="805"/>
      <c r="B40" s="806"/>
      <c r="C40" s="807"/>
      <c r="D40" s="808"/>
      <c r="E40" s="808"/>
      <c r="F40" s="808"/>
      <c r="G40" s="809"/>
      <c r="H40" s="808"/>
      <c r="I40" s="808"/>
      <c r="J40" s="808"/>
      <c r="K40" s="809"/>
      <c r="L40" s="808"/>
      <c r="M40" s="808"/>
      <c r="N40" s="808"/>
      <c r="O40" s="809"/>
      <c r="P40" s="808"/>
      <c r="Q40" s="808"/>
      <c r="R40" s="808"/>
      <c r="S40" s="809"/>
      <c r="T40" s="808"/>
      <c r="U40" s="808"/>
      <c r="V40" s="810"/>
      <c r="W40" s="17"/>
      <c r="X40" s="1231" t="str">
        <f>IF(IGRF!B32="","",IGRF!B32)</f>
        <v/>
      </c>
      <c r="Y40" s="811"/>
      <c r="Z40" s="812"/>
      <c r="AA40" s="813"/>
      <c r="AB40" s="813"/>
      <c r="AC40" s="813"/>
      <c r="AD40" s="814"/>
      <c r="AE40" s="815"/>
      <c r="AF40" s="816"/>
      <c r="AG40" s="817"/>
      <c r="AH40" s="840"/>
      <c r="AI40" s="819"/>
      <c r="AJ40" s="805"/>
      <c r="AK40" s="806"/>
      <c r="AL40" s="807"/>
      <c r="AM40" s="808"/>
      <c r="AN40" s="808"/>
      <c r="AO40" s="808"/>
      <c r="AP40" s="809"/>
      <c r="AQ40" s="808"/>
      <c r="AR40" s="808"/>
      <c r="AS40" s="808"/>
      <c r="AT40" s="809"/>
      <c r="AU40" s="808"/>
      <c r="AV40" s="808"/>
      <c r="AW40" s="808"/>
      <c r="AX40" s="809"/>
      <c r="AY40" s="808"/>
      <c r="AZ40" s="808"/>
      <c r="BA40" s="808"/>
      <c r="BB40" s="809"/>
      <c r="BC40" s="808"/>
      <c r="BD40" s="808"/>
      <c r="BE40" s="810"/>
      <c r="BF40" s="17"/>
      <c r="BG40" s="1231" t="str">
        <f>IF(IGRF!I32="","",IGRF!I32)</f>
        <v/>
      </c>
      <c r="BH40" s="811"/>
      <c r="BI40" s="812"/>
      <c r="BJ40" s="813"/>
      <c r="BK40" s="813"/>
      <c r="BL40" s="813"/>
      <c r="BM40" s="814"/>
      <c r="BN40" s="815"/>
      <c r="BO40" s="816"/>
      <c r="BP40" s="817"/>
      <c r="BQ40" s="840"/>
      <c r="BR40" s="819"/>
    </row>
    <row r="41" spans="1:71" ht="31.9" customHeight="1" thickBot="1" x14ac:dyDescent="0.25">
      <c r="A41" s="820"/>
      <c r="B41" s="821"/>
      <c r="C41" s="822"/>
      <c r="D41" s="808"/>
      <c r="E41" s="808"/>
      <c r="F41" s="808"/>
      <c r="G41" s="823"/>
      <c r="H41" s="808"/>
      <c r="I41" s="808"/>
      <c r="J41" s="808"/>
      <c r="K41" s="823"/>
      <c r="L41" s="808"/>
      <c r="M41" s="808"/>
      <c r="N41" s="808"/>
      <c r="O41" s="823"/>
      <c r="P41" s="808"/>
      <c r="Q41" s="808"/>
      <c r="R41" s="808"/>
      <c r="S41" s="823"/>
      <c r="T41" s="808"/>
      <c r="U41" s="808"/>
      <c r="V41" s="810"/>
      <c r="W41" s="17"/>
      <c r="X41" s="1232"/>
      <c r="Y41" s="824"/>
      <c r="Z41" s="825"/>
      <c r="AA41" s="826"/>
      <c r="AB41" s="826"/>
      <c r="AC41" s="826"/>
      <c r="AD41" s="827"/>
      <c r="AE41" s="828"/>
      <c r="AF41" s="829"/>
      <c r="AG41" s="830"/>
      <c r="AH41" s="831"/>
      <c r="AI41" s="832"/>
      <c r="AJ41" s="820"/>
      <c r="AK41" s="821"/>
      <c r="AL41" s="822"/>
      <c r="AM41" s="808"/>
      <c r="AN41" s="808"/>
      <c r="AO41" s="808"/>
      <c r="AP41" s="823"/>
      <c r="AQ41" s="808"/>
      <c r="AR41" s="808"/>
      <c r="AS41" s="808"/>
      <c r="AT41" s="823"/>
      <c r="AU41" s="808"/>
      <c r="AV41" s="808"/>
      <c r="AW41" s="808"/>
      <c r="AX41" s="823"/>
      <c r="AY41" s="808"/>
      <c r="AZ41" s="808"/>
      <c r="BA41" s="808"/>
      <c r="BB41" s="823"/>
      <c r="BC41" s="808"/>
      <c r="BD41" s="808"/>
      <c r="BE41" s="810"/>
      <c r="BF41" s="17"/>
      <c r="BG41" s="1232"/>
      <c r="BH41" s="824"/>
      <c r="BI41" s="825"/>
      <c r="BJ41" s="826"/>
      <c r="BK41" s="826"/>
      <c r="BL41" s="826"/>
      <c r="BM41" s="827"/>
      <c r="BN41" s="828"/>
      <c r="BO41" s="829"/>
      <c r="BP41" s="830"/>
      <c r="BQ41" s="831"/>
      <c r="BR41" s="832"/>
    </row>
    <row r="42" spans="1:71" ht="31.9" customHeight="1" thickTop="1" x14ac:dyDescent="0.2">
      <c r="A42" s="1236" t="s">
        <v>527</v>
      </c>
      <c r="B42" s="1236"/>
      <c r="C42" s="1236"/>
      <c r="D42" s="1236"/>
      <c r="E42" s="1236"/>
      <c r="F42" s="1236"/>
      <c r="G42" s="1236"/>
      <c r="H42" s="1236"/>
      <c r="I42" s="1236"/>
      <c r="J42" s="1236"/>
      <c r="K42" s="1236"/>
      <c r="L42" s="1236"/>
      <c r="M42" s="1236"/>
      <c r="N42" s="1236"/>
      <c r="O42" s="1236"/>
      <c r="P42" s="1236"/>
      <c r="Q42" s="1236"/>
      <c r="R42" s="1236"/>
      <c r="S42" s="848" t="s">
        <v>481</v>
      </c>
      <c r="T42" s="849"/>
      <c r="U42" s="850"/>
      <c r="V42" s="851"/>
      <c r="W42" s="852"/>
      <c r="X42" s="1233" t="str">
        <f>IF(IGRF!B33="","",IGRF!B33)</f>
        <v/>
      </c>
      <c r="Y42" s="833"/>
      <c r="Z42" s="834"/>
      <c r="AA42" s="835"/>
      <c r="AB42" s="835"/>
      <c r="AC42" s="835"/>
      <c r="AD42" s="836"/>
      <c r="AE42" s="837"/>
      <c r="AF42" s="838"/>
      <c r="AG42" s="839"/>
      <c r="AH42" s="840"/>
      <c r="AI42" s="819"/>
      <c r="AJ42" s="1236" t="s">
        <v>527</v>
      </c>
      <c r="AK42" s="1236"/>
      <c r="AL42" s="1236"/>
      <c r="AM42" s="1236"/>
      <c r="AN42" s="1236"/>
      <c r="AO42" s="1236"/>
      <c r="AP42" s="1236"/>
      <c r="AQ42" s="1236"/>
      <c r="AR42" s="1236"/>
      <c r="AS42" s="1236"/>
      <c r="AT42" s="1236"/>
      <c r="AU42" s="1236"/>
      <c r="AV42" s="1236"/>
      <c r="AW42" s="1236"/>
      <c r="AX42" s="1236"/>
      <c r="AY42" s="1236"/>
      <c r="AZ42" s="1236"/>
      <c r="BA42" s="1236"/>
      <c r="BB42" s="848" t="s">
        <v>481</v>
      </c>
      <c r="BC42" s="849"/>
      <c r="BD42" s="850"/>
      <c r="BE42" s="851"/>
      <c r="BF42" s="852"/>
      <c r="BG42" s="1233" t="str">
        <f>IF(IGRF!I33="","",IGRF!I33)</f>
        <v/>
      </c>
      <c r="BH42" s="833"/>
      <c r="BI42" s="834"/>
      <c r="BJ42" s="835"/>
      <c r="BK42" s="835"/>
      <c r="BL42" s="835"/>
      <c r="BM42" s="836"/>
      <c r="BN42" s="837"/>
      <c r="BO42" s="838"/>
      <c r="BP42" s="839"/>
      <c r="BQ42" s="840"/>
      <c r="BR42" s="819"/>
    </row>
    <row r="43" spans="1:71" ht="31.9" customHeight="1" thickBot="1" x14ac:dyDescent="0.25">
      <c r="A43" s="1237"/>
      <c r="B43" s="1237"/>
      <c r="C43" s="1237"/>
      <c r="D43" s="1237"/>
      <c r="E43" s="1237"/>
      <c r="F43" s="1237"/>
      <c r="G43" s="1237"/>
      <c r="H43" s="1237"/>
      <c r="I43" s="1237"/>
      <c r="J43" s="1237"/>
      <c r="K43" s="1237"/>
      <c r="L43" s="1237"/>
      <c r="M43" s="1237"/>
      <c r="N43" s="1237"/>
      <c r="O43" s="1237"/>
      <c r="P43" s="1237"/>
      <c r="Q43" s="1237"/>
      <c r="R43" s="1237"/>
      <c r="S43" s="853"/>
      <c r="T43" s="854"/>
      <c r="U43" s="855"/>
      <c r="V43" s="856"/>
      <c r="W43" s="852"/>
      <c r="X43" s="1234"/>
      <c r="Y43" s="841"/>
      <c r="Z43" s="842"/>
      <c r="AA43" s="843"/>
      <c r="AB43" s="843"/>
      <c r="AC43" s="843"/>
      <c r="AD43" s="844"/>
      <c r="AE43" s="845"/>
      <c r="AF43" s="846"/>
      <c r="AG43" s="847"/>
      <c r="AH43" s="831"/>
      <c r="AI43" s="832"/>
      <c r="AJ43" s="1237"/>
      <c r="AK43" s="1237"/>
      <c r="AL43" s="1237"/>
      <c r="AM43" s="1237"/>
      <c r="AN43" s="1237"/>
      <c r="AO43" s="1237"/>
      <c r="AP43" s="1237"/>
      <c r="AQ43" s="1237"/>
      <c r="AR43" s="1237"/>
      <c r="AS43" s="1237"/>
      <c r="AT43" s="1237"/>
      <c r="AU43" s="1237"/>
      <c r="AV43" s="1237"/>
      <c r="AW43" s="1237"/>
      <c r="AX43" s="1237"/>
      <c r="AY43" s="1237"/>
      <c r="AZ43" s="1237"/>
      <c r="BA43" s="1237"/>
      <c r="BB43" s="853"/>
      <c r="BC43" s="854"/>
      <c r="BD43" s="855"/>
      <c r="BE43" s="856"/>
      <c r="BF43" s="852"/>
      <c r="BG43" s="1234"/>
      <c r="BH43" s="841"/>
      <c r="BI43" s="842"/>
      <c r="BJ43" s="843"/>
      <c r="BK43" s="843"/>
      <c r="BL43" s="843"/>
      <c r="BM43" s="844"/>
      <c r="BN43" s="845"/>
      <c r="BO43" s="846"/>
      <c r="BP43" s="847"/>
      <c r="BQ43" s="831"/>
      <c r="BR43" s="832"/>
      <c r="BS43" s="298"/>
    </row>
    <row r="44" spans="1:71" s="298" customFormat="1" ht="28.5" customHeight="1" x14ac:dyDescent="0.2">
      <c r="A44" s="1237"/>
      <c r="B44" s="1237"/>
      <c r="C44" s="1237"/>
      <c r="D44" s="1237"/>
      <c r="E44" s="1237"/>
      <c r="F44" s="1237"/>
      <c r="G44" s="1237"/>
      <c r="H44" s="1237"/>
      <c r="I44" s="1237"/>
      <c r="J44" s="1237"/>
      <c r="K44" s="1237"/>
      <c r="L44" s="1237"/>
      <c r="M44" s="1237"/>
      <c r="N44" s="1237"/>
      <c r="O44" s="1237"/>
      <c r="P44" s="1237"/>
      <c r="Q44" s="1237"/>
      <c r="R44" s="1237"/>
      <c r="S44" s="853"/>
      <c r="T44" s="853"/>
      <c r="U44" s="853"/>
      <c r="V44" s="853"/>
      <c r="W44" s="852"/>
      <c r="X44" s="857"/>
      <c r="Y44" s="858"/>
      <c r="Z44" s="858"/>
      <c r="AA44" s="858"/>
      <c r="AB44" s="858"/>
      <c r="AC44" s="1238" t="s">
        <v>482</v>
      </c>
      <c r="AD44" s="1238"/>
      <c r="AE44" s="1238"/>
      <c r="AF44" s="1238"/>
      <c r="AG44" s="1238"/>
      <c r="AH44" s="1238"/>
      <c r="AI44" s="1238"/>
      <c r="AJ44" s="1237"/>
      <c r="AK44" s="1237"/>
      <c r="AL44" s="1237"/>
      <c r="AM44" s="1237"/>
      <c r="AN44" s="1237"/>
      <c r="AO44" s="1237"/>
      <c r="AP44" s="1237"/>
      <c r="AQ44" s="1237"/>
      <c r="AR44" s="1237"/>
      <c r="AS44" s="1237"/>
      <c r="AT44" s="1237"/>
      <c r="AU44" s="1237"/>
      <c r="AV44" s="1237"/>
      <c r="AW44" s="1237"/>
      <c r="AX44" s="1237"/>
      <c r="AY44" s="1237"/>
      <c r="AZ44" s="1237"/>
      <c r="BA44" s="1237"/>
      <c r="BB44" s="853"/>
      <c r="BC44" s="853"/>
      <c r="BD44" s="853"/>
      <c r="BE44" s="853"/>
      <c r="BF44" s="852"/>
      <c r="BG44" s="857"/>
      <c r="BH44" s="857"/>
      <c r="BI44" s="858"/>
      <c r="BJ44" s="858"/>
      <c r="BK44" s="858"/>
      <c r="BL44" s="1238" t="s">
        <v>482</v>
      </c>
      <c r="BM44" s="1238"/>
      <c r="BN44" s="1238"/>
      <c r="BO44" s="1238"/>
      <c r="BP44" s="1238"/>
      <c r="BQ44" s="1238"/>
      <c r="BR44" s="1238"/>
      <c r="BS44" s="859"/>
    </row>
    <row r="45" spans="1:71" s="298" customFormat="1" ht="28.9" customHeight="1" x14ac:dyDescent="0.35">
      <c r="A45" s="1225" t="str">
        <f>A1</f>
        <v>Home Team</v>
      </c>
      <c r="B45" s="1225"/>
      <c r="C45" s="1225"/>
      <c r="D45" s="1225"/>
      <c r="E45" s="1225"/>
      <c r="F45" s="1225"/>
      <c r="G45" s="1225"/>
      <c r="H45" s="1225"/>
      <c r="I45" s="1225"/>
      <c r="J45" s="1225"/>
      <c r="K45" s="1220" t="str">
        <f>K1</f>
        <v/>
      </c>
      <c r="L45" s="1220"/>
      <c r="M45" s="1220"/>
      <c r="N45" s="1220"/>
      <c r="O45" s="1220"/>
      <c r="P45" s="1227" t="str">
        <f>P1</f>
        <v/>
      </c>
      <c r="Q45" s="1227"/>
      <c r="R45" s="1227"/>
      <c r="S45" s="1227"/>
      <c r="T45" s="1228"/>
      <c r="U45" s="1228"/>
      <c r="V45" s="1228"/>
      <c r="W45" s="1228"/>
      <c r="X45" s="1228"/>
      <c r="Y45" s="1228"/>
      <c r="Z45" s="1228"/>
      <c r="AA45" s="1228"/>
      <c r="AB45" s="1228"/>
      <c r="AC45" s="1228"/>
      <c r="AD45" s="1228"/>
      <c r="AE45" s="1228"/>
      <c r="AF45" s="1229">
        <v>2</v>
      </c>
      <c r="AG45" s="1229"/>
      <c r="AH45" s="1229"/>
      <c r="AI45" s="1229"/>
      <c r="AJ45" s="1225" t="str">
        <f>AJ1</f>
        <v>Away Team</v>
      </c>
      <c r="AK45" s="1225"/>
      <c r="AL45" s="1225"/>
      <c r="AM45" s="1225"/>
      <c r="AN45" s="1225"/>
      <c r="AO45" s="1225"/>
      <c r="AP45" s="1225"/>
      <c r="AQ45" s="1225"/>
      <c r="AR45" s="1225"/>
      <c r="AS45" s="1225"/>
      <c r="AT45" s="1220" t="str">
        <f>AT1</f>
        <v/>
      </c>
      <c r="AU45" s="1220"/>
      <c r="AV45" s="1220"/>
      <c r="AW45" s="1220"/>
      <c r="AX45" s="1220"/>
      <c r="AY45" s="1227" t="str">
        <f>AY1</f>
        <v/>
      </c>
      <c r="AZ45" s="1227"/>
      <c r="BA45" s="1227"/>
      <c r="BB45" s="1227"/>
      <c r="BC45" s="1228"/>
      <c r="BD45" s="1228"/>
      <c r="BE45" s="1228"/>
      <c r="BF45" s="1228"/>
      <c r="BG45" s="1228"/>
      <c r="BH45" s="1228"/>
      <c r="BI45" s="1228"/>
      <c r="BJ45" s="1228"/>
      <c r="BK45" s="1228"/>
      <c r="BL45" s="1228"/>
      <c r="BM45" s="1228"/>
      <c r="BN45" s="1228"/>
      <c r="BO45" s="1229">
        <v>2</v>
      </c>
      <c r="BP45" s="1229"/>
      <c r="BQ45" s="1229"/>
      <c r="BR45" s="1229"/>
    </row>
    <row r="46" spans="1:71" s="298" customFormat="1" ht="15" customHeight="1" thickBot="1" x14ac:dyDescent="0.25">
      <c r="A46" s="1226"/>
      <c r="B46" s="1226"/>
      <c r="C46" s="1226"/>
      <c r="D46" s="1226"/>
      <c r="E46" s="1226"/>
      <c r="F46" s="1226"/>
      <c r="G46" s="1226"/>
      <c r="H46" s="1226"/>
      <c r="I46" s="1226"/>
      <c r="J46" s="1226"/>
      <c r="K46" s="1218" t="s">
        <v>187</v>
      </c>
      <c r="L46" s="1218"/>
      <c r="M46" s="1218"/>
      <c r="N46" s="1218"/>
      <c r="O46" s="1218"/>
      <c r="P46" s="1235" t="s">
        <v>190</v>
      </c>
      <c r="Q46" s="1235"/>
      <c r="R46" s="1235"/>
      <c r="S46" s="1235"/>
      <c r="T46" s="1218" t="s">
        <v>479</v>
      </c>
      <c r="U46" s="1218"/>
      <c r="V46" s="1218"/>
      <c r="W46" s="1218"/>
      <c r="X46" s="1218"/>
      <c r="Y46" s="1218"/>
      <c r="Z46" s="1218"/>
      <c r="AA46" s="1218"/>
      <c r="AB46" s="1218"/>
      <c r="AC46" s="1218"/>
      <c r="AD46" s="1218"/>
      <c r="AE46" s="1218"/>
      <c r="AF46" s="1224" t="str">
        <f>AF2</f>
        <v/>
      </c>
      <c r="AG46" s="1224"/>
      <c r="AH46" s="1224"/>
      <c r="AI46" s="1224"/>
      <c r="AJ46" s="1226"/>
      <c r="AK46" s="1226"/>
      <c r="AL46" s="1226"/>
      <c r="AM46" s="1226"/>
      <c r="AN46" s="1226"/>
      <c r="AO46" s="1226"/>
      <c r="AP46" s="1226"/>
      <c r="AQ46" s="1226"/>
      <c r="AR46" s="1226"/>
      <c r="AS46" s="1226"/>
      <c r="AT46" s="1218" t="s">
        <v>187</v>
      </c>
      <c r="AU46" s="1218"/>
      <c r="AV46" s="1218"/>
      <c r="AW46" s="1218"/>
      <c r="AX46" s="1218"/>
      <c r="AY46" s="1235" t="s">
        <v>190</v>
      </c>
      <c r="AZ46" s="1235"/>
      <c r="BA46" s="1235"/>
      <c r="BB46" s="1235"/>
      <c r="BC46" s="1218" t="s">
        <v>479</v>
      </c>
      <c r="BD46" s="1218"/>
      <c r="BE46" s="1218"/>
      <c r="BF46" s="1218"/>
      <c r="BG46" s="1218"/>
      <c r="BH46" s="1218"/>
      <c r="BI46" s="1218"/>
      <c r="BJ46" s="1218"/>
      <c r="BK46" s="1218"/>
      <c r="BL46" s="1218"/>
      <c r="BM46" s="1218"/>
      <c r="BN46" s="1218"/>
      <c r="BO46" s="1224" t="str">
        <f>BO2</f>
        <v/>
      </c>
      <c r="BP46" s="1224"/>
      <c r="BQ46" s="1224"/>
      <c r="BR46" s="1224"/>
    </row>
    <row r="47" spans="1:71" s="299" customFormat="1" ht="13.5" customHeight="1" thickBot="1" x14ac:dyDescent="0.25">
      <c r="A47" s="800" t="s">
        <v>265</v>
      </c>
      <c r="B47" s="801" t="s">
        <v>188</v>
      </c>
      <c r="C47" s="802" t="s">
        <v>106</v>
      </c>
      <c r="D47" s="1221" t="s">
        <v>266</v>
      </c>
      <c r="E47" s="1221"/>
      <c r="F47" s="1221"/>
      <c r="G47" s="802" t="s">
        <v>104</v>
      </c>
      <c r="H47" s="1221" t="s">
        <v>266</v>
      </c>
      <c r="I47" s="1221"/>
      <c r="J47" s="1221"/>
      <c r="K47" s="802" t="s">
        <v>105</v>
      </c>
      <c r="L47" s="1221" t="s">
        <v>266</v>
      </c>
      <c r="M47" s="1221"/>
      <c r="N47" s="1221"/>
      <c r="O47" s="802" t="s">
        <v>105</v>
      </c>
      <c r="P47" s="1221" t="s">
        <v>266</v>
      </c>
      <c r="Q47" s="1221"/>
      <c r="R47" s="1221"/>
      <c r="S47" s="802" t="s">
        <v>105</v>
      </c>
      <c r="T47" s="1221" t="s">
        <v>266</v>
      </c>
      <c r="U47" s="1221"/>
      <c r="V47" s="1221"/>
      <c r="W47" s="803"/>
      <c r="X47" s="803" t="s">
        <v>480</v>
      </c>
      <c r="Y47" s="1222" t="s">
        <v>164</v>
      </c>
      <c r="Z47" s="1222"/>
      <c r="AA47" s="1222"/>
      <c r="AB47" s="1222"/>
      <c r="AC47" s="1222"/>
      <c r="AD47" s="1222"/>
      <c r="AE47" s="1222"/>
      <c r="AF47" s="1222"/>
      <c r="AG47" s="1222"/>
      <c r="AH47" s="1222" t="s">
        <v>112</v>
      </c>
      <c r="AI47" s="1223"/>
      <c r="AJ47" s="800" t="s">
        <v>265</v>
      </c>
      <c r="AK47" s="801" t="s">
        <v>188</v>
      </c>
      <c r="AL47" s="802" t="s">
        <v>106</v>
      </c>
      <c r="AM47" s="1221" t="s">
        <v>266</v>
      </c>
      <c r="AN47" s="1221"/>
      <c r="AO47" s="1221"/>
      <c r="AP47" s="802" t="s">
        <v>104</v>
      </c>
      <c r="AQ47" s="1221" t="s">
        <v>266</v>
      </c>
      <c r="AR47" s="1221"/>
      <c r="AS47" s="1221"/>
      <c r="AT47" s="802" t="s">
        <v>105</v>
      </c>
      <c r="AU47" s="1221" t="s">
        <v>266</v>
      </c>
      <c r="AV47" s="1221"/>
      <c r="AW47" s="1221"/>
      <c r="AX47" s="802" t="s">
        <v>105</v>
      </c>
      <c r="AY47" s="1221" t="s">
        <v>266</v>
      </c>
      <c r="AZ47" s="1221"/>
      <c r="BA47" s="1221"/>
      <c r="BB47" s="802" t="s">
        <v>105</v>
      </c>
      <c r="BC47" s="1221" t="s">
        <v>266</v>
      </c>
      <c r="BD47" s="1221"/>
      <c r="BE47" s="1221"/>
      <c r="BF47" s="803"/>
      <c r="BG47" s="803" t="s">
        <v>480</v>
      </c>
      <c r="BH47" s="1222" t="s">
        <v>164</v>
      </c>
      <c r="BI47" s="1222"/>
      <c r="BJ47" s="1222"/>
      <c r="BK47" s="1222"/>
      <c r="BL47" s="1222"/>
      <c r="BM47" s="1222"/>
      <c r="BN47" s="1222"/>
      <c r="BO47" s="1222"/>
      <c r="BP47" s="1222"/>
      <c r="BQ47" s="1222" t="s">
        <v>112</v>
      </c>
      <c r="BR47" s="1223"/>
    </row>
    <row r="48" spans="1:71" ht="31.9" customHeight="1" thickTop="1" thickBot="1" x14ac:dyDescent="0.25">
      <c r="A48" s="805"/>
      <c r="B48" s="806"/>
      <c r="C48" s="807"/>
      <c r="D48" s="808"/>
      <c r="E48" s="808"/>
      <c r="F48" s="808"/>
      <c r="G48" s="809"/>
      <c r="H48" s="808"/>
      <c r="I48" s="808"/>
      <c r="J48" s="808"/>
      <c r="K48" s="809"/>
      <c r="L48" s="808"/>
      <c r="M48" s="808"/>
      <c r="N48" s="808"/>
      <c r="O48" s="809"/>
      <c r="P48" s="808"/>
      <c r="Q48" s="808"/>
      <c r="R48" s="808"/>
      <c r="S48" s="809"/>
      <c r="T48" s="808"/>
      <c r="U48" s="808"/>
      <c r="V48" s="810"/>
      <c r="W48" s="17"/>
      <c r="X48" s="1231" t="str">
        <f>X4</f>
        <v/>
      </c>
      <c r="Y48" s="811"/>
      <c r="Z48" s="812"/>
      <c r="AA48" s="813"/>
      <c r="AB48" s="813"/>
      <c r="AC48" s="813"/>
      <c r="AD48" s="814"/>
      <c r="AE48" s="815"/>
      <c r="AF48" s="816"/>
      <c r="AG48" s="817"/>
      <c r="AH48" s="818"/>
      <c r="AI48" s="819"/>
      <c r="AJ48" s="805"/>
      <c r="AK48" s="806"/>
      <c r="AL48" s="807"/>
      <c r="AM48" s="808"/>
      <c r="AN48" s="808"/>
      <c r="AO48" s="808"/>
      <c r="AP48" s="809"/>
      <c r="AQ48" s="808"/>
      <c r="AR48" s="808"/>
      <c r="AS48" s="808"/>
      <c r="AT48" s="809"/>
      <c r="AU48" s="808"/>
      <c r="AV48" s="808"/>
      <c r="AW48" s="808"/>
      <c r="AX48" s="809"/>
      <c r="AY48" s="808"/>
      <c r="AZ48" s="808"/>
      <c r="BA48" s="808"/>
      <c r="BB48" s="809"/>
      <c r="BC48" s="808"/>
      <c r="BD48" s="808"/>
      <c r="BE48" s="810"/>
      <c r="BF48" s="17"/>
      <c r="BG48" s="1231" t="str">
        <f>BG4</f>
        <v/>
      </c>
      <c r="BH48" s="811"/>
      <c r="BI48" s="812"/>
      <c r="BJ48" s="813"/>
      <c r="BK48" s="813"/>
      <c r="BL48" s="813"/>
      <c r="BM48" s="814"/>
      <c r="BN48" s="815"/>
      <c r="BO48" s="816"/>
      <c r="BP48" s="817"/>
      <c r="BQ48" s="818"/>
      <c r="BR48" s="819"/>
    </row>
    <row r="49" spans="1:70" ht="31.9" customHeight="1" thickBot="1" x14ac:dyDescent="0.25">
      <c r="A49" s="820"/>
      <c r="B49" s="821"/>
      <c r="C49" s="822"/>
      <c r="D49" s="808"/>
      <c r="E49" s="808"/>
      <c r="F49" s="808"/>
      <c r="G49" s="823"/>
      <c r="H49" s="808"/>
      <c r="I49" s="808"/>
      <c r="J49" s="808"/>
      <c r="K49" s="823"/>
      <c r="L49" s="808"/>
      <c r="M49" s="808"/>
      <c r="N49" s="808"/>
      <c r="O49" s="823"/>
      <c r="P49" s="808"/>
      <c r="Q49" s="808"/>
      <c r="R49" s="808"/>
      <c r="S49" s="823"/>
      <c r="T49" s="808"/>
      <c r="U49" s="808"/>
      <c r="V49" s="810"/>
      <c r="W49" s="17"/>
      <c r="X49" s="1232"/>
      <c r="Y49" s="824"/>
      <c r="Z49" s="825"/>
      <c r="AA49" s="826"/>
      <c r="AB49" s="826"/>
      <c r="AC49" s="826"/>
      <c r="AD49" s="827"/>
      <c r="AE49" s="828"/>
      <c r="AF49" s="829"/>
      <c r="AG49" s="830"/>
      <c r="AH49" s="831"/>
      <c r="AI49" s="832"/>
      <c r="AJ49" s="820"/>
      <c r="AK49" s="821"/>
      <c r="AL49" s="822"/>
      <c r="AM49" s="808"/>
      <c r="AN49" s="808"/>
      <c r="AO49" s="808"/>
      <c r="AP49" s="823"/>
      <c r="AQ49" s="808"/>
      <c r="AR49" s="808"/>
      <c r="AS49" s="808"/>
      <c r="AT49" s="823"/>
      <c r="AU49" s="808"/>
      <c r="AV49" s="808"/>
      <c r="AW49" s="808"/>
      <c r="AX49" s="823"/>
      <c r="AY49" s="808"/>
      <c r="AZ49" s="808"/>
      <c r="BA49" s="808"/>
      <c r="BB49" s="823"/>
      <c r="BC49" s="808"/>
      <c r="BD49" s="808"/>
      <c r="BE49" s="810"/>
      <c r="BF49" s="17"/>
      <c r="BG49" s="1232"/>
      <c r="BH49" s="824"/>
      <c r="BI49" s="825"/>
      <c r="BJ49" s="826"/>
      <c r="BK49" s="826"/>
      <c r="BL49" s="826"/>
      <c r="BM49" s="827"/>
      <c r="BN49" s="828"/>
      <c r="BO49" s="829"/>
      <c r="BP49" s="830"/>
      <c r="BQ49" s="831"/>
      <c r="BR49" s="832"/>
    </row>
    <row r="50" spans="1:70" ht="31.9" customHeight="1" thickTop="1" thickBot="1" x14ac:dyDescent="0.25">
      <c r="A50" s="805"/>
      <c r="B50" s="806"/>
      <c r="C50" s="807"/>
      <c r="D50" s="808"/>
      <c r="E50" s="808"/>
      <c r="F50" s="808"/>
      <c r="G50" s="809"/>
      <c r="H50" s="808"/>
      <c r="I50" s="808"/>
      <c r="J50" s="808"/>
      <c r="K50" s="809"/>
      <c r="L50" s="808"/>
      <c r="M50" s="808"/>
      <c r="N50" s="808"/>
      <c r="O50" s="809"/>
      <c r="P50" s="808"/>
      <c r="Q50" s="808"/>
      <c r="R50" s="808"/>
      <c r="S50" s="809"/>
      <c r="T50" s="808"/>
      <c r="U50" s="808"/>
      <c r="V50" s="810"/>
      <c r="W50" s="17"/>
      <c r="X50" s="1233" t="str">
        <f>X6</f>
        <v/>
      </c>
      <c r="Y50" s="833"/>
      <c r="Z50" s="834"/>
      <c r="AA50" s="835"/>
      <c r="AB50" s="835"/>
      <c r="AC50" s="835"/>
      <c r="AD50" s="836"/>
      <c r="AE50" s="837"/>
      <c r="AF50" s="838"/>
      <c r="AG50" s="839"/>
      <c r="AH50" s="840"/>
      <c r="AI50" s="819"/>
      <c r="AJ50" s="805"/>
      <c r="AK50" s="806"/>
      <c r="AL50" s="807"/>
      <c r="AM50" s="808"/>
      <c r="AN50" s="808"/>
      <c r="AO50" s="808"/>
      <c r="AP50" s="809"/>
      <c r="AQ50" s="808"/>
      <c r="AR50" s="808"/>
      <c r="AS50" s="808"/>
      <c r="AT50" s="809"/>
      <c r="AU50" s="808"/>
      <c r="AV50" s="808"/>
      <c r="AW50" s="808"/>
      <c r="AX50" s="809"/>
      <c r="AY50" s="808"/>
      <c r="AZ50" s="808"/>
      <c r="BA50" s="808"/>
      <c r="BB50" s="809"/>
      <c r="BC50" s="808"/>
      <c r="BD50" s="808"/>
      <c r="BE50" s="810"/>
      <c r="BF50" s="17"/>
      <c r="BG50" s="1233" t="str">
        <f>BG6</f>
        <v/>
      </c>
      <c r="BH50" s="833"/>
      <c r="BI50" s="834"/>
      <c r="BJ50" s="835"/>
      <c r="BK50" s="835"/>
      <c r="BL50" s="835"/>
      <c r="BM50" s="836"/>
      <c r="BN50" s="837"/>
      <c r="BO50" s="838"/>
      <c r="BP50" s="839"/>
      <c r="BQ50" s="840"/>
      <c r="BR50" s="819"/>
    </row>
    <row r="51" spans="1:70" ht="31.9" customHeight="1" thickBot="1" x14ac:dyDescent="0.25">
      <c r="A51" s="820"/>
      <c r="B51" s="821"/>
      <c r="C51" s="822"/>
      <c r="D51" s="808"/>
      <c r="E51" s="808"/>
      <c r="F51" s="808"/>
      <c r="G51" s="823"/>
      <c r="H51" s="808"/>
      <c r="I51" s="808"/>
      <c r="J51" s="808"/>
      <c r="K51" s="823"/>
      <c r="L51" s="808"/>
      <c r="M51" s="808"/>
      <c r="N51" s="808"/>
      <c r="O51" s="823"/>
      <c r="P51" s="808"/>
      <c r="Q51" s="808"/>
      <c r="R51" s="808"/>
      <c r="S51" s="823"/>
      <c r="T51" s="808"/>
      <c r="U51" s="808"/>
      <c r="V51" s="810"/>
      <c r="W51" s="17"/>
      <c r="X51" s="1234"/>
      <c r="Y51" s="841"/>
      <c r="Z51" s="842"/>
      <c r="AA51" s="843"/>
      <c r="AB51" s="843"/>
      <c r="AC51" s="843"/>
      <c r="AD51" s="844"/>
      <c r="AE51" s="845"/>
      <c r="AF51" s="846"/>
      <c r="AG51" s="847"/>
      <c r="AH51" s="831"/>
      <c r="AI51" s="832"/>
      <c r="AJ51" s="820"/>
      <c r="AK51" s="821"/>
      <c r="AL51" s="822"/>
      <c r="AM51" s="808"/>
      <c r="AN51" s="808"/>
      <c r="AO51" s="808"/>
      <c r="AP51" s="823"/>
      <c r="AQ51" s="808"/>
      <c r="AR51" s="808"/>
      <c r="AS51" s="808"/>
      <c r="AT51" s="823"/>
      <c r="AU51" s="808"/>
      <c r="AV51" s="808"/>
      <c r="AW51" s="808"/>
      <c r="AX51" s="823"/>
      <c r="AY51" s="808"/>
      <c r="AZ51" s="808"/>
      <c r="BA51" s="808"/>
      <c r="BB51" s="823"/>
      <c r="BC51" s="808"/>
      <c r="BD51" s="808"/>
      <c r="BE51" s="810"/>
      <c r="BF51" s="17"/>
      <c r="BG51" s="1234"/>
      <c r="BH51" s="841"/>
      <c r="BI51" s="842"/>
      <c r="BJ51" s="843"/>
      <c r="BK51" s="843"/>
      <c r="BL51" s="843"/>
      <c r="BM51" s="844"/>
      <c r="BN51" s="845"/>
      <c r="BO51" s="846"/>
      <c r="BP51" s="847"/>
      <c r="BQ51" s="831"/>
      <c r="BR51" s="832"/>
    </row>
    <row r="52" spans="1:70" ht="31.9" customHeight="1" thickTop="1" thickBot="1" x14ac:dyDescent="0.25">
      <c r="A52" s="805"/>
      <c r="B52" s="806"/>
      <c r="C52" s="807"/>
      <c r="D52" s="808"/>
      <c r="E52" s="808"/>
      <c r="F52" s="808"/>
      <c r="G52" s="809"/>
      <c r="H52" s="808"/>
      <c r="I52" s="808"/>
      <c r="J52" s="808"/>
      <c r="K52" s="809"/>
      <c r="L52" s="808"/>
      <c r="M52" s="808"/>
      <c r="N52" s="808"/>
      <c r="O52" s="809"/>
      <c r="P52" s="808"/>
      <c r="Q52" s="808"/>
      <c r="R52" s="808"/>
      <c r="S52" s="809"/>
      <c r="T52" s="808"/>
      <c r="U52" s="808"/>
      <c r="V52" s="810"/>
      <c r="W52" s="17"/>
      <c r="X52" s="1231" t="str">
        <f>X8</f>
        <v/>
      </c>
      <c r="Y52" s="811"/>
      <c r="Z52" s="812"/>
      <c r="AA52" s="813"/>
      <c r="AB52" s="813"/>
      <c r="AC52" s="813"/>
      <c r="AD52" s="814"/>
      <c r="AE52" s="815"/>
      <c r="AF52" s="816"/>
      <c r="AG52" s="817"/>
      <c r="AH52" s="840"/>
      <c r="AI52" s="819"/>
      <c r="AJ52" s="805"/>
      <c r="AK52" s="806"/>
      <c r="AL52" s="807"/>
      <c r="AM52" s="808"/>
      <c r="AN52" s="808"/>
      <c r="AO52" s="808"/>
      <c r="AP52" s="809"/>
      <c r="AQ52" s="808"/>
      <c r="AR52" s="808"/>
      <c r="AS52" s="808"/>
      <c r="AT52" s="809"/>
      <c r="AU52" s="808"/>
      <c r="AV52" s="808"/>
      <c r="AW52" s="808"/>
      <c r="AX52" s="809"/>
      <c r="AY52" s="808"/>
      <c r="AZ52" s="808"/>
      <c r="BA52" s="808"/>
      <c r="BB52" s="809"/>
      <c r="BC52" s="808"/>
      <c r="BD52" s="808"/>
      <c r="BE52" s="810"/>
      <c r="BF52" s="17"/>
      <c r="BG52" s="1231" t="str">
        <f>BG8</f>
        <v/>
      </c>
      <c r="BH52" s="811"/>
      <c r="BI52" s="812"/>
      <c r="BJ52" s="813"/>
      <c r="BK52" s="813"/>
      <c r="BL52" s="813"/>
      <c r="BM52" s="814"/>
      <c r="BN52" s="815"/>
      <c r="BO52" s="816"/>
      <c r="BP52" s="817"/>
      <c r="BQ52" s="840"/>
      <c r="BR52" s="819"/>
    </row>
    <row r="53" spans="1:70" ht="31.9" customHeight="1" thickBot="1" x14ac:dyDescent="0.25">
      <c r="A53" s="820"/>
      <c r="B53" s="821"/>
      <c r="C53" s="822"/>
      <c r="D53" s="808"/>
      <c r="E53" s="808"/>
      <c r="F53" s="808"/>
      <c r="G53" s="823"/>
      <c r="H53" s="808"/>
      <c r="I53" s="808"/>
      <c r="J53" s="808"/>
      <c r="K53" s="823"/>
      <c r="L53" s="808"/>
      <c r="M53" s="808"/>
      <c r="N53" s="808"/>
      <c r="O53" s="823"/>
      <c r="P53" s="808"/>
      <c r="Q53" s="808"/>
      <c r="R53" s="808"/>
      <c r="S53" s="823"/>
      <c r="T53" s="808"/>
      <c r="U53" s="808"/>
      <c r="V53" s="810"/>
      <c r="W53" s="17"/>
      <c r="X53" s="1232"/>
      <c r="Y53" s="824"/>
      <c r="Z53" s="825"/>
      <c r="AA53" s="826"/>
      <c r="AB53" s="826"/>
      <c r="AC53" s="826"/>
      <c r="AD53" s="827"/>
      <c r="AE53" s="828"/>
      <c r="AF53" s="829"/>
      <c r="AG53" s="830"/>
      <c r="AH53" s="831"/>
      <c r="AI53" s="832"/>
      <c r="AJ53" s="820"/>
      <c r="AK53" s="821"/>
      <c r="AL53" s="822"/>
      <c r="AM53" s="808"/>
      <c r="AN53" s="808"/>
      <c r="AO53" s="808"/>
      <c r="AP53" s="823"/>
      <c r="AQ53" s="808"/>
      <c r="AR53" s="808"/>
      <c r="AS53" s="808"/>
      <c r="AT53" s="823"/>
      <c r="AU53" s="808"/>
      <c r="AV53" s="808"/>
      <c r="AW53" s="808"/>
      <c r="AX53" s="823"/>
      <c r="AY53" s="808"/>
      <c r="AZ53" s="808"/>
      <c r="BA53" s="808"/>
      <c r="BB53" s="823"/>
      <c r="BC53" s="808"/>
      <c r="BD53" s="808"/>
      <c r="BE53" s="810"/>
      <c r="BF53" s="17"/>
      <c r="BG53" s="1232"/>
      <c r="BH53" s="824"/>
      <c r="BI53" s="825"/>
      <c r="BJ53" s="826"/>
      <c r="BK53" s="826"/>
      <c r="BL53" s="826"/>
      <c r="BM53" s="827"/>
      <c r="BN53" s="828"/>
      <c r="BO53" s="829"/>
      <c r="BP53" s="830"/>
      <c r="BQ53" s="831"/>
      <c r="BR53" s="832"/>
    </row>
    <row r="54" spans="1:70" ht="31.9" customHeight="1" thickTop="1" thickBot="1" x14ac:dyDescent="0.25">
      <c r="A54" s="805"/>
      <c r="B54" s="806"/>
      <c r="C54" s="807"/>
      <c r="D54" s="808"/>
      <c r="E54" s="808"/>
      <c r="F54" s="808"/>
      <c r="G54" s="809"/>
      <c r="H54" s="808"/>
      <c r="I54" s="808"/>
      <c r="J54" s="808"/>
      <c r="K54" s="809"/>
      <c r="L54" s="808"/>
      <c r="M54" s="808"/>
      <c r="N54" s="808"/>
      <c r="O54" s="809"/>
      <c r="P54" s="808"/>
      <c r="Q54" s="808"/>
      <c r="R54" s="808"/>
      <c r="S54" s="809"/>
      <c r="T54" s="808"/>
      <c r="U54" s="808"/>
      <c r="V54" s="810"/>
      <c r="W54" s="17"/>
      <c r="X54" s="1233" t="str">
        <f>X10</f>
        <v/>
      </c>
      <c r="Y54" s="833"/>
      <c r="Z54" s="834"/>
      <c r="AA54" s="835"/>
      <c r="AB54" s="835"/>
      <c r="AC54" s="835"/>
      <c r="AD54" s="836"/>
      <c r="AE54" s="837"/>
      <c r="AF54" s="838"/>
      <c r="AG54" s="839"/>
      <c r="AH54" s="840"/>
      <c r="AI54" s="819"/>
      <c r="AJ54" s="805"/>
      <c r="AK54" s="806"/>
      <c r="AL54" s="807"/>
      <c r="AM54" s="808"/>
      <c r="AN54" s="808"/>
      <c r="AO54" s="808"/>
      <c r="AP54" s="809"/>
      <c r="AQ54" s="808"/>
      <c r="AR54" s="808"/>
      <c r="AS54" s="808"/>
      <c r="AT54" s="809"/>
      <c r="AU54" s="808"/>
      <c r="AV54" s="808"/>
      <c r="AW54" s="808"/>
      <c r="AX54" s="809"/>
      <c r="AY54" s="808"/>
      <c r="AZ54" s="808"/>
      <c r="BA54" s="808"/>
      <c r="BB54" s="809"/>
      <c r="BC54" s="808"/>
      <c r="BD54" s="808"/>
      <c r="BE54" s="810"/>
      <c r="BF54" s="17"/>
      <c r="BG54" s="1233" t="str">
        <f>BG10</f>
        <v/>
      </c>
      <c r="BH54" s="833"/>
      <c r="BI54" s="834"/>
      <c r="BJ54" s="835"/>
      <c r="BK54" s="835"/>
      <c r="BL54" s="835"/>
      <c r="BM54" s="836"/>
      <c r="BN54" s="837"/>
      <c r="BO54" s="838"/>
      <c r="BP54" s="839"/>
      <c r="BQ54" s="840"/>
      <c r="BR54" s="819"/>
    </row>
    <row r="55" spans="1:70" ht="31.9" customHeight="1" thickBot="1" x14ac:dyDescent="0.25">
      <c r="A55" s="820"/>
      <c r="B55" s="821"/>
      <c r="C55" s="822"/>
      <c r="D55" s="808"/>
      <c r="E55" s="808"/>
      <c r="F55" s="808"/>
      <c r="G55" s="823"/>
      <c r="H55" s="808"/>
      <c r="I55" s="808"/>
      <c r="J55" s="808"/>
      <c r="K55" s="823"/>
      <c r="L55" s="808"/>
      <c r="M55" s="808"/>
      <c r="N55" s="808"/>
      <c r="O55" s="823"/>
      <c r="P55" s="808"/>
      <c r="Q55" s="808"/>
      <c r="R55" s="808"/>
      <c r="S55" s="823"/>
      <c r="T55" s="808"/>
      <c r="U55" s="808"/>
      <c r="V55" s="810"/>
      <c r="W55" s="17"/>
      <c r="X55" s="1234"/>
      <c r="Y55" s="841"/>
      <c r="Z55" s="842"/>
      <c r="AA55" s="843"/>
      <c r="AB55" s="843"/>
      <c r="AC55" s="843"/>
      <c r="AD55" s="844"/>
      <c r="AE55" s="845"/>
      <c r="AF55" s="846"/>
      <c r="AG55" s="847"/>
      <c r="AH55" s="831"/>
      <c r="AI55" s="832"/>
      <c r="AJ55" s="820"/>
      <c r="AK55" s="821"/>
      <c r="AL55" s="822"/>
      <c r="AM55" s="808"/>
      <c r="AN55" s="808"/>
      <c r="AO55" s="808"/>
      <c r="AP55" s="823"/>
      <c r="AQ55" s="808"/>
      <c r="AR55" s="808"/>
      <c r="AS55" s="808"/>
      <c r="AT55" s="823"/>
      <c r="AU55" s="808"/>
      <c r="AV55" s="808"/>
      <c r="AW55" s="808"/>
      <c r="AX55" s="823"/>
      <c r="AY55" s="808"/>
      <c r="AZ55" s="808"/>
      <c r="BA55" s="808"/>
      <c r="BB55" s="823"/>
      <c r="BC55" s="808"/>
      <c r="BD55" s="808"/>
      <c r="BE55" s="810"/>
      <c r="BF55" s="17"/>
      <c r="BG55" s="1234"/>
      <c r="BH55" s="841"/>
      <c r="BI55" s="842"/>
      <c r="BJ55" s="843"/>
      <c r="BK55" s="843"/>
      <c r="BL55" s="843"/>
      <c r="BM55" s="844"/>
      <c r="BN55" s="845"/>
      <c r="BO55" s="846"/>
      <c r="BP55" s="847"/>
      <c r="BQ55" s="831"/>
      <c r="BR55" s="832"/>
    </row>
    <row r="56" spans="1:70" ht="31.9" customHeight="1" thickTop="1" thickBot="1" x14ac:dyDescent="0.25">
      <c r="A56" s="805"/>
      <c r="B56" s="806"/>
      <c r="C56" s="807"/>
      <c r="D56" s="808"/>
      <c r="E56" s="808"/>
      <c r="F56" s="808"/>
      <c r="G56" s="809"/>
      <c r="H56" s="808"/>
      <c r="I56" s="808"/>
      <c r="J56" s="808"/>
      <c r="K56" s="809"/>
      <c r="L56" s="808"/>
      <c r="M56" s="808"/>
      <c r="N56" s="808"/>
      <c r="O56" s="809"/>
      <c r="P56" s="808"/>
      <c r="Q56" s="808"/>
      <c r="R56" s="808"/>
      <c r="S56" s="809"/>
      <c r="T56" s="808"/>
      <c r="U56" s="808"/>
      <c r="V56" s="810"/>
      <c r="W56" s="17"/>
      <c r="X56" s="1231" t="str">
        <f>X12</f>
        <v/>
      </c>
      <c r="Y56" s="811"/>
      <c r="Z56" s="812"/>
      <c r="AA56" s="813"/>
      <c r="AB56" s="813"/>
      <c r="AC56" s="813"/>
      <c r="AD56" s="814"/>
      <c r="AE56" s="815"/>
      <c r="AF56" s="816"/>
      <c r="AG56" s="817"/>
      <c r="AH56" s="840"/>
      <c r="AI56" s="819"/>
      <c r="AJ56" s="805"/>
      <c r="AK56" s="806"/>
      <c r="AL56" s="807"/>
      <c r="AM56" s="808"/>
      <c r="AN56" s="808"/>
      <c r="AO56" s="808"/>
      <c r="AP56" s="809"/>
      <c r="AQ56" s="808"/>
      <c r="AR56" s="808"/>
      <c r="AS56" s="808"/>
      <c r="AT56" s="809"/>
      <c r="AU56" s="808"/>
      <c r="AV56" s="808"/>
      <c r="AW56" s="808"/>
      <c r="AX56" s="809"/>
      <c r="AY56" s="808"/>
      <c r="AZ56" s="808"/>
      <c r="BA56" s="808"/>
      <c r="BB56" s="809"/>
      <c r="BC56" s="808"/>
      <c r="BD56" s="808"/>
      <c r="BE56" s="810"/>
      <c r="BF56" s="17"/>
      <c r="BG56" s="1231" t="str">
        <f>BG12</f>
        <v/>
      </c>
      <c r="BH56" s="811"/>
      <c r="BI56" s="812"/>
      <c r="BJ56" s="813"/>
      <c r="BK56" s="813"/>
      <c r="BL56" s="813"/>
      <c r="BM56" s="814"/>
      <c r="BN56" s="815"/>
      <c r="BO56" s="816"/>
      <c r="BP56" s="817"/>
      <c r="BQ56" s="840"/>
      <c r="BR56" s="819"/>
    </row>
    <row r="57" spans="1:70" ht="31.9" customHeight="1" thickBot="1" x14ac:dyDescent="0.25">
      <c r="A57" s="820"/>
      <c r="B57" s="821"/>
      <c r="C57" s="822"/>
      <c r="D57" s="808"/>
      <c r="E57" s="808"/>
      <c r="F57" s="808"/>
      <c r="G57" s="823"/>
      <c r="H57" s="808"/>
      <c r="I57" s="808"/>
      <c r="J57" s="808"/>
      <c r="K57" s="823"/>
      <c r="L57" s="808"/>
      <c r="M57" s="808"/>
      <c r="N57" s="808"/>
      <c r="O57" s="823"/>
      <c r="P57" s="808"/>
      <c r="Q57" s="808"/>
      <c r="R57" s="808"/>
      <c r="S57" s="823"/>
      <c r="T57" s="808"/>
      <c r="U57" s="808"/>
      <c r="V57" s="810"/>
      <c r="W57" s="17"/>
      <c r="X57" s="1232"/>
      <c r="Y57" s="824"/>
      <c r="Z57" s="825"/>
      <c r="AA57" s="826"/>
      <c r="AB57" s="826"/>
      <c r="AC57" s="826"/>
      <c r="AD57" s="827"/>
      <c r="AE57" s="828"/>
      <c r="AF57" s="829"/>
      <c r="AG57" s="830"/>
      <c r="AH57" s="831"/>
      <c r="AI57" s="832"/>
      <c r="AJ57" s="820"/>
      <c r="AK57" s="821"/>
      <c r="AL57" s="822"/>
      <c r="AM57" s="808"/>
      <c r="AN57" s="808"/>
      <c r="AO57" s="808"/>
      <c r="AP57" s="823"/>
      <c r="AQ57" s="808"/>
      <c r="AR57" s="808"/>
      <c r="AS57" s="808"/>
      <c r="AT57" s="823"/>
      <c r="AU57" s="808"/>
      <c r="AV57" s="808"/>
      <c r="AW57" s="808"/>
      <c r="AX57" s="823"/>
      <c r="AY57" s="808"/>
      <c r="AZ57" s="808"/>
      <c r="BA57" s="808"/>
      <c r="BB57" s="823"/>
      <c r="BC57" s="808"/>
      <c r="BD57" s="808"/>
      <c r="BE57" s="810"/>
      <c r="BF57" s="17"/>
      <c r="BG57" s="1232"/>
      <c r="BH57" s="824"/>
      <c r="BI57" s="825"/>
      <c r="BJ57" s="826"/>
      <c r="BK57" s="826"/>
      <c r="BL57" s="826"/>
      <c r="BM57" s="827"/>
      <c r="BN57" s="828"/>
      <c r="BO57" s="829"/>
      <c r="BP57" s="830"/>
      <c r="BQ57" s="831"/>
      <c r="BR57" s="832"/>
    </row>
    <row r="58" spans="1:70" ht="31.9" customHeight="1" thickTop="1" thickBot="1" x14ac:dyDescent="0.25">
      <c r="A58" s="805"/>
      <c r="B58" s="806"/>
      <c r="C58" s="807"/>
      <c r="D58" s="808"/>
      <c r="E58" s="808"/>
      <c r="F58" s="808"/>
      <c r="G58" s="809"/>
      <c r="H58" s="808"/>
      <c r="I58" s="808"/>
      <c r="J58" s="808"/>
      <c r="K58" s="809"/>
      <c r="L58" s="808"/>
      <c r="M58" s="808"/>
      <c r="N58" s="808"/>
      <c r="O58" s="809"/>
      <c r="P58" s="808"/>
      <c r="Q58" s="808"/>
      <c r="R58" s="808"/>
      <c r="S58" s="809"/>
      <c r="T58" s="808"/>
      <c r="U58" s="808"/>
      <c r="V58" s="810"/>
      <c r="W58" s="17"/>
      <c r="X58" s="1233" t="str">
        <f>X14</f>
        <v/>
      </c>
      <c r="Y58" s="833"/>
      <c r="Z58" s="834"/>
      <c r="AA58" s="835"/>
      <c r="AB58" s="835"/>
      <c r="AC58" s="835"/>
      <c r="AD58" s="836"/>
      <c r="AE58" s="837"/>
      <c r="AF58" s="838"/>
      <c r="AG58" s="839"/>
      <c r="AH58" s="840"/>
      <c r="AI58" s="819"/>
      <c r="AJ58" s="805"/>
      <c r="AK58" s="806"/>
      <c r="AL58" s="807"/>
      <c r="AM58" s="808"/>
      <c r="AN58" s="808"/>
      <c r="AO58" s="808"/>
      <c r="AP58" s="809"/>
      <c r="AQ58" s="808"/>
      <c r="AR58" s="808"/>
      <c r="AS58" s="808"/>
      <c r="AT58" s="809"/>
      <c r="AU58" s="808"/>
      <c r="AV58" s="808"/>
      <c r="AW58" s="808"/>
      <c r="AX58" s="809"/>
      <c r="AY58" s="808"/>
      <c r="AZ58" s="808"/>
      <c r="BA58" s="808"/>
      <c r="BB58" s="809"/>
      <c r="BC58" s="808"/>
      <c r="BD58" s="808"/>
      <c r="BE58" s="810"/>
      <c r="BF58" s="17"/>
      <c r="BG58" s="1233" t="str">
        <f>BG14</f>
        <v/>
      </c>
      <c r="BH58" s="833"/>
      <c r="BI58" s="834"/>
      <c r="BJ58" s="835"/>
      <c r="BK58" s="835"/>
      <c r="BL58" s="835"/>
      <c r="BM58" s="836"/>
      <c r="BN58" s="837"/>
      <c r="BO58" s="838"/>
      <c r="BP58" s="839"/>
      <c r="BQ58" s="840"/>
      <c r="BR58" s="819"/>
    </row>
    <row r="59" spans="1:70" ht="31.9" customHeight="1" thickBot="1" x14ac:dyDescent="0.25">
      <c r="A59" s="820"/>
      <c r="B59" s="821"/>
      <c r="C59" s="822"/>
      <c r="D59" s="808"/>
      <c r="E59" s="808"/>
      <c r="F59" s="808"/>
      <c r="G59" s="823"/>
      <c r="H59" s="808"/>
      <c r="I59" s="808"/>
      <c r="J59" s="808"/>
      <c r="K59" s="823"/>
      <c r="L59" s="808"/>
      <c r="M59" s="808"/>
      <c r="N59" s="808"/>
      <c r="O59" s="823"/>
      <c r="P59" s="808"/>
      <c r="Q59" s="808"/>
      <c r="R59" s="808"/>
      <c r="S59" s="823"/>
      <c r="T59" s="808"/>
      <c r="U59" s="808"/>
      <c r="V59" s="810"/>
      <c r="W59" s="17"/>
      <c r="X59" s="1234"/>
      <c r="Y59" s="841"/>
      <c r="Z59" s="842"/>
      <c r="AA59" s="843"/>
      <c r="AB59" s="843"/>
      <c r="AC59" s="843"/>
      <c r="AD59" s="844"/>
      <c r="AE59" s="845"/>
      <c r="AF59" s="846"/>
      <c r="AG59" s="847"/>
      <c r="AH59" s="831"/>
      <c r="AI59" s="832"/>
      <c r="AJ59" s="820"/>
      <c r="AK59" s="821"/>
      <c r="AL59" s="822"/>
      <c r="AM59" s="808"/>
      <c r="AN59" s="808"/>
      <c r="AO59" s="808"/>
      <c r="AP59" s="823"/>
      <c r="AQ59" s="808"/>
      <c r="AR59" s="808"/>
      <c r="AS59" s="808"/>
      <c r="AT59" s="823"/>
      <c r="AU59" s="808"/>
      <c r="AV59" s="808"/>
      <c r="AW59" s="808"/>
      <c r="AX59" s="823"/>
      <c r="AY59" s="808"/>
      <c r="AZ59" s="808"/>
      <c r="BA59" s="808"/>
      <c r="BB59" s="823"/>
      <c r="BC59" s="808"/>
      <c r="BD59" s="808"/>
      <c r="BE59" s="810"/>
      <c r="BF59" s="17"/>
      <c r="BG59" s="1234"/>
      <c r="BH59" s="841"/>
      <c r="BI59" s="842"/>
      <c r="BJ59" s="843"/>
      <c r="BK59" s="843"/>
      <c r="BL59" s="843"/>
      <c r="BM59" s="844"/>
      <c r="BN59" s="845"/>
      <c r="BO59" s="846"/>
      <c r="BP59" s="847"/>
      <c r="BQ59" s="831"/>
      <c r="BR59" s="832"/>
    </row>
    <row r="60" spans="1:70" ht="31.9" customHeight="1" thickTop="1" thickBot="1" x14ac:dyDescent="0.25">
      <c r="A60" s="805"/>
      <c r="B60" s="806"/>
      <c r="C60" s="807"/>
      <c r="D60" s="808"/>
      <c r="E60" s="808"/>
      <c r="F60" s="808"/>
      <c r="G60" s="809"/>
      <c r="H60" s="808"/>
      <c r="I60" s="808"/>
      <c r="J60" s="808"/>
      <c r="K60" s="809"/>
      <c r="L60" s="808"/>
      <c r="M60" s="808"/>
      <c r="N60" s="808"/>
      <c r="O60" s="809"/>
      <c r="P60" s="808"/>
      <c r="Q60" s="808"/>
      <c r="R60" s="808"/>
      <c r="S60" s="809"/>
      <c r="T60" s="808"/>
      <c r="U60" s="808"/>
      <c r="V60" s="810"/>
      <c r="W60" s="17"/>
      <c r="X60" s="1231" t="str">
        <f>X16</f>
        <v/>
      </c>
      <c r="Y60" s="811"/>
      <c r="Z60" s="812"/>
      <c r="AA60" s="813"/>
      <c r="AB60" s="813"/>
      <c r="AC60" s="813"/>
      <c r="AD60" s="814"/>
      <c r="AE60" s="815"/>
      <c r="AF60" s="816"/>
      <c r="AG60" s="817"/>
      <c r="AH60" s="840"/>
      <c r="AI60" s="819"/>
      <c r="AJ60" s="805"/>
      <c r="AK60" s="806"/>
      <c r="AL60" s="807"/>
      <c r="AM60" s="808"/>
      <c r="AN60" s="808"/>
      <c r="AO60" s="808"/>
      <c r="AP60" s="809"/>
      <c r="AQ60" s="808"/>
      <c r="AR60" s="808"/>
      <c r="AS60" s="808"/>
      <c r="AT60" s="809"/>
      <c r="AU60" s="808"/>
      <c r="AV60" s="808"/>
      <c r="AW60" s="808"/>
      <c r="AX60" s="809"/>
      <c r="AY60" s="808"/>
      <c r="AZ60" s="808"/>
      <c r="BA60" s="808"/>
      <c r="BB60" s="809"/>
      <c r="BC60" s="808"/>
      <c r="BD60" s="808"/>
      <c r="BE60" s="810"/>
      <c r="BF60" s="17"/>
      <c r="BG60" s="1231" t="str">
        <f>BG16</f>
        <v/>
      </c>
      <c r="BH60" s="811"/>
      <c r="BI60" s="812"/>
      <c r="BJ60" s="813"/>
      <c r="BK60" s="813"/>
      <c r="BL60" s="813"/>
      <c r="BM60" s="814"/>
      <c r="BN60" s="815"/>
      <c r="BO60" s="816"/>
      <c r="BP60" s="817"/>
      <c r="BQ60" s="840"/>
      <c r="BR60" s="819"/>
    </row>
    <row r="61" spans="1:70" ht="31.9" customHeight="1" thickBot="1" x14ac:dyDescent="0.25">
      <c r="A61" s="820"/>
      <c r="B61" s="821"/>
      <c r="C61" s="822"/>
      <c r="D61" s="808"/>
      <c r="E61" s="808"/>
      <c r="F61" s="808"/>
      <c r="G61" s="823"/>
      <c r="H61" s="808"/>
      <c r="I61" s="808"/>
      <c r="J61" s="808"/>
      <c r="K61" s="823"/>
      <c r="L61" s="808"/>
      <c r="M61" s="808"/>
      <c r="N61" s="808"/>
      <c r="O61" s="823"/>
      <c r="P61" s="808"/>
      <c r="Q61" s="808"/>
      <c r="R61" s="808"/>
      <c r="S61" s="823"/>
      <c r="T61" s="808"/>
      <c r="U61" s="808"/>
      <c r="V61" s="810"/>
      <c r="W61" s="17"/>
      <c r="X61" s="1232"/>
      <c r="Y61" s="824"/>
      <c r="Z61" s="825"/>
      <c r="AA61" s="826"/>
      <c r="AB61" s="826"/>
      <c r="AC61" s="826"/>
      <c r="AD61" s="827"/>
      <c r="AE61" s="828"/>
      <c r="AF61" s="829"/>
      <c r="AG61" s="830"/>
      <c r="AH61" s="831"/>
      <c r="AI61" s="832"/>
      <c r="AJ61" s="820"/>
      <c r="AK61" s="821"/>
      <c r="AL61" s="822"/>
      <c r="AM61" s="808"/>
      <c r="AN61" s="808"/>
      <c r="AO61" s="808"/>
      <c r="AP61" s="823"/>
      <c r="AQ61" s="808"/>
      <c r="AR61" s="808"/>
      <c r="AS61" s="808"/>
      <c r="AT61" s="823"/>
      <c r="AU61" s="808"/>
      <c r="AV61" s="808"/>
      <c r="AW61" s="808"/>
      <c r="AX61" s="823"/>
      <c r="AY61" s="808"/>
      <c r="AZ61" s="808"/>
      <c r="BA61" s="808"/>
      <c r="BB61" s="823"/>
      <c r="BC61" s="808"/>
      <c r="BD61" s="808"/>
      <c r="BE61" s="810"/>
      <c r="BF61" s="17"/>
      <c r="BG61" s="1232"/>
      <c r="BH61" s="824"/>
      <c r="BI61" s="825"/>
      <c r="BJ61" s="826"/>
      <c r="BK61" s="826"/>
      <c r="BL61" s="826"/>
      <c r="BM61" s="827"/>
      <c r="BN61" s="828"/>
      <c r="BO61" s="829"/>
      <c r="BP61" s="830"/>
      <c r="BQ61" s="831"/>
      <c r="BR61" s="832"/>
    </row>
    <row r="62" spans="1:70" ht="31.9" customHeight="1" thickTop="1" thickBot="1" x14ac:dyDescent="0.25">
      <c r="A62" s="805"/>
      <c r="B62" s="806"/>
      <c r="C62" s="807"/>
      <c r="D62" s="808"/>
      <c r="E62" s="808"/>
      <c r="F62" s="808"/>
      <c r="G62" s="809"/>
      <c r="H62" s="808"/>
      <c r="I62" s="808"/>
      <c r="J62" s="808"/>
      <c r="K62" s="809"/>
      <c r="L62" s="808"/>
      <c r="M62" s="808"/>
      <c r="N62" s="808"/>
      <c r="O62" s="809"/>
      <c r="P62" s="808"/>
      <c r="Q62" s="808"/>
      <c r="R62" s="808"/>
      <c r="S62" s="809"/>
      <c r="T62" s="808"/>
      <c r="U62" s="808"/>
      <c r="V62" s="810"/>
      <c r="W62" s="17"/>
      <c r="X62" s="1233" t="str">
        <f>X18</f>
        <v/>
      </c>
      <c r="Y62" s="833"/>
      <c r="Z62" s="834"/>
      <c r="AA62" s="835"/>
      <c r="AB62" s="835"/>
      <c r="AC62" s="835"/>
      <c r="AD62" s="836"/>
      <c r="AE62" s="837"/>
      <c r="AF62" s="838"/>
      <c r="AG62" s="839"/>
      <c r="AH62" s="840"/>
      <c r="AI62" s="819"/>
      <c r="AJ62" s="805"/>
      <c r="AK62" s="806"/>
      <c r="AL62" s="807"/>
      <c r="AM62" s="808"/>
      <c r="AN62" s="808"/>
      <c r="AO62" s="808"/>
      <c r="AP62" s="809"/>
      <c r="AQ62" s="808"/>
      <c r="AR62" s="808"/>
      <c r="AS62" s="808"/>
      <c r="AT62" s="809"/>
      <c r="AU62" s="808"/>
      <c r="AV62" s="808"/>
      <c r="AW62" s="808"/>
      <c r="AX62" s="809"/>
      <c r="AY62" s="808"/>
      <c r="AZ62" s="808"/>
      <c r="BA62" s="808"/>
      <c r="BB62" s="809"/>
      <c r="BC62" s="808"/>
      <c r="BD62" s="808"/>
      <c r="BE62" s="810"/>
      <c r="BF62" s="17"/>
      <c r="BG62" s="1233" t="str">
        <f>BG18</f>
        <v/>
      </c>
      <c r="BH62" s="833"/>
      <c r="BI62" s="834"/>
      <c r="BJ62" s="835"/>
      <c r="BK62" s="835"/>
      <c r="BL62" s="835"/>
      <c r="BM62" s="836"/>
      <c r="BN62" s="837"/>
      <c r="BO62" s="838"/>
      <c r="BP62" s="839"/>
      <c r="BQ62" s="840"/>
      <c r="BR62" s="819"/>
    </row>
    <row r="63" spans="1:70" ht="31.9" customHeight="1" thickBot="1" x14ac:dyDescent="0.25">
      <c r="A63" s="820"/>
      <c r="B63" s="821"/>
      <c r="C63" s="822"/>
      <c r="D63" s="808"/>
      <c r="E63" s="808"/>
      <c r="F63" s="808"/>
      <c r="G63" s="823"/>
      <c r="H63" s="808"/>
      <c r="I63" s="808"/>
      <c r="J63" s="808"/>
      <c r="K63" s="823"/>
      <c r="L63" s="808"/>
      <c r="M63" s="808"/>
      <c r="N63" s="808"/>
      <c r="O63" s="823"/>
      <c r="P63" s="808"/>
      <c r="Q63" s="808"/>
      <c r="R63" s="808"/>
      <c r="S63" s="823"/>
      <c r="T63" s="808"/>
      <c r="U63" s="808"/>
      <c r="V63" s="810"/>
      <c r="W63" s="17"/>
      <c r="X63" s="1234"/>
      <c r="Y63" s="841"/>
      <c r="Z63" s="842"/>
      <c r="AA63" s="843"/>
      <c r="AB63" s="843"/>
      <c r="AC63" s="843"/>
      <c r="AD63" s="844"/>
      <c r="AE63" s="845"/>
      <c r="AF63" s="846"/>
      <c r="AG63" s="847"/>
      <c r="AH63" s="831"/>
      <c r="AI63" s="832"/>
      <c r="AJ63" s="820"/>
      <c r="AK63" s="821"/>
      <c r="AL63" s="822"/>
      <c r="AM63" s="808"/>
      <c r="AN63" s="808"/>
      <c r="AO63" s="808"/>
      <c r="AP63" s="823"/>
      <c r="AQ63" s="808"/>
      <c r="AR63" s="808"/>
      <c r="AS63" s="808"/>
      <c r="AT63" s="823"/>
      <c r="AU63" s="808"/>
      <c r="AV63" s="808"/>
      <c r="AW63" s="808"/>
      <c r="AX63" s="823"/>
      <c r="AY63" s="808"/>
      <c r="AZ63" s="808"/>
      <c r="BA63" s="808"/>
      <c r="BB63" s="823"/>
      <c r="BC63" s="808"/>
      <c r="BD63" s="808"/>
      <c r="BE63" s="810"/>
      <c r="BF63" s="17"/>
      <c r="BG63" s="1234"/>
      <c r="BH63" s="841"/>
      <c r="BI63" s="842"/>
      <c r="BJ63" s="843"/>
      <c r="BK63" s="843"/>
      <c r="BL63" s="843"/>
      <c r="BM63" s="844"/>
      <c r="BN63" s="845"/>
      <c r="BO63" s="846"/>
      <c r="BP63" s="847"/>
      <c r="BQ63" s="831"/>
      <c r="BR63" s="832"/>
    </row>
    <row r="64" spans="1:70" ht="31.9" customHeight="1" thickTop="1" thickBot="1" x14ac:dyDescent="0.25">
      <c r="A64" s="805"/>
      <c r="B64" s="806"/>
      <c r="C64" s="807"/>
      <c r="D64" s="808"/>
      <c r="E64" s="808"/>
      <c r="F64" s="808"/>
      <c r="G64" s="809"/>
      <c r="H64" s="808"/>
      <c r="I64" s="808"/>
      <c r="J64" s="808"/>
      <c r="K64" s="809"/>
      <c r="L64" s="808"/>
      <c r="M64" s="808"/>
      <c r="N64" s="808"/>
      <c r="O64" s="809"/>
      <c r="P64" s="808"/>
      <c r="Q64" s="808"/>
      <c r="R64" s="808"/>
      <c r="S64" s="809"/>
      <c r="T64" s="808"/>
      <c r="U64" s="808"/>
      <c r="V64" s="810"/>
      <c r="W64" s="17"/>
      <c r="X64" s="1231" t="str">
        <f>X20</f>
        <v/>
      </c>
      <c r="Y64" s="811"/>
      <c r="Z64" s="812"/>
      <c r="AA64" s="813"/>
      <c r="AB64" s="813"/>
      <c r="AC64" s="813"/>
      <c r="AD64" s="814"/>
      <c r="AE64" s="815"/>
      <c r="AF64" s="816"/>
      <c r="AG64" s="817"/>
      <c r="AH64" s="840"/>
      <c r="AI64" s="819"/>
      <c r="AJ64" s="805"/>
      <c r="AK64" s="806"/>
      <c r="AL64" s="807"/>
      <c r="AM64" s="808"/>
      <c r="AN64" s="808"/>
      <c r="AO64" s="808"/>
      <c r="AP64" s="809"/>
      <c r="AQ64" s="808"/>
      <c r="AR64" s="808"/>
      <c r="AS64" s="808"/>
      <c r="AT64" s="809"/>
      <c r="AU64" s="808"/>
      <c r="AV64" s="808"/>
      <c r="AW64" s="808"/>
      <c r="AX64" s="809"/>
      <c r="AY64" s="808"/>
      <c r="AZ64" s="808"/>
      <c r="BA64" s="808"/>
      <c r="BB64" s="809"/>
      <c r="BC64" s="808"/>
      <c r="BD64" s="808"/>
      <c r="BE64" s="810"/>
      <c r="BF64" s="17"/>
      <c r="BG64" s="1231" t="str">
        <f>BG20</f>
        <v/>
      </c>
      <c r="BH64" s="811"/>
      <c r="BI64" s="812"/>
      <c r="BJ64" s="813"/>
      <c r="BK64" s="813"/>
      <c r="BL64" s="813"/>
      <c r="BM64" s="814"/>
      <c r="BN64" s="815"/>
      <c r="BO64" s="816"/>
      <c r="BP64" s="817"/>
      <c r="BQ64" s="840"/>
      <c r="BR64" s="819"/>
    </row>
    <row r="65" spans="1:70" ht="31.9" customHeight="1" thickBot="1" x14ac:dyDescent="0.25">
      <c r="A65" s="820"/>
      <c r="B65" s="821"/>
      <c r="C65" s="822"/>
      <c r="D65" s="808"/>
      <c r="E65" s="808"/>
      <c r="F65" s="808"/>
      <c r="G65" s="823"/>
      <c r="H65" s="808"/>
      <c r="I65" s="808"/>
      <c r="J65" s="808"/>
      <c r="K65" s="823"/>
      <c r="L65" s="808"/>
      <c r="M65" s="808"/>
      <c r="N65" s="808"/>
      <c r="O65" s="823"/>
      <c r="P65" s="808"/>
      <c r="Q65" s="808"/>
      <c r="R65" s="808"/>
      <c r="S65" s="823"/>
      <c r="T65" s="808"/>
      <c r="U65" s="808"/>
      <c r="V65" s="810"/>
      <c r="W65" s="17"/>
      <c r="X65" s="1232"/>
      <c r="Y65" s="824"/>
      <c r="Z65" s="825"/>
      <c r="AA65" s="826"/>
      <c r="AB65" s="826"/>
      <c r="AC65" s="826"/>
      <c r="AD65" s="827"/>
      <c r="AE65" s="828"/>
      <c r="AF65" s="829"/>
      <c r="AG65" s="830"/>
      <c r="AH65" s="831"/>
      <c r="AI65" s="832"/>
      <c r="AJ65" s="820"/>
      <c r="AK65" s="821"/>
      <c r="AL65" s="822"/>
      <c r="AM65" s="808"/>
      <c r="AN65" s="808"/>
      <c r="AO65" s="808"/>
      <c r="AP65" s="823"/>
      <c r="AQ65" s="808"/>
      <c r="AR65" s="808"/>
      <c r="AS65" s="808"/>
      <c r="AT65" s="823"/>
      <c r="AU65" s="808"/>
      <c r="AV65" s="808"/>
      <c r="AW65" s="808"/>
      <c r="AX65" s="823"/>
      <c r="AY65" s="808"/>
      <c r="AZ65" s="808"/>
      <c r="BA65" s="808"/>
      <c r="BB65" s="823"/>
      <c r="BC65" s="808"/>
      <c r="BD65" s="808"/>
      <c r="BE65" s="810"/>
      <c r="BF65" s="17"/>
      <c r="BG65" s="1232"/>
      <c r="BH65" s="824"/>
      <c r="BI65" s="825"/>
      <c r="BJ65" s="826"/>
      <c r="BK65" s="826"/>
      <c r="BL65" s="826"/>
      <c r="BM65" s="827"/>
      <c r="BN65" s="828"/>
      <c r="BO65" s="829"/>
      <c r="BP65" s="830"/>
      <c r="BQ65" s="831"/>
      <c r="BR65" s="832"/>
    </row>
    <row r="66" spans="1:70" ht="31.9" customHeight="1" thickTop="1" thickBot="1" x14ac:dyDescent="0.25">
      <c r="A66" s="805"/>
      <c r="B66" s="806"/>
      <c r="C66" s="807"/>
      <c r="D66" s="808"/>
      <c r="E66" s="808"/>
      <c r="F66" s="808"/>
      <c r="G66" s="809"/>
      <c r="H66" s="808"/>
      <c r="I66" s="808"/>
      <c r="J66" s="808"/>
      <c r="K66" s="809"/>
      <c r="L66" s="808"/>
      <c r="M66" s="808"/>
      <c r="N66" s="808"/>
      <c r="O66" s="809"/>
      <c r="P66" s="808"/>
      <c r="Q66" s="808"/>
      <c r="R66" s="808"/>
      <c r="S66" s="809"/>
      <c r="T66" s="808"/>
      <c r="U66" s="808"/>
      <c r="V66" s="810"/>
      <c r="W66" s="17"/>
      <c r="X66" s="1233" t="str">
        <f>X22</f>
        <v/>
      </c>
      <c r="Y66" s="833"/>
      <c r="Z66" s="834"/>
      <c r="AA66" s="835"/>
      <c r="AB66" s="835"/>
      <c r="AC66" s="835"/>
      <c r="AD66" s="836"/>
      <c r="AE66" s="837"/>
      <c r="AF66" s="838"/>
      <c r="AG66" s="839"/>
      <c r="AH66" s="840"/>
      <c r="AI66" s="819"/>
      <c r="AJ66" s="805"/>
      <c r="AK66" s="806"/>
      <c r="AL66" s="807"/>
      <c r="AM66" s="808"/>
      <c r="AN66" s="808"/>
      <c r="AO66" s="808"/>
      <c r="AP66" s="809"/>
      <c r="AQ66" s="808"/>
      <c r="AR66" s="808"/>
      <c r="AS66" s="808"/>
      <c r="AT66" s="809"/>
      <c r="AU66" s="808"/>
      <c r="AV66" s="808"/>
      <c r="AW66" s="808"/>
      <c r="AX66" s="809"/>
      <c r="AY66" s="808"/>
      <c r="AZ66" s="808"/>
      <c r="BA66" s="808"/>
      <c r="BB66" s="809"/>
      <c r="BC66" s="808"/>
      <c r="BD66" s="808"/>
      <c r="BE66" s="810"/>
      <c r="BF66" s="17"/>
      <c r="BG66" s="1233" t="str">
        <f>BG22</f>
        <v/>
      </c>
      <c r="BH66" s="833"/>
      <c r="BI66" s="834"/>
      <c r="BJ66" s="835"/>
      <c r="BK66" s="835"/>
      <c r="BL66" s="835"/>
      <c r="BM66" s="836"/>
      <c r="BN66" s="837"/>
      <c r="BO66" s="838"/>
      <c r="BP66" s="839"/>
      <c r="BQ66" s="840"/>
      <c r="BR66" s="819"/>
    </row>
    <row r="67" spans="1:70" ht="31.9" customHeight="1" thickBot="1" x14ac:dyDescent="0.25">
      <c r="A67" s="820"/>
      <c r="B67" s="821"/>
      <c r="C67" s="822"/>
      <c r="D67" s="808"/>
      <c r="E67" s="808"/>
      <c r="F67" s="808"/>
      <c r="G67" s="823"/>
      <c r="H67" s="808"/>
      <c r="I67" s="808"/>
      <c r="J67" s="808"/>
      <c r="K67" s="823"/>
      <c r="L67" s="808"/>
      <c r="M67" s="808"/>
      <c r="N67" s="808"/>
      <c r="O67" s="823"/>
      <c r="P67" s="808"/>
      <c r="Q67" s="808"/>
      <c r="R67" s="808"/>
      <c r="S67" s="823"/>
      <c r="T67" s="808"/>
      <c r="U67" s="808"/>
      <c r="V67" s="810"/>
      <c r="W67" s="17"/>
      <c r="X67" s="1234"/>
      <c r="Y67" s="841"/>
      <c r="Z67" s="842"/>
      <c r="AA67" s="843"/>
      <c r="AB67" s="843"/>
      <c r="AC67" s="843"/>
      <c r="AD67" s="844"/>
      <c r="AE67" s="845"/>
      <c r="AF67" s="846"/>
      <c r="AG67" s="847"/>
      <c r="AH67" s="831"/>
      <c r="AI67" s="832"/>
      <c r="AJ67" s="820"/>
      <c r="AK67" s="821"/>
      <c r="AL67" s="822"/>
      <c r="AM67" s="808"/>
      <c r="AN67" s="808"/>
      <c r="AO67" s="808"/>
      <c r="AP67" s="823"/>
      <c r="AQ67" s="808"/>
      <c r="AR67" s="808"/>
      <c r="AS67" s="808"/>
      <c r="AT67" s="823"/>
      <c r="AU67" s="808"/>
      <c r="AV67" s="808"/>
      <c r="AW67" s="808"/>
      <c r="AX67" s="823"/>
      <c r="AY67" s="808"/>
      <c r="AZ67" s="808"/>
      <c r="BA67" s="808"/>
      <c r="BB67" s="823"/>
      <c r="BC67" s="808"/>
      <c r="BD67" s="808"/>
      <c r="BE67" s="810"/>
      <c r="BF67" s="17"/>
      <c r="BG67" s="1234"/>
      <c r="BH67" s="841"/>
      <c r="BI67" s="842"/>
      <c r="BJ67" s="843"/>
      <c r="BK67" s="843"/>
      <c r="BL67" s="843"/>
      <c r="BM67" s="844"/>
      <c r="BN67" s="845"/>
      <c r="BO67" s="846"/>
      <c r="BP67" s="847"/>
      <c r="BQ67" s="831"/>
      <c r="BR67" s="832"/>
    </row>
    <row r="68" spans="1:70" ht="31.9" customHeight="1" thickTop="1" thickBot="1" x14ac:dyDescent="0.25">
      <c r="A68" s="805"/>
      <c r="B68" s="806"/>
      <c r="C68" s="807"/>
      <c r="D68" s="808"/>
      <c r="E68" s="808"/>
      <c r="F68" s="808"/>
      <c r="G68" s="809"/>
      <c r="H68" s="808"/>
      <c r="I68" s="808"/>
      <c r="J68" s="808"/>
      <c r="K68" s="809"/>
      <c r="L68" s="808"/>
      <c r="M68" s="808"/>
      <c r="N68" s="808"/>
      <c r="O68" s="809"/>
      <c r="P68" s="808"/>
      <c r="Q68" s="808"/>
      <c r="R68" s="808"/>
      <c r="S68" s="809"/>
      <c r="T68" s="808"/>
      <c r="U68" s="808"/>
      <c r="V68" s="810"/>
      <c r="W68" s="17"/>
      <c r="X68" s="1231" t="str">
        <f>X24</f>
        <v/>
      </c>
      <c r="Y68" s="811"/>
      <c r="Z68" s="812"/>
      <c r="AA68" s="813"/>
      <c r="AB68" s="813"/>
      <c r="AC68" s="813"/>
      <c r="AD68" s="814"/>
      <c r="AE68" s="815"/>
      <c r="AF68" s="816"/>
      <c r="AG68" s="817"/>
      <c r="AH68" s="840"/>
      <c r="AI68" s="819"/>
      <c r="AJ68" s="805"/>
      <c r="AK68" s="806"/>
      <c r="AL68" s="807"/>
      <c r="AM68" s="808"/>
      <c r="AN68" s="808"/>
      <c r="AO68" s="808"/>
      <c r="AP68" s="809"/>
      <c r="AQ68" s="808"/>
      <c r="AR68" s="808"/>
      <c r="AS68" s="808"/>
      <c r="AT68" s="809"/>
      <c r="AU68" s="808"/>
      <c r="AV68" s="808"/>
      <c r="AW68" s="808"/>
      <c r="AX68" s="809"/>
      <c r="AY68" s="808"/>
      <c r="AZ68" s="808"/>
      <c r="BA68" s="808"/>
      <c r="BB68" s="809"/>
      <c r="BC68" s="808"/>
      <c r="BD68" s="808"/>
      <c r="BE68" s="810"/>
      <c r="BF68" s="17"/>
      <c r="BG68" s="1231" t="str">
        <f>BG24</f>
        <v/>
      </c>
      <c r="BH68" s="811"/>
      <c r="BI68" s="812"/>
      <c r="BJ68" s="813"/>
      <c r="BK68" s="813"/>
      <c r="BL68" s="813"/>
      <c r="BM68" s="814"/>
      <c r="BN68" s="815"/>
      <c r="BO68" s="816"/>
      <c r="BP68" s="817"/>
      <c r="BQ68" s="840"/>
      <c r="BR68" s="819"/>
    </row>
    <row r="69" spans="1:70" ht="31.9" customHeight="1" thickBot="1" x14ac:dyDescent="0.25">
      <c r="A69" s="820"/>
      <c r="B69" s="821"/>
      <c r="C69" s="822"/>
      <c r="D69" s="808"/>
      <c r="E69" s="808"/>
      <c r="F69" s="808"/>
      <c r="G69" s="823"/>
      <c r="H69" s="808"/>
      <c r="I69" s="808"/>
      <c r="J69" s="808"/>
      <c r="K69" s="823"/>
      <c r="L69" s="808"/>
      <c r="M69" s="808"/>
      <c r="N69" s="808"/>
      <c r="O69" s="823"/>
      <c r="P69" s="808"/>
      <c r="Q69" s="808"/>
      <c r="R69" s="808"/>
      <c r="S69" s="823"/>
      <c r="T69" s="808"/>
      <c r="U69" s="808"/>
      <c r="V69" s="810"/>
      <c r="W69" s="17"/>
      <c r="X69" s="1232"/>
      <c r="Y69" s="824"/>
      <c r="Z69" s="825"/>
      <c r="AA69" s="826"/>
      <c r="AB69" s="826"/>
      <c r="AC69" s="826"/>
      <c r="AD69" s="827"/>
      <c r="AE69" s="828"/>
      <c r="AF69" s="829"/>
      <c r="AG69" s="830"/>
      <c r="AH69" s="831"/>
      <c r="AI69" s="832"/>
      <c r="AJ69" s="820"/>
      <c r="AK69" s="821"/>
      <c r="AL69" s="822"/>
      <c r="AM69" s="808"/>
      <c r="AN69" s="808"/>
      <c r="AO69" s="808"/>
      <c r="AP69" s="823"/>
      <c r="AQ69" s="808"/>
      <c r="AR69" s="808"/>
      <c r="AS69" s="808"/>
      <c r="AT69" s="823"/>
      <c r="AU69" s="808"/>
      <c r="AV69" s="808"/>
      <c r="AW69" s="808"/>
      <c r="AX69" s="823"/>
      <c r="AY69" s="808"/>
      <c r="AZ69" s="808"/>
      <c r="BA69" s="808"/>
      <c r="BB69" s="823"/>
      <c r="BC69" s="808"/>
      <c r="BD69" s="808"/>
      <c r="BE69" s="810"/>
      <c r="BF69" s="17"/>
      <c r="BG69" s="1232"/>
      <c r="BH69" s="824"/>
      <c r="BI69" s="825"/>
      <c r="BJ69" s="826"/>
      <c r="BK69" s="826"/>
      <c r="BL69" s="826"/>
      <c r="BM69" s="827"/>
      <c r="BN69" s="828"/>
      <c r="BO69" s="829"/>
      <c r="BP69" s="830"/>
      <c r="BQ69" s="831"/>
      <c r="BR69" s="832"/>
    </row>
    <row r="70" spans="1:70" ht="31.9" customHeight="1" thickTop="1" thickBot="1" x14ac:dyDescent="0.25">
      <c r="A70" s="805"/>
      <c r="B70" s="806"/>
      <c r="C70" s="807"/>
      <c r="D70" s="808"/>
      <c r="E70" s="808"/>
      <c r="F70" s="808"/>
      <c r="G70" s="809"/>
      <c r="H70" s="808"/>
      <c r="I70" s="808"/>
      <c r="J70" s="808"/>
      <c r="K70" s="809"/>
      <c r="L70" s="808"/>
      <c r="M70" s="808"/>
      <c r="N70" s="808"/>
      <c r="O70" s="809"/>
      <c r="P70" s="808"/>
      <c r="Q70" s="808"/>
      <c r="R70" s="808"/>
      <c r="S70" s="809"/>
      <c r="T70" s="808"/>
      <c r="U70" s="808"/>
      <c r="V70" s="810"/>
      <c r="W70" s="17"/>
      <c r="X70" s="1233" t="str">
        <f>X26</f>
        <v/>
      </c>
      <c r="Y70" s="833"/>
      <c r="Z70" s="834"/>
      <c r="AA70" s="835"/>
      <c r="AB70" s="835"/>
      <c r="AC70" s="835"/>
      <c r="AD70" s="836"/>
      <c r="AE70" s="837"/>
      <c r="AF70" s="838"/>
      <c r="AG70" s="839"/>
      <c r="AH70" s="840"/>
      <c r="AI70" s="819"/>
      <c r="AJ70" s="805"/>
      <c r="AK70" s="806"/>
      <c r="AL70" s="807"/>
      <c r="AM70" s="808"/>
      <c r="AN70" s="808"/>
      <c r="AO70" s="808"/>
      <c r="AP70" s="809"/>
      <c r="AQ70" s="808"/>
      <c r="AR70" s="808"/>
      <c r="AS70" s="808"/>
      <c r="AT70" s="809"/>
      <c r="AU70" s="808"/>
      <c r="AV70" s="808"/>
      <c r="AW70" s="808"/>
      <c r="AX70" s="809"/>
      <c r="AY70" s="808"/>
      <c r="AZ70" s="808"/>
      <c r="BA70" s="808"/>
      <c r="BB70" s="809"/>
      <c r="BC70" s="808"/>
      <c r="BD70" s="808"/>
      <c r="BE70" s="810"/>
      <c r="BF70" s="17"/>
      <c r="BG70" s="1233" t="str">
        <f>BG26</f>
        <v/>
      </c>
      <c r="BH70" s="833"/>
      <c r="BI70" s="834"/>
      <c r="BJ70" s="835"/>
      <c r="BK70" s="835"/>
      <c r="BL70" s="835"/>
      <c r="BM70" s="836"/>
      <c r="BN70" s="837"/>
      <c r="BO70" s="838"/>
      <c r="BP70" s="839"/>
      <c r="BQ70" s="840"/>
      <c r="BR70" s="819"/>
    </row>
    <row r="71" spans="1:70" ht="31.9" customHeight="1" thickBot="1" x14ac:dyDescent="0.25">
      <c r="A71" s="820"/>
      <c r="B71" s="821"/>
      <c r="C71" s="822"/>
      <c r="D71" s="808"/>
      <c r="E71" s="808"/>
      <c r="F71" s="808"/>
      <c r="G71" s="823"/>
      <c r="H71" s="808"/>
      <c r="I71" s="808"/>
      <c r="J71" s="808"/>
      <c r="K71" s="823"/>
      <c r="L71" s="808"/>
      <c r="M71" s="808"/>
      <c r="N71" s="808"/>
      <c r="O71" s="823"/>
      <c r="P71" s="808"/>
      <c r="Q71" s="808"/>
      <c r="R71" s="808"/>
      <c r="S71" s="823"/>
      <c r="T71" s="808"/>
      <c r="U71" s="808"/>
      <c r="V71" s="810"/>
      <c r="W71" s="17"/>
      <c r="X71" s="1234"/>
      <c r="Y71" s="841"/>
      <c r="Z71" s="842"/>
      <c r="AA71" s="843"/>
      <c r="AB71" s="843"/>
      <c r="AC71" s="843"/>
      <c r="AD71" s="844"/>
      <c r="AE71" s="845"/>
      <c r="AF71" s="846"/>
      <c r="AG71" s="847"/>
      <c r="AH71" s="831"/>
      <c r="AI71" s="832"/>
      <c r="AJ71" s="820"/>
      <c r="AK71" s="821"/>
      <c r="AL71" s="822"/>
      <c r="AM71" s="808"/>
      <c r="AN71" s="808"/>
      <c r="AO71" s="808"/>
      <c r="AP71" s="823"/>
      <c r="AQ71" s="808"/>
      <c r="AR71" s="808"/>
      <c r="AS71" s="808"/>
      <c r="AT71" s="823"/>
      <c r="AU71" s="808"/>
      <c r="AV71" s="808"/>
      <c r="AW71" s="808"/>
      <c r="AX71" s="823"/>
      <c r="AY71" s="808"/>
      <c r="AZ71" s="808"/>
      <c r="BA71" s="808"/>
      <c r="BB71" s="823"/>
      <c r="BC71" s="808"/>
      <c r="BD71" s="808"/>
      <c r="BE71" s="810"/>
      <c r="BF71" s="17"/>
      <c r="BG71" s="1234"/>
      <c r="BH71" s="841"/>
      <c r="BI71" s="842"/>
      <c r="BJ71" s="843"/>
      <c r="BK71" s="843"/>
      <c r="BL71" s="843"/>
      <c r="BM71" s="844"/>
      <c r="BN71" s="845"/>
      <c r="BO71" s="846"/>
      <c r="BP71" s="847"/>
      <c r="BQ71" s="831"/>
      <c r="BR71" s="832"/>
    </row>
    <row r="72" spans="1:70" ht="31.9" customHeight="1" thickTop="1" thickBot="1" x14ac:dyDescent="0.25">
      <c r="A72" s="805"/>
      <c r="B72" s="806"/>
      <c r="C72" s="807"/>
      <c r="D72" s="808"/>
      <c r="E72" s="808"/>
      <c r="F72" s="808"/>
      <c r="G72" s="809"/>
      <c r="H72" s="808"/>
      <c r="I72" s="808"/>
      <c r="J72" s="808"/>
      <c r="K72" s="809"/>
      <c r="L72" s="808"/>
      <c r="M72" s="808"/>
      <c r="N72" s="808"/>
      <c r="O72" s="809"/>
      <c r="P72" s="808"/>
      <c r="Q72" s="808"/>
      <c r="R72" s="808"/>
      <c r="S72" s="809"/>
      <c r="T72" s="808"/>
      <c r="U72" s="808"/>
      <c r="V72" s="810"/>
      <c r="W72" s="17"/>
      <c r="X72" s="1231" t="str">
        <f>X28</f>
        <v/>
      </c>
      <c r="Y72" s="811"/>
      <c r="Z72" s="812"/>
      <c r="AA72" s="813"/>
      <c r="AB72" s="813"/>
      <c r="AC72" s="813"/>
      <c r="AD72" s="814"/>
      <c r="AE72" s="815"/>
      <c r="AF72" s="816"/>
      <c r="AG72" s="817"/>
      <c r="AH72" s="840"/>
      <c r="AI72" s="819"/>
      <c r="AJ72" s="805"/>
      <c r="AK72" s="806"/>
      <c r="AL72" s="807"/>
      <c r="AM72" s="808"/>
      <c r="AN72" s="808"/>
      <c r="AO72" s="808"/>
      <c r="AP72" s="809"/>
      <c r="AQ72" s="808"/>
      <c r="AR72" s="808"/>
      <c r="AS72" s="808"/>
      <c r="AT72" s="809"/>
      <c r="AU72" s="808"/>
      <c r="AV72" s="808"/>
      <c r="AW72" s="808"/>
      <c r="AX72" s="809"/>
      <c r="AY72" s="808"/>
      <c r="AZ72" s="808"/>
      <c r="BA72" s="808"/>
      <c r="BB72" s="809"/>
      <c r="BC72" s="808"/>
      <c r="BD72" s="808"/>
      <c r="BE72" s="810"/>
      <c r="BF72" s="17"/>
      <c r="BG72" s="1231" t="str">
        <f>BG28</f>
        <v/>
      </c>
      <c r="BH72" s="811"/>
      <c r="BI72" s="812"/>
      <c r="BJ72" s="813"/>
      <c r="BK72" s="813"/>
      <c r="BL72" s="813"/>
      <c r="BM72" s="814"/>
      <c r="BN72" s="815"/>
      <c r="BO72" s="816"/>
      <c r="BP72" s="817"/>
      <c r="BQ72" s="840"/>
      <c r="BR72" s="819"/>
    </row>
    <row r="73" spans="1:70" ht="31.9" customHeight="1" thickBot="1" x14ac:dyDescent="0.25">
      <c r="A73" s="820"/>
      <c r="B73" s="821"/>
      <c r="C73" s="822"/>
      <c r="D73" s="808"/>
      <c r="E73" s="808"/>
      <c r="F73" s="808"/>
      <c r="G73" s="823"/>
      <c r="H73" s="808"/>
      <c r="I73" s="808"/>
      <c r="J73" s="808"/>
      <c r="K73" s="823"/>
      <c r="L73" s="808"/>
      <c r="M73" s="808"/>
      <c r="N73" s="808"/>
      <c r="O73" s="823"/>
      <c r="P73" s="808"/>
      <c r="Q73" s="808"/>
      <c r="R73" s="808"/>
      <c r="S73" s="823"/>
      <c r="T73" s="808"/>
      <c r="U73" s="808"/>
      <c r="V73" s="810"/>
      <c r="W73" s="17"/>
      <c r="X73" s="1232"/>
      <c r="Y73" s="824"/>
      <c r="Z73" s="825"/>
      <c r="AA73" s="826"/>
      <c r="AB73" s="826"/>
      <c r="AC73" s="826"/>
      <c r="AD73" s="827"/>
      <c r="AE73" s="828"/>
      <c r="AF73" s="829"/>
      <c r="AG73" s="830"/>
      <c r="AH73" s="831"/>
      <c r="AI73" s="832"/>
      <c r="AJ73" s="820"/>
      <c r="AK73" s="821"/>
      <c r="AL73" s="822"/>
      <c r="AM73" s="808"/>
      <c r="AN73" s="808"/>
      <c r="AO73" s="808"/>
      <c r="AP73" s="823"/>
      <c r="AQ73" s="808"/>
      <c r="AR73" s="808"/>
      <c r="AS73" s="808"/>
      <c r="AT73" s="823"/>
      <c r="AU73" s="808"/>
      <c r="AV73" s="808"/>
      <c r="AW73" s="808"/>
      <c r="AX73" s="823"/>
      <c r="AY73" s="808"/>
      <c r="AZ73" s="808"/>
      <c r="BA73" s="808"/>
      <c r="BB73" s="823"/>
      <c r="BC73" s="808"/>
      <c r="BD73" s="808"/>
      <c r="BE73" s="810"/>
      <c r="BF73" s="17"/>
      <c r="BG73" s="1232"/>
      <c r="BH73" s="824"/>
      <c r="BI73" s="825"/>
      <c r="BJ73" s="826"/>
      <c r="BK73" s="826"/>
      <c r="BL73" s="826"/>
      <c r="BM73" s="827"/>
      <c r="BN73" s="828"/>
      <c r="BO73" s="829"/>
      <c r="BP73" s="830"/>
      <c r="BQ73" s="831"/>
      <c r="BR73" s="832"/>
    </row>
    <row r="74" spans="1:70" ht="31.9" customHeight="1" thickTop="1" thickBot="1" x14ac:dyDescent="0.25">
      <c r="A74" s="805"/>
      <c r="B74" s="806"/>
      <c r="C74" s="807"/>
      <c r="D74" s="808"/>
      <c r="E74" s="808"/>
      <c r="F74" s="808"/>
      <c r="G74" s="809"/>
      <c r="H74" s="808"/>
      <c r="I74" s="808"/>
      <c r="J74" s="808"/>
      <c r="K74" s="809"/>
      <c r="L74" s="808"/>
      <c r="M74" s="808"/>
      <c r="N74" s="808"/>
      <c r="O74" s="809"/>
      <c r="P74" s="808"/>
      <c r="Q74" s="808"/>
      <c r="R74" s="808"/>
      <c r="S74" s="809"/>
      <c r="T74" s="808"/>
      <c r="U74" s="808"/>
      <c r="V74" s="810"/>
      <c r="W74" s="17"/>
      <c r="X74" s="1233" t="str">
        <f>X30</f>
        <v/>
      </c>
      <c r="Y74" s="833"/>
      <c r="Z74" s="834"/>
      <c r="AA74" s="835"/>
      <c r="AB74" s="835"/>
      <c r="AC74" s="835"/>
      <c r="AD74" s="836"/>
      <c r="AE74" s="837"/>
      <c r="AF74" s="838"/>
      <c r="AG74" s="839"/>
      <c r="AH74" s="840"/>
      <c r="AI74" s="819"/>
      <c r="AJ74" s="805"/>
      <c r="AK74" s="806"/>
      <c r="AL74" s="807"/>
      <c r="AM74" s="808"/>
      <c r="AN74" s="808"/>
      <c r="AO74" s="808"/>
      <c r="AP74" s="809"/>
      <c r="AQ74" s="808"/>
      <c r="AR74" s="808"/>
      <c r="AS74" s="808"/>
      <c r="AT74" s="809"/>
      <c r="AU74" s="808"/>
      <c r="AV74" s="808"/>
      <c r="AW74" s="808"/>
      <c r="AX74" s="809"/>
      <c r="AY74" s="808"/>
      <c r="AZ74" s="808"/>
      <c r="BA74" s="808"/>
      <c r="BB74" s="809"/>
      <c r="BC74" s="808"/>
      <c r="BD74" s="808"/>
      <c r="BE74" s="810"/>
      <c r="BF74" s="17"/>
      <c r="BG74" s="1233" t="str">
        <f>BG30</f>
        <v/>
      </c>
      <c r="BH74" s="833"/>
      <c r="BI74" s="834"/>
      <c r="BJ74" s="835"/>
      <c r="BK74" s="835"/>
      <c r="BL74" s="835"/>
      <c r="BM74" s="836"/>
      <c r="BN74" s="837"/>
      <c r="BO74" s="838"/>
      <c r="BP74" s="839"/>
      <c r="BQ74" s="840"/>
      <c r="BR74" s="819"/>
    </row>
    <row r="75" spans="1:70" ht="31.9" customHeight="1" thickBot="1" x14ac:dyDescent="0.25">
      <c r="A75" s="820"/>
      <c r="B75" s="821"/>
      <c r="C75" s="822"/>
      <c r="D75" s="808"/>
      <c r="E75" s="808"/>
      <c r="F75" s="808"/>
      <c r="G75" s="823"/>
      <c r="H75" s="808"/>
      <c r="I75" s="808"/>
      <c r="J75" s="808"/>
      <c r="K75" s="823"/>
      <c r="L75" s="808"/>
      <c r="M75" s="808"/>
      <c r="N75" s="808"/>
      <c r="O75" s="823"/>
      <c r="P75" s="808"/>
      <c r="Q75" s="808"/>
      <c r="R75" s="808"/>
      <c r="S75" s="823"/>
      <c r="T75" s="808"/>
      <c r="U75" s="808"/>
      <c r="V75" s="810"/>
      <c r="W75" s="17"/>
      <c r="X75" s="1234"/>
      <c r="Y75" s="841"/>
      <c r="Z75" s="842"/>
      <c r="AA75" s="843"/>
      <c r="AB75" s="843"/>
      <c r="AC75" s="843"/>
      <c r="AD75" s="844"/>
      <c r="AE75" s="845"/>
      <c r="AF75" s="846"/>
      <c r="AG75" s="847"/>
      <c r="AH75" s="831"/>
      <c r="AI75" s="832"/>
      <c r="AJ75" s="820"/>
      <c r="AK75" s="821"/>
      <c r="AL75" s="822"/>
      <c r="AM75" s="808"/>
      <c r="AN75" s="808"/>
      <c r="AO75" s="808"/>
      <c r="AP75" s="823"/>
      <c r="AQ75" s="808"/>
      <c r="AR75" s="808"/>
      <c r="AS75" s="808"/>
      <c r="AT75" s="823"/>
      <c r="AU75" s="808"/>
      <c r="AV75" s="808"/>
      <c r="AW75" s="808"/>
      <c r="AX75" s="823"/>
      <c r="AY75" s="808"/>
      <c r="AZ75" s="808"/>
      <c r="BA75" s="808"/>
      <c r="BB75" s="823"/>
      <c r="BC75" s="808"/>
      <c r="BD75" s="808"/>
      <c r="BE75" s="810"/>
      <c r="BF75" s="17"/>
      <c r="BG75" s="1234"/>
      <c r="BH75" s="841"/>
      <c r="BI75" s="842"/>
      <c r="BJ75" s="843"/>
      <c r="BK75" s="843"/>
      <c r="BL75" s="843"/>
      <c r="BM75" s="844"/>
      <c r="BN75" s="845"/>
      <c r="BO75" s="846"/>
      <c r="BP75" s="847"/>
      <c r="BQ75" s="831"/>
      <c r="BR75" s="832"/>
    </row>
    <row r="76" spans="1:70" ht="31.9" customHeight="1" thickTop="1" thickBot="1" x14ac:dyDescent="0.25">
      <c r="A76" s="805"/>
      <c r="B76" s="806"/>
      <c r="C76" s="807"/>
      <c r="D76" s="808"/>
      <c r="E76" s="808"/>
      <c r="F76" s="808"/>
      <c r="G76" s="809"/>
      <c r="H76" s="808"/>
      <c r="I76" s="808"/>
      <c r="J76" s="808"/>
      <c r="K76" s="809"/>
      <c r="L76" s="808"/>
      <c r="M76" s="808"/>
      <c r="N76" s="808"/>
      <c r="O76" s="809"/>
      <c r="P76" s="808"/>
      <c r="Q76" s="808"/>
      <c r="R76" s="808"/>
      <c r="S76" s="809"/>
      <c r="T76" s="808"/>
      <c r="U76" s="808"/>
      <c r="V76" s="810"/>
      <c r="W76" s="17"/>
      <c r="X76" s="1231" t="str">
        <f>X32</f>
        <v/>
      </c>
      <c r="Y76" s="811"/>
      <c r="Z76" s="812"/>
      <c r="AA76" s="813"/>
      <c r="AB76" s="813"/>
      <c r="AC76" s="813"/>
      <c r="AD76" s="814"/>
      <c r="AE76" s="815"/>
      <c r="AF76" s="816"/>
      <c r="AG76" s="817"/>
      <c r="AH76" s="840"/>
      <c r="AI76" s="819"/>
      <c r="AJ76" s="805"/>
      <c r="AK76" s="806"/>
      <c r="AL76" s="807"/>
      <c r="AM76" s="808"/>
      <c r="AN76" s="808"/>
      <c r="AO76" s="808"/>
      <c r="AP76" s="809"/>
      <c r="AQ76" s="808"/>
      <c r="AR76" s="808"/>
      <c r="AS76" s="808"/>
      <c r="AT76" s="809"/>
      <c r="AU76" s="808"/>
      <c r="AV76" s="808"/>
      <c r="AW76" s="808"/>
      <c r="AX76" s="809"/>
      <c r="AY76" s="808"/>
      <c r="AZ76" s="808"/>
      <c r="BA76" s="808"/>
      <c r="BB76" s="809"/>
      <c r="BC76" s="808"/>
      <c r="BD76" s="808"/>
      <c r="BE76" s="810"/>
      <c r="BF76" s="17"/>
      <c r="BG76" s="1231" t="str">
        <f>BG32</f>
        <v/>
      </c>
      <c r="BH76" s="811"/>
      <c r="BI76" s="812"/>
      <c r="BJ76" s="813"/>
      <c r="BK76" s="813"/>
      <c r="BL76" s="813"/>
      <c r="BM76" s="814"/>
      <c r="BN76" s="815"/>
      <c r="BO76" s="816"/>
      <c r="BP76" s="817"/>
      <c r="BQ76" s="840"/>
      <c r="BR76" s="819"/>
    </row>
    <row r="77" spans="1:70" ht="31.9" customHeight="1" thickBot="1" x14ac:dyDescent="0.25">
      <c r="A77" s="820"/>
      <c r="B77" s="821"/>
      <c r="C77" s="822"/>
      <c r="D77" s="808"/>
      <c r="E77" s="808"/>
      <c r="F77" s="808"/>
      <c r="G77" s="823"/>
      <c r="H77" s="808"/>
      <c r="I77" s="808"/>
      <c r="J77" s="808"/>
      <c r="K77" s="823"/>
      <c r="L77" s="808"/>
      <c r="M77" s="808"/>
      <c r="N77" s="808"/>
      <c r="O77" s="823"/>
      <c r="P77" s="808"/>
      <c r="Q77" s="808"/>
      <c r="R77" s="808"/>
      <c r="S77" s="823"/>
      <c r="T77" s="808"/>
      <c r="U77" s="808"/>
      <c r="V77" s="810"/>
      <c r="W77" s="17"/>
      <c r="X77" s="1232"/>
      <c r="Y77" s="824"/>
      <c r="Z77" s="825"/>
      <c r="AA77" s="826"/>
      <c r="AB77" s="826"/>
      <c r="AC77" s="826"/>
      <c r="AD77" s="827"/>
      <c r="AE77" s="828"/>
      <c r="AF77" s="829"/>
      <c r="AG77" s="830"/>
      <c r="AH77" s="831"/>
      <c r="AI77" s="832"/>
      <c r="AJ77" s="820"/>
      <c r="AK77" s="821"/>
      <c r="AL77" s="822"/>
      <c r="AM77" s="808"/>
      <c r="AN77" s="808"/>
      <c r="AO77" s="808"/>
      <c r="AP77" s="823"/>
      <c r="AQ77" s="808"/>
      <c r="AR77" s="808"/>
      <c r="AS77" s="808"/>
      <c r="AT77" s="823"/>
      <c r="AU77" s="808"/>
      <c r="AV77" s="808"/>
      <c r="AW77" s="808"/>
      <c r="AX77" s="823"/>
      <c r="AY77" s="808"/>
      <c r="AZ77" s="808"/>
      <c r="BA77" s="808"/>
      <c r="BB77" s="823"/>
      <c r="BC77" s="808"/>
      <c r="BD77" s="808"/>
      <c r="BE77" s="810"/>
      <c r="BF77" s="17"/>
      <c r="BG77" s="1232"/>
      <c r="BH77" s="824"/>
      <c r="BI77" s="825"/>
      <c r="BJ77" s="826"/>
      <c r="BK77" s="826"/>
      <c r="BL77" s="826"/>
      <c r="BM77" s="827"/>
      <c r="BN77" s="828"/>
      <c r="BO77" s="829"/>
      <c r="BP77" s="830"/>
      <c r="BQ77" s="831"/>
      <c r="BR77" s="832"/>
    </row>
    <row r="78" spans="1:70" ht="31.9" customHeight="1" thickTop="1" thickBot="1" x14ac:dyDescent="0.25">
      <c r="A78" s="805"/>
      <c r="B78" s="806"/>
      <c r="C78" s="807"/>
      <c r="D78" s="808"/>
      <c r="E78" s="808"/>
      <c r="F78" s="808"/>
      <c r="G78" s="809"/>
      <c r="H78" s="808"/>
      <c r="I78" s="808"/>
      <c r="J78" s="808"/>
      <c r="K78" s="809"/>
      <c r="L78" s="808"/>
      <c r="M78" s="808"/>
      <c r="N78" s="808"/>
      <c r="O78" s="809"/>
      <c r="P78" s="808"/>
      <c r="Q78" s="808"/>
      <c r="R78" s="808"/>
      <c r="S78" s="809"/>
      <c r="T78" s="808"/>
      <c r="U78" s="808"/>
      <c r="V78" s="810"/>
      <c r="W78" s="17"/>
      <c r="X78" s="1233" t="str">
        <f>X34</f>
        <v/>
      </c>
      <c r="Y78" s="833"/>
      <c r="Z78" s="834"/>
      <c r="AA78" s="835"/>
      <c r="AB78" s="835"/>
      <c r="AC78" s="835"/>
      <c r="AD78" s="836"/>
      <c r="AE78" s="837"/>
      <c r="AF78" s="838"/>
      <c r="AG78" s="839"/>
      <c r="AH78" s="840"/>
      <c r="AI78" s="819"/>
      <c r="AJ78" s="805"/>
      <c r="AK78" s="806"/>
      <c r="AL78" s="807"/>
      <c r="AM78" s="808"/>
      <c r="AN78" s="808"/>
      <c r="AO78" s="808"/>
      <c r="AP78" s="809"/>
      <c r="AQ78" s="808"/>
      <c r="AR78" s="808"/>
      <c r="AS78" s="808"/>
      <c r="AT78" s="809"/>
      <c r="AU78" s="808"/>
      <c r="AV78" s="808"/>
      <c r="AW78" s="808"/>
      <c r="AX78" s="809"/>
      <c r="AY78" s="808"/>
      <c r="AZ78" s="808"/>
      <c r="BA78" s="808"/>
      <c r="BB78" s="809"/>
      <c r="BC78" s="808"/>
      <c r="BD78" s="808"/>
      <c r="BE78" s="810"/>
      <c r="BF78" s="17"/>
      <c r="BG78" s="1233" t="str">
        <f>BG34</f>
        <v/>
      </c>
      <c r="BH78" s="833"/>
      <c r="BI78" s="834"/>
      <c r="BJ78" s="835"/>
      <c r="BK78" s="835"/>
      <c r="BL78" s="835"/>
      <c r="BM78" s="836"/>
      <c r="BN78" s="837"/>
      <c r="BO78" s="838"/>
      <c r="BP78" s="839"/>
      <c r="BQ78" s="840"/>
      <c r="BR78" s="819"/>
    </row>
    <row r="79" spans="1:70" ht="31.9" customHeight="1" thickBot="1" x14ac:dyDescent="0.25">
      <c r="A79" s="820"/>
      <c r="B79" s="821"/>
      <c r="C79" s="822"/>
      <c r="D79" s="808"/>
      <c r="E79" s="808"/>
      <c r="F79" s="808"/>
      <c r="G79" s="823"/>
      <c r="H79" s="808"/>
      <c r="I79" s="808"/>
      <c r="J79" s="808"/>
      <c r="K79" s="823"/>
      <c r="L79" s="808"/>
      <c r="M79" s="808"/>
      <c r="N79" s="808"/>
      <c r="O79" s="823"/>
      <c r="P79" s="808"/>
      <c r="Q79" s="808"/>
      <c r="R79" s="808"/>
      <c r="S79" s="823"/>
      <c r="T79" s="808"/>
      <c r="U79" s="808"/>
      <c r="V79" s="810"/>
      <c r="W79" s="17"/>
      <c r="X79" s="1234"/>
      <c r="Y79" s="841"/>
      <c r="Z79" s="842"/>
      <c r="AA79" s="843"/>
      <c r="AB79" s="843"/>
      <c r="AC79" s="843"/>
      <c r="AD79" s="844"/>
      <c r="AE79" s="845"/>
      <c r="AF79" s="846"/>
      <c r="AG79" s="847"/>
      <c r="AH79" s="831"/>
      <c r="AI79" s="832"/>
      <c r="AJ79" s="820"/>
      <c r="AK79" s="821"/>
      <c r="AL79" s="822"/>
      <c r="AM79" s="808"/>
      <c r="AN79" s="808"/>
      <c r="AO79" s="808"/>
      <c r="AP79" s="823"/>
      <c r="AQ79" s="808"/>
      <c r="AR79" s="808"/>
      <c r="AS79" s="808"/>
      <c r="AT79" s="823"/>
      <c r="AU79" s="808"/>
      <c r="AV79" s="808"/>
      <c r="AW79" s="808"/>
      <c r="AX79" s="823"/>
      <c r="AY79" s="808"/>
      <c r="AZ79" s="808"/>
      <c r="BA79" s="808"/>
      <c r="BB79" s="823"/>
      <c r="BC79" s="808"/>
      <c r="BD79" s="808"/>
      <c r="BE79" s="810"/>
      <c r="BF79" s="17"/>
      <c r="BG79" s="1234"/>
      <c r="BH79" s="841"/>
      <c r="BI79" s="842"/>
      <c r="BJ79" s="843"/>
      <c r="BK79" s="843"/>
      <c r="BL79" s="843"/>
      <c r="BM79" s="844"/>
      <c r="BN79" s="845"/>
      <c r="BO79" s="846"/>
      <c r="BP79" s="847"/>
      <c r="BQ79" s="831"/>
      <c r="BR79" s="832"/>
    </row>
    <row r="80" spans="1:70" ht="31.9" customHeight="1" thickTop="1" thickBot="1" x14ac:dyDescent="0.25">
      <c r="A80" s="805"/>
      <c r="B80" s="806"/>
      <c r="C80" s="807"/>
      <c r="D80" s="808"/>
      <c r="E80" s="808"/>
      <c r="F80" s="808"/>
      <c r="G80" s="809"/>
      <c r="H80" s="808"/>
      <c r="I80" s="808"/>
      <c r="J80" s="808"/>
      <c r="K80" s="809"/>
      <c r="L80" s="808"/>
      <c r="M80" s="808"/>
      <c r="N80" s="808"/>
      <c r="O80" s="809"/>
      <c r="P80" s="808"/>
      <c r="Q80" s="808"/>
      <c r="R80" s="808"/>
      <c r="S80" s="809"/>
      <c r="T80" s="808"/>
      <c r="U80" s="808"/>
      <c r="V80" s="810"/>
      <c r="W80" s="17"/>
      <c r="X80" s="1231" t="str">
        <f>X36</f>
        <v/>
      </c>
      <c r="Y80" s="811"/>
      <c r="Z80" s="812"/>
      <c r="AA80" s="813"/>
      <c r="AB80" s="813"/>
      <c r="AC80" s="813"/>
      <c r="AD80" s="814"/>
      <c r="AE80" s="815"/>
      <c r="AF80" s="816"/>
      <c r="AG80" s="817"/>
      <c r="AH80" s="840"/>
      <c r="AI80" s="819"/>
      <c r="AJ80" s="805"/>
      <c r="AK80" s="806"/>
      <c r="AL80" s="807"/>
      <c r="AM80" s="808"/>
      <c r="AN80" s="808"/>
      <c r="AO80" s="808"/>
      <c r="AP80" s="809"/>
      <c r="AQ80" s="808"/>
      <c r="AR80" s="808"/>
      <c r="AS80" s="808"/>
      <c r="AT80" s="809"/>
      <c r="AU80" s="808"/>
      <c r="AV80" s="808"/>
      <c r="AW80" s="808"/>
      <c r="AX80" s="809"/>
      <c r="AY80" s="808"/>
      <c r="AZ80" s="808"/>
      <c r="BA80" s="808"/>
      <c r="BB80" s="809"/>
      <c r="BC80" s="808"/>
      <c r="BD80" s="808"/>
      <c r="BE80" s="810"/>
      <c r="BF80" s="17"/>
      <c r="BG80" s="1231" t="str">
        <f>BG36</f>
        <v/>
      </c>
      <c r="BH80" s="811"/>
      <c r="BI80" s="812"/>
      <c r="BJ80" s="813"/>
      <c r="BK80" s="813"/>
      <c r="BL80" s="813"/>
      <c r="BM80" s="814"/>
      <c r="BN80" s="815"/>
      <c r="BO80" s="816"/>
      <c r="BP80" s="817"/>
      <c r="BQ80" s="840"/>
      <c r="BR80" s="819"/>
    </row>
    <row r="81" spans="1:70" ht="31.9" customHeight="1" thickBot="1" x14ac:dyDescent="0.25">
      <c r="A81" s="820"/>
      <c r="B81" s="821"/>
      <c r="C81" s="822"/>
      <c r="D81" s="808"/>
      <c r="E81" s="808"/>
      <c r="F81" s="808"/>
      <c r="G81" s="823"/>
      <c r="H81" s="808"/>
      <c r="I81" s="808"/>
      <c r="J81" s="808"/>
      <c r="K81" s="823"/>
      <c r="L81" s="808"/>
      <c r="M81" s="808"/>
      <c r="N81" s="808"/>
      <c r="O81" s="823"/>
      <c r="P81" s="808"/>
      <c r="Q81" s="808"/>
      <c r="R81" s="808"/>
      <c r="S81" s="823"/>
      <c r="T81" s="808"/>
      <c r="U81" s="808"/>
      <c r="V81" s="810"/>
      <c r="W81" s="17"/>
      <c r="X81" s="1232"/>
      <c r="Y81" s="824"/>
      <c r="Z81" s="825"/>
      <c r="AA81" s="826"/>
      <c r="AB81" s="826"/>
      <c r="AC81" s="826"/>
      <c r="AD81" s="827"/>
      <c r="AE81" s="828"/>
      <c r="AF81" s="829"/>
      <c r="AG81" s="830"/>
      <c r="AH81" s="831"/>
      <c r="AI81" s="832"/>
      <c r="AJ81" s="820"/>
      <c r="AK81" s="821"/>
      <c r="AL81" s="822"/>
      <c r="AM81" s="808"/>
      <c r="AN81" s="808"/>
      <c r="AO81" s="808"/>
      <c r="AP81" s="823"/>
      <c r="AQ81" s="808"/>
      <c r="AR81" s="808"/>
      <c r="AS81" s="808"/>
      <c r="AT81" s="823"/>
      <c r="AU81" s="808"/>
      <c r="AV81" s="808"/>
      <c r="AW81" s="808"/>
      <c r="AX81" s="823"/>
      <c r="AY81" s="808"/>
      <c r="AZ81" s="808"/>
      <c r="BA81" s="808"/>
      <c r="BB81" s="823"/>
      <c r="BC81" s="808"/>
      <c r="BD81" s="808"/>
      <c r="BE81" s="810"/>
      <c r="BF81" s="17"/>
      <c r="BG81" s="1232"/>
      <c r="BH81" s="824"/>
      <c r="BI81" s="825"/>
      <c r="BJ81" s="826"/>
      <c r="BK81" s="826"/>
      <c r="BL81" s="826"/>
      <c r="BM81" s="827"/>
      <c r="BN81" s="828"/>
      <c r="BO81" s="829"/>
      <c r="BP81" s="830"/>
      <c r="BQ81" s="831"/>
      <c r="BR81" s="832"/>
    </row>
    <row r="82" spans="1:70" ht="31.9" customHeight="1" thickTop="1" thickBot="1" x14ac:dyDescent="0.25">
      <c r="A82" s="805"/>
      <c r="B82" s="806"/>
      <c r="C82" s="807"/>
      <c r="D82" s="808"/>
      <c r="E82" s="808"/>
      <c r="F82" s="808"/>
      <c r="G82" s="809"/>
      <c r="H82" s="808"/>
      <c r="I82" s="808"/>
      <c r="J82" s="808"/>
      <c r="K82" s="809"/>
      <c r="L82" s="808"/>
      <c r="M82" s="808"/>
      <c r="N82" s="808"/>
      <c r="O82" s="809"/>
      <c r="P82" s="808"/>
      <c r="Q82" s="808"/>
      <c r="R82" s="808"/>
      <c r="S82" s="809"/>
      <c r="T82" s="808"/>
      <c r="U82" s="808"/>
      <c r="V82" s="810"/>
      <c r="W82" s="17"/>
      <c r="X82" s="1233" t="str">
        <f>X38</f>
        <v/>
      </c>
      <c r="Y82" s="833"/>
      <c r="Z82" s="834"/>
      <c r="AA82" s="835"/>
      <c r="AB82" s="835"/>
      <c r="AC82" s="835"/>
      <c r="AD82" s="836"/>
      <c r="AE82" s="837"/>
      <c r="AF82" s="838"/>
      <c r="AG82" s="839"/>
      <c r="AH82" s="840"/>
      <c r="AI82" s="819"/>
      <c r="AJ82" s="805"/>
      <c r="AK82" s="806"/>
      <c r="AL82" s="807"/>
      <c r="AM82" s="808"/>
      <c r="AN82" s="808"/>
      <c r="AO82" s="808"/>
      <c r="AP82" s="809"/>
      <c r="AQ82" s="808"/>
      <c r="AR82" s="808"/>
      <c r="AS82" s="808"/>
      <c r="AT82" s="809"/>
      <c r="AU82" s="808"/>
      <c r="AV82" s="808"/>
      <c r="AW82" s="808"/>
      <c r="AX82" s="809"/>
      <c r="AY82" s="808"/>
      <c r="AZ82" s="808"/>
      <c r="BA82" s="808"/>
      <c r="BB82" s="809"/>
      <c r="BC82" s="808"/>
      <c r="BD82" s="808"/>
      <c r="BE82" s="810"/>
      <c r="BF82" s="17"/>
      <c r="BG82" s="1233" t="str">
        <f>BG38</f>
        <v/>
      </c>
      <c r="BH82" s="833"/>
      <c r="BI82" s="834"/>
      <c r="BJ82" s="835"/>
      <c r="BK82" s="835"/>
      <c r="BL82" s="835"/>
      <c r="BM82" s="836"/>
      <c r="BN82" s="837"/>
      <c r="BO82" s="838"/>
      <c r="BP82" s="839"/>
      <c r="BQ82" s="840"/>
      <c r="BR82" s="819"/>
    </row>
    <row r="83" spans="1:70" ht="31.9" customHeight="1" thickBot="1" x14ac:dyDescent="0.25">
      <c r="A83" s="820"/>
      <c r="B83" s="821"/>
      <c r="C83" s="822"/>
      <c r="D83" s="808"/>
      <c r="E83" s="808"/>
      <c r="F83" s="808"/>
      <c r="G83" s="823"/>
      <c r="H83" s="808"/>
      <c r="I83" s="808"/>
      <c r="J83" s="808"/>
      <c r="K83" s="823"/>
      <c r="L83" s="808"/>
      <c r="M83" s="808"/>
      <c r="N83" s="808"/>
      <c r="O83" s="823"/>
      <c r="P83" s="808"/>
      <c r="Q83" s="808"/>
      <c r="R83" s="808"/>
      <c r="S83" s="823"/>
      <c r="T83" s="808"/>
      <c r="U83" s="808"/>
      <c r="V83" s="810"/>
      <c r="W83" s="17"/>
      <c r="X83" s="1234"/>
      <c r="Y83" s="841"/>
      <c r="Z83" s="842"/>
      <c r="AA83" s="843"/>
      <c r="AB83" s="843"/>
      <c r="AC83" s="843"/>
      <c r="AD83" s="844"/>
      <c r="AE83" s="845"/>
      <c r="AF83" s="846"/>
      <c r="AG83" s="847"/>
      <c r="AH83" s="831"/>
      <c r="AI83" s="832"/>
      <c r="AJ83" s="820"/>
      <c r="AK83" s="821"/>
      <c r="AL83" s="822"/>
      <c r="AM83" s="808"/>
      <c r="AN83" s="808"/>
      <c r="AO83" s="808"/>
      <c r="AP83" s="823"/>
      <c r="AQ83" s="808"/>
      <c r="AR83" s="808"/>
      <c r="AS83" s="808"/>
      <c r="AT83" s="823"/>
      <c r="AU83" s="808"/>
      <c r="AV83" s="808"/>
      <c r="AW83" s="808"/>
      <c r="AX83" s="823"/>
      <c r="AY83" s="808"/>
      <c r="AZ83" s="808"/>
      <c r="BA83" s="808"/>
      <c r="BB83" s="823"/>
      <c r="BC83" s="808"/>
      <c r="BD83" s="808"/>
      <c r="BE83" s="810"/>
      <c r="BF83" s="17"/>
      <c r="BG83" s="1234"/>
      <c r="BH83" s="841"/>
      <c r="BI83" s="842"/>
      <c r="BJ83" s="843"/>
      <c r="BK83" s="843"/>
      <c r="BL83" s="843"/>
      <c r="BM83" s="844"/>
      <c r="BN83" s="845"/>
      <c r="BO83" s="846"/>
      <c r="BP83" s="847"/>
      <c r="BQ83" s="831"/>
      <c r="BR83" s="832"/>
    </row>
    <row r="84" spans="1:70" ht="31.9" customHeight="1" thickTop="1" thickBot="1" x14ac:dyDescent="0.25">
      <c r="A84" s="805"/>
      <c r="B84" s="806"/>
      <c r="C84" s="807"/>
      <c r="D84" s="808"/>
      <c r="E84" s="808"/>
      <c r="F84" s="808"/>
      <c r="G84" s="809"/>
      <c r="H84" s="808"/>
      <c r="I84" s="808"/>
      <c r="J84" s="808"/>
      <c r="K84" s="809"/>
      <c r="L84" s="808"/>
      <c r="M84" s="808"/>
      <c r="N84" s="808"/>
      <c r="O84" s="809"/>
      <c r="P84" s="808"/>
      <c r="Q84" s="808"/>
      <c r="R84" s="808"/>
      <c r="S84" s="809"/>
      <c r="T84" s="808"/>
      <c r="U84" s="808"/>
      <c r="V84" s="810"/>
      <c r="W84" s="17"/>
      <c r="X84" s="1231" t="str">
        <f>X40</f>
        <v/>
      </c>
      <c r="Y84" s="811"/>
      <c r="Z84" s="812"/>
      <c r="AA84" s="813"/>
      <c r="AB84" s="813"/>
      <c r="AC84" s="813"/>
      <c r="AD84" s="814"/>
      <c r="AE84" s="815"/>
      <c r="AF84" s="816"/>
      <c r="AG84" s="817"/>
      <c r="AH84" s="840"/>
      <c r="AI84" s="819"/>
      <c r="AJ84" s="805"/>
      <c r="AK84" s="806"/>
      <c r="AL84" s="807"/>
      <c r="AM84" s="808"/>
      <c r="AN84" s="808"/>
      <c r="AO84" s="808"/>
      <c r="AP84" s="809"/>
      <c r="AQ84" s="808"/>
      <c r="AR84" s="808"/>
      <c r="AS84" s="808"/>
      <c r="AT84" s="809"/>
      <c r="AU84" s="808"/>
      <c r="AV84" s="808"/>
      <c r="AW84" s="808"/>
      <c r="AX84" s="809"/>
      <c r="AY84" s="808"/>
      <c r="AZ84" s="808"/>
      <c r="BA84" s="808"/>
      <c r="BB84" s="809"/>
      <c r="BC84" s="808"/>
      <c r="BD84" s="808"/>
      <c r="BE84" s="810"/>
      <c r="BF84" s="17"/>
      <c r="BG84" s="1231" t="str">
        <f>BG40</f>
        <v/>
      </c>
      <c r="BH84" s="811"/>
      <c r="BI84" s="812"/>
      <c r="BJ84" s="813"/>
      <c r="BK84" s="813"/>
      <c r="BL84" s="813"/>
      <c r="BM84" s="814"/>
      <c r="BN84" s="815"/>
      <c r="BO84" s="816"/>
      <c r="BP84" s="817"/>
      <c r="BQ84" s="840"/>
      <c r="BR84" s="819"/>
    </row>
    <row r="85" spans="1:70" ht="31.9" customHeight="1" thickBot="1" x14ac:dyDescent="0.25">
      <c r="A85" s="820"/>
      <c r="B85" s="821"/>
      <c r="C85" s="822"/>
      <c r="D85" s="808"/>
      <c r="E85" s="808"/>
      <c r="F85" s="808"/>
      <c r="G85" s="823"/>
      <c r="H85" s="808"/>
      <c r="I85" s="808"/>
      <c r="J85" s="808"/>
      <c r="K85" s="823"/>
      <c r="L85" s="808"/>
      <c r="M85" s="808"/>
      <c r="N85" s="808"/>
      <c r="O85" s="823"/>
      <c r="P85" s="808"/>
      <c r="Q85" s="808"/>
      <c r="R85" s="808"/>
      <c r="S85" s="823"/>
      <c r="T85" s="808"/>
      <c r="U85" s="808"/>
      <c r="V85" s="810"/>
      <c r="W85" s="17"/>
      <c r="X85" s="1232"/>
      <c r="Y85" s="824"/>
      <c r="Z85" s="825"/>
      <c r="AA85" s="826"/>
      <c r="AB85" s="826"/>
      <c r="AC85" s="826"/>
      <c r="AD85" s="827"/>
      <c r="AE85" s="828"/>
      <c r="AF85" s="829"/>
      <c r="AG85" s="830"/>
      <c r="AH85" s="831"/>
      <c r="AI85" s="832"/>
      <c r="AJ85" s="820"/>
      <c r="AK85" s="821"/>
      <c r="AL85" s="822"/>
      <c r="AM85" s="808"/>
      <c r="AN85" s="808"/>
      <c r="AO85" s="808"/>
      <c r="AP85" s="823"/>
      <c r="AQ85" s="808"/>
      <c r="AR85" s="808"/>
      <c r="AS85" s="808"/>
      <c r="AT85" s="823"/>
      <c r="AU85" s="808"/>
      <c r="AV85" s="808"/>
      <c r="AW85" s="808"/>
      <c r="AX85" s="823"/>
      <c r="AY85" s="808"/>
      <c r="AZ85" s="808"/>
      <c r="BA85" s="808"/>
      <c r="BB85" s="823"/>
      <c r="BC85" s="808"/>
      <c r="BD85" s="808"/>
      <c r="BE85" s="810"/>
      <c r="BF85" s="17"/>
      <c r="BG85" s="1232"/>
      <c r="BH85" s="824"/>
      <c r="BI85" s="825"/>
      <c r="BJ85" s="826"/>
      <c r="BK85" s="826"/>
      <c r="BL85" s="826"/>
      <c r="BM85" s="827"/>
      <c r="BN85" s="828"/>
      <c r="BO85" s="829"/>
      <c r="BP85" s="830"/>
      <c r="BQ85" s="831"/>
      <c r="BR85" s="832"/>
    </row>
    <row r="86" spans="1:70" ht="31.9" customHeight="1" thickTop="1" x14ac:dyDescent="0.2">
      <c r="A86" s="1236" t="s">
        <v>527</v>
      </c>
      <c r="B86" s="1236"/>
      <c r="C86" s="1236"/>
      <c r="D86" s="1236"/>
      <c r="E86" s="1236"/>
      <c r="F86" s="1236"/>
      <c r="G86" s="1236"/>
      <c r="H86" s="1236"/>
      <c r="I86" s="1236"/>
      <c r="J86" s="1236"/>
      <c r="K86" s="1236"/>
      <c r="L86" s="1236"/>
      <c r="M86" s="1236"/>
      <c r="N86" s="1236"/>
      <c r="O86" s="1236"/>
      <c r="P86" s="1236"/>
      <c r="Q86" s="1236"/>
      <c r="R86" s="1236"/>
      <c r="S86" s="848" t="s">
        <v>481</v>
      </c>
      <c r="T86" s="849"/>
      <c r="U86" s="850"/>
      <c r="V86" s="851"/>
      <c r="W86" s="852"/>
      <c r="X86" s="1233" t="str">
        <f>X42</f>
        <v/>
      </c>
      <c r="Y86" s="833"/>
      <c r="Z86" s="834"/>
      <c r="AA86" s="835"/>
      <c r="AB86" s="835"/>
      <c r="AC86" s="835"/>
      <c r="AD86" s="836"/>
      <c r="AE86" s="837"/>
      <c r="AF86" s="838"/>
      <c r="AG86" s="839"/>
      <c r="AH86" s="840"/>
      <c r="AI86" s="819"/>
      <c r="AJ86" s="1236" t="s">
        <v>527</v>
      </c>
      <c r="AK86" s="1236"/>
      <c r="AL86" s="1236"/>
      <c r="AM86" s="1236"/>
      <c r="AN86" s="1236"/>
      <c r="AO86" s="1236"/>
      <c r="AP86" s="1236"/>
      <c r="AQ86" s="1236"/>
      <c r="AR86" s="1236"/>
      <c r="AS86" s="1236"/>
      <c r="AT86" s="1236"/>
      <c r="AU86" s="1236"/>
      <c r="AV86" s="1236"/>
      <c r="AW86" s="1236"/>
      <c r="AX86" s="1236"/>
      <c r="AY86" s="1236"/>
      <c r="AZ86" s="1236"/>
      <c r="BA86" s="1236"/>
      <c r="BB86" s="848" t="s">
        <v>481</v>
      </c>
      <c r="BC86" s="849"/>
      <c r="BD86" s="850"/>
      <c r="BE86" s="851"/>
      <c r="BF86" s="852"/>
      <c r="BG86" s="1233" t="str">
        <f>BG42</f>
        <v/>
      </c>
      <c r="BH86" s="833"/>
      <c r="BI86" s="834"/>
      <c r="BJ86" s="835"/>
      <c r="BK86" s="835"/>
      <c r="BL86" s="835"/>
      <c r="BM86" s="836"/>
      <c r="BN86" s="837"/>
      <c r="BO86" s="838"/>
      <c r="BP86" s="839"/>
      <c r="BQ86" s="840"/>
      <c r="BR86" s="819"/>
    </row>
    <row r="87" spans="1:70" ht="31.9" customHeight="1" thickBot="1" x14ac:dyDescent="0.25">
      <c r="A87" s="1237"/>
      <c r="B87" s="1237"/>
      <c r="C87" s="1237"/>
      <c r="D87" s="1237"/>
      <c r="E87" s="1237"/>
      <c r="F87" s="1237"/>
      <c r="G87" s="1237"/>
      <c r="H87" s="1237"/>
      <c r="I87" s="1237"/>
      <c r="J87" s="1237"/>
      <c r="K87" s="1237"/>
      <c r="L87" s="1237"/>
      <c r="M87" s="1237"/>
      <c r="N87" s="1237"/>
      <c r="O87" s="1237"/>
      <c r="P87" s="1237"/>
      <c r="Q87" s="1237"/>
      <c r="R87" s="1237"/>
      <c r="S87" s="853"/>
      <c r="T87" s="854"/>
      <c r="U87" s="855"/>
      <c r="V87" s="856"/>
      <c r="W87" s="852"/>
      <c r="X87" s="1234"/>
      <c r="Y87" s="841"/>
      <c r="Z87" s="842"/>
      <c r="AA87" s="843"/>
      <c r="AB87" s="843"/>
      <c r="AC87" s="843"/>
      <c r="AD87" s="844"/>
      <c r="AE87" s="845"/>
      <c r="AF87" s="846"/>
      <c r="AG87" s="847"/>
      <c r="AH87" s="831"/>
      <c r="AI87" s="832"/>
      <c r="AJ87" s="1237"/>
      <c r="AK87" s="1237"/>
      <c r="AL87" s="1237"/>
      <c r="AM87" s="1237"/>
      <c r="AN87" s="1237"/>
      <c r="AO87" s="1237"/>
      <c r="AP87" s="1237"/>
      <c r="AQ87" s="1237"/>
      <c r="AR87" s="1237"/>
      <c r="AS87" s="1237"/>
      <c r="AT87" s="1237"/>
      <c r="AU87" s="1237"/>
      <c r="AV87" s="1237"/>
      <c r="AW87" s="1237"/>
      <c r="AX87" s="1237"/>
      <c r="AY87" s="1237"/>
      <c r="AZ87" s="1237"/>
      <c r="BA87" s="1237"/>
      <c r="BB87" s="853"/>
      <c r="BC87" s="854"/>
      <c r="BD87" s="855"/>
      <c r="BE87" s="856"/>
      <c r="BF87" s="852"/>
      <c r="BG87" s="1234"/>
      <c r="BH87" s="841"/>
      <c r="BI87" s="842"/>
      <c r="BJ87" s="843"/>
      <c r="BK87" s="843"/>
      <c r="BL87" s="843"/>
      <c r="BM87" s="844"/>
      <c r="BN87" s="845"/>
      <c r="BO87" s="846"/>
      <c r="BP87" s="847"/>
      <c r="BQ87" s="831"/>
      <c r="BR87" s="832"/>
    </row>
    <row r="88" spans="1:70" s="298" customFormat="1" ht="28.5" customHeight="1" x14ac:dyDescent="0.2">
      <c r="A88" s="1237"/>
      <c r="B88" s="1237"/>
      <c r="C88" s="1237"/>
      <c r="D88" s="1237"/>
      <c r="E88" s="1237"/>
      <c r="F88" s="1237"/>
      <c r="G88" s="1237"/>
      <c r="H88" s="1237"/>
      <c r="I88" s="1237"/>
      <c r="J88" s="1237"/>
      <c r="K88" s="1237"/>
      <c r="L88" s="1237"/>
      <c r="M88" s="1237"/>
      <c r="N88" s="1237"/>
      <c r="O88" s="1237"/>
      <c r="P88" s="1237"/>
      <c r="Q88" s="1237"/>
      <c r="R88" s="1237"/>
      <c r="S88" s="853"/>
      <c r="T88" s="853"/>
      <c r="U88" s="853"/>
      <c r="V88" s="853"/>
      <c r="W88" s="852"/>
      <c r="X88" s="857"/>
      <c r="Y88" s="858"/>
      <c r="Z88" s="858"/>
      <c r="AA88" s="858"/>
      <c r="AB88" s="858"/>
      <c r="AC88" s="1238" t="s">
        <v>483</v>
      </c>
      <c r="AD88" s="1238"/>
      <c r="AE88" s="1238"/>
      <c r="AF88" s="1238"/>
      <c r="AG88" s="1238"/>
      <c r="AH88" s="1238"/>
      <c r="AI88" s="1238"/>
      <c r="AJ88" s="1237"/>
      <c r="AK88" s="1237"/>
      <c r="AL88" s="1237"/>
      <c r="AM88" s="1237"/>
      <c r="AN88" s="1237"/>
      <c r="AO88" s="1237"/>
      <c r="AP88" s="1237"/>
      <c r="AQ88" s="1237"/>
      <c r="AR88" s="1237"/>
      <c r="AS88" s="1237"/>
      <c r="AT88" s="1237"/>
      <c r="AU88" s="1237"/>
      <c r="AV88" s="1237"/>
      <c r="AW88" s="1237"/>
      <c r="AX88" s="1237"/>
      <c r="AY88" s="1237"/>
      <c r="AZ88" s="1237"/>
      <c r="BA88" s="1237"/>
      <c r="BB88" s="853"/>
      <c r="BC88" s="853"/>
      <c r="BD88" s="853"/>
      <c r="BE88" s="853"/>
      <c r="BF88" s="852"/>
      <c r="BG88" s="857"/>
      <c r="BH88" s="858"/>
      <c r="BI88" s="858"/>
      <c r="BJ88" s="858"/>
      <c r="BK88" s="858"/>
      <c r="BL88" s="1238" t="s">
        <v>483</v>
      </c>
      <c r="BM88" s="1238"/>
      <c r="BN88" s="1238"/>
      <c r="BO88" s="1238"/>
      <c r="BP88" s="1238"/>
      <c r="BQ88" s="1238"/>
      <c r="BR88" s="1238"/>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scale="53" firstPageNumber="0" fitToWidth="0" fitToHeight="0" orientation="portrait" horizontalDpi="4294967294" verticalDpi="4294967294" r:id="rId1"/>
  <headerFooter alignWithMargins="0">
    <oddHeader><![CDATA[&L&"Calibri,Regular"&34&K000000&G&A&R&"Calibri,Regular"&K000000
‘&A’ revision 2404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zoomScalePageLayoutView="80" workbookViewId="0">
      <selection activeCell="G11" sqref="G11"/>
    </sheetView>
  </sheetViews>
  <sheetFormatPr defaultColWidth="8.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41.0" collapsed="false"/>
    <col min="5" max="5" customWidth="true" style="74" width="26.140625" collapsed="false"/>
    <col min="6" max="16384" style="74" width="8.7109375" collapsed="false"/>
  </cols>
  <sheetData>
    <row r="1" spans="1:5" ht="46.15" customHeight="1" x14ac:dyDescent="0.25">
      <c r="A1" s="1241" t="s">
        <v>537</v>
      </c>
      <c r="B1" s="1242"/>
      <c r="C1" s="1242"/>
      <c r="D1" s="1242"/>
      <c r="E1" s="1242"/>
    </row>
    <row r="2" spans="1:5" ht="3" customHeight="1" x14ac:dyDescent="0.25">
      <c r="A2" s="553"/>
      <c r="B2" s="554"/>
      <c r="C2" s="554"/>
      <c r="D2" s="554"/>
      <c r="E2" s="554"/>
    </row>
    <row r="3" spans="1:5" ht="48" customHeight="1" x14ac:dyDescent="0.25">
      <c r="A3" s="1241" t="s">
        <v>553</v>
      </c>
      <c r="B3" s="1242"/>
      <c r="C3" s="1242"/>
      <c r="D3" s="1242"/>
      <c r="E3" s="1242"/>
    </row>
    <row r="4" spans="1:5" s="329" customFormat="1" ht="10.15" customHeight="1" thickBot="1" x14ac:dyDescent="0.25">
      <c r="A4" s="328"/>
      <c r="B4" s="328"/>
      <c r="C4" s="328"/>
      <c r="D4" s="328"/>
      <c r="E4" s="328"/>
    </row>
    <row r="5" spans="1:5" ht="33" customHeight="1" x14ac:dyDescent="0.2">
      <c r="A5" s="330" t="s">
        <v>107</v>
      </c>
      <c r="B5" s="555" t="str">
        <f>IF(ISBLANK(IGRF!$B$7), "", IGRF!$B$7)</f>
        <v/>
      </c>
      <c r="C5" s="331" t="s">
        <v>267</v>
      </c>
      <c r="D5" s="1243" t="str">
        <f><![CDATA[IF(IGRF!B10="","",IGRF!$B$10&" / "&IGRF!$B$11&IF(IGRF!B12="",""," ("&IGRF!$B$12&")")&" vs. "&IGRF!$I$10&" / "&IGRF!$I$11&IF(IGRF!I12="",""," ("&IGRF!$I$12&")"))]]></f>
        <v/>
      </c>
      <c r="E5" s="1244"/>
    </row>
    <row r="6" spans="1:5" ht="33" customHeight="1" thickBot="1" x14ac:dyDescent="0.25">
      <c r="A6" s="332" t="s">
        <v>268</v>
      </c>
      <c r="B6" s="333" t="s">
        <v>316</v>
      </c>
      <c r="C6" s="334" t="s">
        <v>269</v>
      </c>
      <c r="D6" s="1245"/>
      <c r="E6" s="1246"/>
    </row>
    <row r="7" spans="1:5" ht="10.15" customHeight="1" thickBot="1" x14ac:dyDescent="0.25">
      <c r="A7" s="1247"/>
      <c r="B7" s="1248"/>
      <c r="C7" s="1248"/>
      <c r="D7" s="1248"/>
      <c r="E7" s="1248"/>
    </row>
    <row r="8" spans="1:5" ht="26.25" customHeight="1" x14ac:dyDescent="0.2">
      <c r="A8" s="330" t="s">
        <v>410</v>
      </c>
      <c r="B8" s="338"/>
      <c r="C8" s="335" t="s">
        <v>195</v>
      </c>
      <c r="D8" s="1239"/>
      <c r="E8" s="1240"/>
    </row>
    <row r="9" spans="1:5" ht="26.25" customHeight="1" x14ac:dyDescent="0.2">
      <c r="A9" s="336" t="s">
        <v>389</v>
      </c>
      <c r="B9" s="556"/>
      <c r="C9" s="557" t="s">
        <v>270</v>
      </c>
      <c r="D9" s="558"/>
      <c r="E9" s="559" t="s">
        <v>390</v>
      </c>
    </row>
    <row r="10" spans="1:5" ht="26.25" customHeight="1" x14ac:dyDescent="0.2">
      <c r="A10" s="336" t="s">
        <v>538</v>
      </c>
      <c r="B10" s="1252"/>
      <c r="C10" s="1253"/>
      <c r="D10" s="1254"/>
      <c r="E10" s="560"/>
    </row>
    <row r="11" spans="1:5" ht="84.75" customHeight="1" thickBot="1" x14ac:dyDescent="0.25">
      <c r="A11" s="1249" t="s">
        <v>391</v>
      </c>
      <c r="B11" s="1250"/>
      <c r="C11" s="1250"/>
      <c r="D11" s="1250"/>
      <c r="E11" s="1251"/>
    </row>
    <row r="12" spans="1:5" s="329" customFormat="1" ht="10.15" customHeight="1" thickBot="1" x14ac:dyDescent="0.25">
      <c r="A12" s="561"/>
      <c r="B12" s="561"/>
      <c r="C12" s="561"/>
      <c r="D12" s="561"/>
      <c r="E12" s="561"/>
    </row>
    <row r="13" spans="1:5" ht="26.25" customHeight="1" x14ac:dyDescent="0.2">
      <c r="A13" s="330" t="s">
        <v>271</v>
      </c>
      <c r="B13" s="338" t="str">
        <f>IF(ISBLANK(IGRF!C80), "", IGRF!C80)</f>
        <v/>
      </c>
      <c r="C13" s="335" t="s">
        <v>195</v>
      </c>
      <c r="D13" s="1239"/>
      <c r="E13" s="1240"/>
    </row>
    <row r="14" spans="1:5" ht="26.25" customHeight="1" x14ac:dyDescent="0.2">
      <c r="A14" s="336" t="s">
        <v>392</v>
      </c>
      <c r="B14" s="556"/>
      <c r="C14" s="557" t="s">
        <v>270</v>
      </c>
      <c r="D14" s="601" t="str">
        <f>IF(ISBLANK(IGRF!H80),"",IGRF!H80)</f>
        <v/>
      </c>
      <c r="E14" s="559" t="s">
        <v>177</v>
      </c>
    </row>
    <row r="15" spans="1:5" ht="26.25" customHeight="1" x14ac:dyDescent="0.2">
      <c r="A15" s="336" t="s">
        <v>539</v>
      </c>
      <c r="B15" s="1252"/>
      <c r="C15" s="1253"/>
      <c r="D15" s="1254"/>
      <c r="E15" s="560" t="s">
        <v>316</v>
      </c>
    </row>
    <row r="16" spans="1:5" ht="84.75" customHeight="1" thickBot="1" x14ac:dyDescent="0.25">
      <c r="A16" s="1249" t="s">
        <v>178</v>
      </c>
      <c r="B16" s="1250"/>
      <c r="C16" s="1250"/>
      <c r="D16" s="1250"/>
      <c r="E16" s="1251"/>
    </row>
    <row r="17" spans="1:5" s="329" customFormat="1" ht="10.15" customHeight="1" thickBot="1" x14ac:dyDescent="0.25">
      <c r="A17" s="561"/>
      <c r="B17" s="561"/>
      <c r="C17" s="561"/>
      <c r="D17" s="561"/>
      <c r="E17" s="561"/>
    </row>
    <row r="18" spans="1:5" ht="26.25" customHeight="1" x14ac:dyDescent="0.2">
      <c r="A18" s="337" t="s">
        <v>272</v>
      </c>
      <c r="B18" s="562"/>
      <c r="C18" s="335" t="s">
        <v>195</v>
      </c>
      <c r="D18" s="1255"/>
      <c r="E18" s="1256"/>
    </row>
    <row r="19" spans="1:5" ht="26.25" customHeight="1" x14ac:dyDescent="0.2">
      <c r="A19" s="563" t="s">
        <v>393</v>
      </c>
      <c r="B19" s="564"/>
      <c r="C19" s="557" t="s">
        <v>270</v>
      </c>
      <c r="D19" s="1257"/>
      <c r="E19" s="1258"/>
    </row>
    <row r="20" spans="1:5" ht="26.25" customHeight="1" x14ac:dyDescent="0.2">
      <c r="A20" s="563" t="s">
        <v>540</v>
      </c>
      <c r="B20" s="1259"/>
      <c r="C20" s="1259"/>
      <c r="D20" s="1259"/>
      <c r="E20" s="1260"/>
    </row>
    <row r="21" spans="1:5" ht="84.75" customHeight="1" thickBot="1" x14ac:dyDescent="0.25">
      <c r="A21" s="1249" t="s">
        <v>178</v>
      </c>
      <c r="B21" s="1250"/>
      <c r="C21" s="1250"/>
      <c r="D21" s="1250"/>
      <c r="E21" s="1251"/>
    </row>
    <row r="22" spans="1:5" s="329" customFormat="1" ht="10.15" customHeight="1" thickBot="1" x14ac:dyDescent="0.25">
      <c r="A22" s="561"/>
      <c r="B22" s="561"/>
      <c r="C22" s="561"/>
      <c r="D22" s="561"/>
      <c r="E22" s="561"/>
    </row>
    <row r="23" spans="1:5" ht="26.25" customHeight="1" x14ac:dyDescent="0.2">
      <c r="A23" s="337" t="str">
        <f>IF(ISBLANK(IGRF!$B$11), "Home/Dark Team Captain Name: ", IGRF!$B$11&amp;" Captain Name: ")</f>
        <v xml:space="preserve">Home/Dark Team Captain Name: </v>
      </c>
      <c r="B23" s="562" t="str">
        <f>IF(ISBLANK(IGRF!B49),"",IGRF!B49)</f>
        <v/>
      </c>
      <c r="C23" s="335" t="s">
        <v>195</v>
      </c>
      <c r="D23" s="1255"/>
      <c r="E23" s="1256"/>
    </row>
    <row r="24" spans="1:5" ht="26.25" customHeight="1" x14ac:dyDescent="0.2">
      <c r="A24" s="563" t="s">
        <v>394</v>
      </c>
      <c r="B24" s="565"/>
      <c r="C24" s="557" t="s">
        <v>270</v>
      </c>
      <c r="D24" s="565" t="str">
        <f>IF(ISBLANK(IGRF!$B$10), "", IGRF!$B$10)</f>
        <v/>
      </c>
      <c r="E24" s="566" t="s">
        <v>177</v>
      </c>
    </row>
    <row r="25" spans="1:5" ht="26.25" customHeight="1" x14ac:dyDescent="0.2">
      <c r="A25" s="563" t="s">
        <v>541</v>
      </c>
      <c r="B25" s="1261"/>
      <c r="C25" s="1261"/>
      <c r="D25" s="1261"/>
      <c r="E25" s="567" t="s">
        <v>316</v>
      </c>
    </row>
    <row r="26" spans="1:5" ht="84.75" customHeight="1" thickBot="1" x14ac:dyDescent="0.25">
      <c r="A26" s="1249" t="s">
        <v>178</v>
      </c>
      <c r="B26" s="1250"/>
      <c r="C26" s="1250"/>
      <c r="D26" s="1250"/>
      <c r="E26" s="1251"/>
    </row>
    <row r="27" spans="1:5" s="329" customFormat="1" ht="10.15" customHeight="1" thickBot="1" x14ac:dyDescent="0.25">
      <c r="A27" s="561"/>
      <c r="B27" s="561"/>
      <c r="C27" s="561"/>
      <c r="D27" s="561"/>
      <c r="E27" s="561"/>
    </row>
    <row r="28" spans="1:5" ht="26.25" customHeight="1" x14ac:dyDescent="0.2">
      <c r="A28" s="337" t="str">
        <f>IF(ISBLANK(IGRF!$I$11), "Away/Light Team Captain Name: ", IGRF!$I$11&amp;" Captain Name: ")</f>
        <v xml:space="preserve">Away/Light Team Captain Name: </v>
      </c>
      <c r="B28" s="562" t="str">
        <f>IF(ISBLANK(IGRF!I49), "", IGRF!I49)</f>
        <v/>
      </c>
      <c r="C28" s="335" t="s">
        <v>195</v>
      </c>
      <c r="D28" s="1255"/>
      <c r="E28" s="1256"/>
    </row>
    <row r="29" spans="1:5" ht="26.25" customHeight="1" x14ac:dyDescent="0.2">
      <c r="A29" s="563" t="s">
        <v>394</v>
      </c>
      <c r="B29" s="565"/>
      <c r="C29" s="568" t="s">
        <v>270</v>
      </c>
      <c r="D29" s="565" t="str">
        <f>IF(ISBLANK(IGRF!$I$10), "", IGRF!$I$10)</f>
        <v/>
      </c>
      <c r="E29" s="566" t="s">
        <v>177</v>
      </c>
    </row>
    <row r="30" spans="1:5" ht="26.25" customHeight="1" x14ac:dyDescent="0.2">
      <c r="A30" s="563" t="s">
        <v>541</v>
      </c>
      <c r="B30" s="1261"/>
      <c r="C30" s="1261"/>
      <c r="D30" s="1261"/>
      <c r="E30" s="567" t="s">
        <v>316</v>
      </c>
    </row>
    <row r="31" spans="1:5" ht="84.75" customHeight="1" thickBot="1" x14ac:dyDescent="0.25">
      <c r="A31" s="1249" t="s">
        <v>178</v>
      </c>
      <c r="B31" s="1250"/>
      <c r="C31" s="1250"/>
      <c r="D31" s="1250"/>
      <c r="E31" s="1251"/>
    </row>
    <row r="32" spans="1:5" s="329" customFormat="1" ht="10.15" customHeight="1" x14ac:dyDescent="0.2">
      <c r="A32" s="561"/>
      <c r="B32" s="561"/>
      <c r="C32" s="561"/>
      <c r="D32" s="561"/>
      <c r="E32" s="561"/>
    </row>
    <row r="33" spans="1:5" s="329" customFormat="1" ht="16.149999999999999" customHeight="1" x14ac:dyDescent="0.2">
      <c r="A33" s="569" t="s">
        <v>273</v>
      </c>
      <c r="B33" s="561"/>
      <c r="C33" s="561"/>
      <c r="D33" s="561"/>
      <c r="E33" s="561"/>
    </row>
    <row r="34" spans="1:5" s="329" customFormat="1" ht="10.15" customHeight="1" thickBot="1" x14ac:dyDescent="0.25">
      <c r="A34" s="569"/>
      <c r="B34" s="561"/>
      <c r="C34" s="561"/>
      <c r="D34" s="561"/>
      <c r="E34" s="561"/>
    </row>
    <row r="35" spans="1:5" ht="26.25" customHeight="1" x14ac:dyDescent="0.2">
      <c r="A35" s="330" t="s">
        <v>274</v>
      </c>
      <c r="B35" s="338"/>
      <c r="C35" s="335" t="s">
        <v>195</v>
      </c>
      <c r="D35" s="1239"/>
      <c r="E35" s="1240"/>
    </row>
    <row r="36" spans="1:5" ht="26.25" customHeight="1" x14ac:dyDescent="0.2">
      <c r="A36" s="336" t="s">
        <v>395</v>
      </c>
      <c r="B36" s="556"/>
      <c r="C36" s="557" t="s">
        <v>270</v>
      </c>
      <c r="D36" s="601"/>
      <c r="E36" s="559" t="s">
        <v>177</v>
      </c>
    </row>
    <row r="37" spans="1:5" ht="26.25" customHeight="1" x14ac:dyDescent="0.2">
      <c r="A37" s="336" t="s">
        <v>542</v>
      </c>
      <c r="B37" s="1262"/>
      <c r="C37" s="1263"/>
      <c r="D37" s="1264"/>
      <c r="E37" s="560" t="s">
        <v>316</v>
      </c>
    </row>
    <row r="38" spans="1:5" ht="84.75" customHeight="1" thickBot="1" x14ac:dyDescent="0.25">
      <c r="A38" s="1249" t="s">
        <v>178</v>
      </c>
      <c r="B38" s="1250"/>
      <c r="C38" s="1250"/>
      <c r="D38" s="1250"/>
      <c r="E38" s="1251"/>
    </row>
    <row r="39" spans="1:5" ht="10.15" customHeight="1" thickBot="1" x14ac:dyDescent="0.25"/>
    <row r="40" spans="1:5" ht="26.25" customHeight="1" x14ac:dyDescent="0.2">
      <c r="A40" s="337" t="s">
        <v>422</v>
      </c>
      <c r="B40" s="570"/>
      <c r="C40" s="335" t="s">
        <v>195</v>
      </c>
      <c r="D40" s="1239"/>
      <c r="E40" s="1240"/>
    </row>
    <row r="41" spans="1:5" ht="26.25" customHeight="1" x14ac:dyDescent="0.2">
      <c r="A41" s="336" t="s">
        <v>423</v>
      </c>
      <c r="B41" s="556"/>
      <c r="C41" s="557" t="s">
        <v>270</v>
      </c>
      <c r="D41" s="601"/>
      <c r="E41" s="559" t="s">
        <v>177</v>
      </c>
    </row>
    <row r="42" spans="1:5" ht="26.25" customHeight="1" x14ac:dyDescent="0.2">
      <c r="A42" s="336" t="s">
        <v>543</v>
      </c>
      <c r="B42" s="1262"/>
      <c r="C42" s="1263"/>
      <c r="D42" s="1264"/>
      <c r="E42" s="560" t="s">
        <v>316</v>
      </c>
    </row>
    <row r="43" spans="1:5" ht="84.75" customHeight="1" thickBot="1" x14ac:dyDescent="0.25">
      <c r="A43" s="1249" t="s">
        <v>178</v>
      </c>
      <c r="B43" s="1250"/>
      <c r="C43" s="1250"/>
      <c r="D43" s="1250"/>
      <c r="E43" s="1251"/>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rintOptions horizontalCentered="1"/>
  <pageMargins left="1" right="1" top="0.79" bottom="0.5" header="0.42" footer="0.51"/>
  <pageSetup scale="50" firstPageNumber="0" orientation="portrait" horizontalDpi="4294967294" verticalDpi="4294967294" r:id="rId1"/>
  <headerFooter alignWithMargins="0">
    <oddHeader><![CDATA[&L&"Calibri,Regular"&18&K000000&G&24WFTDA &A&R&"Calibri,Regular"&K000000
‘&A’ revision 2404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Normal="100" workbookViewId="0">
      <selection sqref="A1:AM1"/>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9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91" width="5.28515625" collapsed="false"/>
    <col min="57" max="57" customWidth="true" style="94" width="6.42578125" collapsed="false"/>
    <col min="58" max="58" customWidth="true" style="91" width="5.28515625" collapsed="false"/>
    <col min="59" max="59" customWidth="true" style="94" width="6.42578125" collapsed="false"/>
    <col min="60" max="60" customWidth="true" style="91" width="5.28515625" collapsed="false"/>
    <col min="61" max="61" customWidth="true" style="94" width="6.42578125" collapsed="false"/>
    <col min="62" max="66" customWidth="true" style="3" width="3.140625" collapsed="false"/>
    <col min="67" max="67" customWidth="true" style="3" width="4.7109375" collapsed="false"/>
    <col min="68" max="70" customWidth="true" style="94"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67" t="s">
        <v>63</v>
      </c>
      <c r="B1" s="1267"/>
      <c r="C1" s="1267"/>
      <c r="D1" s="1267"/>
      <c r="E1" s="1267"/>
      <c r="F1" s="1267"/>
      <c r="G1" s="1267"/>
      <c r="H1" s="1267"/>
      <c r="I1" s="1267"/>
      <c r="J1" s="1267"/>
      <c r="K1" s="1267"/>
      <c r="L1" s="1267"/>
      <c r="M1" s="1267"/>
      <c r="N1" s="1267"/>
      <c r="O1" s="1267"/>
      <c r="P1" s="1267"/>
      <c r="Q1" s="1267"/>
      <c r="R1" s="1267"/>
      <c r="S1" s="1267"/>
      <c r="T1" s="1267"/>
      <c r="U1" s="1267"/>
      <c r="V1" s="1267"/>
      <c r="W1" s="1267"/>
      <c r="X1" s="1267"/>
      <c r="Y1" s="1267"/>
      <c r="Z1" s="1267"/>
      <c r="AA1" s="1267"/>
      <c r="AB1" s="1267"/>
      <c r="AC1" s="1267"/>
      <c r="AD1" s="1267"/>
      <c r="AE1" s="1267"/>
      <c r="AF1" s="1267"/>
      <c r="AG1" s="1267"/>
      <c r="AH1" s="1267"/>
      <c r="AI1" s="1267"/>
      <c r="AJ1" s="1267"/>
      <c r="AK1" s="1267"/>
      <c r="AL1" s="1267"/>
      <c r="AM1" s="1267"/>
    </row>
    <row r="2" spans="1:39" ht="15" customHeight="1" x14ac:dyDescent="0.2">
      <c r="A2" s="1268" t="str">
        <f><![CDATA[IF(IGRF!B10="","PLEASE FILL IN THE IGRF TAB!",IGRF!$B$10&" / "&IGRF!$B$11&" vs. "&IGRF!$I$10&" / "&IGRF!$I$11&IF(IGRF!$L$3="",""," Game "&IGRF!$L$3))]]></f>
        <v>PLEASE FILL IN THE IGRF TAB!</v>
      </c>
      <c r="B2" s="1268"/>
      <c r="C2" s="1268"/>
      <c r="D2" s="1268"/>
      <c r="E2" s="1268"/>
      <c r="F2" s="1268"/>
      <c r="G2" s="1268"/>
      <c r="H2" s="1268"/>
      <c r="I2" s="1268"/>
      <c r="J2" s="1268"/>
      <c r="K2" s="1268"/>
      <c r="L2" s="1268"/>
      <c r="M2" s="1268"/>
      <c r="N2" s="1268"/>
      <c r="O2" s="1268"/>
      <c r="P2" s="1268"/>
      <c r="Q2" s="1268"/>
      <c r="R2" s="1268"/>
      <c r="S2" s="1268"/>
      <c r="T2" s="1268"/>
      <c r="U2" s="1268"/>
      <c r="V2" s="1268"/>
      <c r="W2" s="1268"/>
      <c r="X2" s="1268"/>
      <c r="Y2" s="1268"/>
      <c r="Z2" s="1268"/>
      <c r="AA2" s="1268"/>
      <c r="AB2" s="1268"/>
      <c r="AC2" s="1268"/>
      <c r="AD2" s="1268"/>
      <c r="AE2" s="1268"/>
      <c r="AF2" s="1268"/>
      <c r="AG2" s="1268"/>
      <c r="AH2" s="1268"/>
      <c r="AI2" s="1268"/>
      <c r="AJ2" s="1268"/>
      <c r="AK2" s="1268"/>
      <c r="AL2" s="1268"/>
      <c r="AM2" s="1268"/>
    </row>
    <row r="3" spans="1:39" ht="15" customHeight="1" thickBot="1" x14ac:dyDescent="0.25">
      <c r="A3" s="1269" t="str">
        <f>IF(IGRF!$B$7="","ENTER DATE ON IGRF TAB!",IGRF!$B$7)</f>
        <v>ENTER DATE ON IGRF TAB!</v>
      </c>
      <c r="B3" s="1269"/>
      <c r="C3" s="1269"/>
      <c r="D3" s="1269"/>
      <c r="E3" s="1269"/>
      <c r="F3" s="1269"/>
      <c r="G3" s="1269"/>
      <c r="H3" s="1269"/>
      <c r="I3" s="1269"/>
      <c r="J3" s="1269"/>
      <c r="K3" s="1269"/>
      <c r="L3" s="1269"/>
      <c r="M3" s="1269"/>
      <c r="N3" s="1270"/>
      <c r="O3" s="1269"/>
      <c r="P3" s="1269"/>
      <c r="Q3" s="1269"/>
      <c r="R3" s="1269"/>
      <c r="S3" s="1269"/>
      <c r="T3" s="1269"/>
      <c r="U3" s="1269"/>
      <c r="V3" s="1269"/>
      <c r="W3" s="1269"/>
      <c r="X3" s="1269"/>
      <c r="Y3" s="1269"/>
      <c r="Z3" s="1269"/>
      <c r="AA3" s="1270"/>
      <c r="AB3" s="1270"/>
      <c r="AC3" s="1269"/>
      <c r="AD3" s="1269"/>
      <c r="AE3" s="1269"/>
      <c r="AF3" s="1269"/>
      <c r="AG3" s="1269"/>
      <c r="AH3" s="1269"/>
      <c r="AI3" s="1269"/>
      <c r="AJ3" s="1270"/>
      <c r="AK3" s="1269"/>
      <c r="AL3" s="1269"/>
      <c r="AM3" s="1269"/>
    </row>
    <row r="4" spans="1:39" ht="15" customHeight="1" thickBot="1" x14ac:dyDescent="0.25">
      <c r="A4" s="1271" t="s">
        <v>64</v>
      </c>
      <c r="B4" s="1271"/>
      <c r="C4" s="1271" t="s">
        <v>65</v>
      </c>
      <c r="D4" s="1271"/>
      <c r="E4" s="1271"/>
      <c r="F4" s="1271"/>
      <c r="G4" s="75"/>
      <c r="H4" s="636"/>
      <c r="I4" s="76"/>
      <c r="J4" s="1272" t="s">
        <v>67</v>
      </c>
      <c r="K4" s="1272"/>
      <c r="L4" s="1272"/>
      <c r="M4" s="1272"/>
      <c r="N4" s="1273"/>
      <c r="O4" s="1272"/>
      <c r="P4" s="1272"/>
      <c r="Q4" s="76"/>
      <c r="R4" s="1272" t="s">
        <v>68</v>
      </c>
      <c r="S4" s="1272"/>
      <c r="T4" s="1272"/>
      <c r="U4" s="1272"/>
      <c r="V4" s="1272"/>
      <c r="W4" s="1272"/>
      <c r="X4" s="1272"/>
      <c r="Y4" s="1272"/>
      <c r="Z4" s="1272"/>
      <c r="AA4" s="1274"/>
      <c r="AB4" s="1274"/>
      <c r="AC4" s="1272"/>
      <c r="AD4" s="1272" t="s">
        <v>69</v>
      </c>
      <c r="AE4" s="1272"/>
      <c r="AF4" s="1272"/>
      <c r="AG4" s="1272"/>
      <c r="AH4" s="1272"/>
      <c r="AI4" s="1272"/>
      <c r="AJ4" s="1274"/>
      <c r="AK4" s="1272"/>
      <c r="AL4" s="1272" t="s">
        <v>70</v>
      </c>
      <c r="AM4" s="1272"/>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411</v>
      </c>
      <c r="N5" s="794" t="s">
        <v>465</v>
      </c>
      <c r="O5" s="124" t="s">
        <v>78</v>
      </c>
      <c r="P5" s="124" t="s">
        <v>79</v>
      </c>
      <c r="Q5" s="125" t="s">
        <v>80</v>
      </c>
      <c r="R5" s="121" t="s">
        <v>81</v>
      </c>
      <c r="S5" s="124" t="s">
        <v>82</v>
      </c>
      <c r="T5" s="79" t="s">
        <v>83</v>
      </c>
      <c r="U5" s="121" t="s">
        <v>84</v>
      </c>
      <c r="V5" s="126" t="s">
        <v>85</v>
      </c>
      <c r="W5" s="127" t="s">
        <v>86</v>
      </c>
      <c r="X5" s="128" t="s">
        <v>87</v>
      </c>
      <c r="Y5" s="129" t="s">
        <v>88</v>
      </c>
      <c r="Z5" s="128" t="s">
        <v>89</v>
      </c>
      <c r="AA5" s="129" t="s">
        <v>440</v>
      </c>
      <c r="AB5" s="128" t="s">
        <v>441</v>
      </c>
      <c r="AC5" s="81" t="s">
        <v>90</v>
      </c>
      <c r="AD5" s="130" t="s">
        <v>186</v>
      </c>
      <c r="AE5" s="130" t="s">
        <v>91</v>
      </c>
      <c r="AF5" s="82" t="s">
        <v>92</v>
      </c>
      <c r="AG5" s="131" t="s">
        <v>93</v>
      </c>
      <c r="AH5" s="131" t="s">
        <v>94</v>
      </c>
      <c r="AI5" s="131" t="s">
        <v>95</v>
      </c>
      <c r="AJ5" s="131" t="s">
        <v>442</v>
      </c>
      <c r="AK5" s="83" t="s">
        <v>96</v>
      </c>
      <c r="AL5" s="1265" t="s">
        <v>315</v>
      </c>
      <c r="AM5" s="1266"/>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3" t="str">
        <f>IF(A6="","",(SUM(C6:E6)-(SUMPRODUCT(--(Lineups!C$4:C$41=A6),--(Lineups!A$4:A$41="SP"))+SUMPRODUCT(--(Lineups!G$4:G$41=A6),--(Lineups!A$4:A$41="SP"))+SUMPRODUCT(--(Lineups!C$46:C$83=A6),--(Lineups!A$46:A$83="SP"))+SUMPRODUCT(--(Lineups!G$46:G$83=A6),--(Lineups!A$46:A$83="SP")))))</f>
        <v/>
      </c>
      <c r="G6" s="454" t="str">
        <f>IF(OR(A6="",F6=0,LU!D$3+LU!D$102=0),"",F6/(LU!D$3+LU!D$102))</f>
        <v/>
      </c>
      <c r="H6" s="455" t="str">
        <f>IF(OR(C6=0,A6=""),"",SK!D174)</f>
        <v/>
      </c>
      <c r="I6" s="456" t="str">
        <f>IF(OR(A6="",SK!E174="",SK!E174=0),"",H6/SK!E174)</f>
        <v/>
      </c>
      <c r="J6" s="463" t="str">
        <f>IF(OR(A6="",C6=0),"",SK!G174)</f>
        <v/>
      </c>
      <c r="K6" s="464" t="str">
        <f>IF(OR(A6="",C6=0),"",SK!H174)</f>
        <v/>
      </c>
      <c r="L6" s="465" t="str">
        <f>IF(OR(A6="",C6=0),"",SK!J174)</f>
        <v/>
      </c>
      <c r="M6" s="465" t="str">
        <f>IF(OR(A6="",C6=0),"",SK!L174)</f>
        <v/>
      </c>
      <c r="N6" s="792" t="str">
        <f>IF(OR(A6="",C6=0),"",SUMPRODUCT(--(Lineups!$A$4:$A$41="SP"),--(Lineups!$C$4:$C$41=A6))+SUMPRODUCT(--(Lineups!$A$46:$A$83="SP"),--(Lineups!$C$46:$C$83=A6)))</f>
        <v/>
      </c>
      <c r="O6" s="466" t="str">
        <f>IF(OR(A6="",C6="",(IF(C6="",0,C6)-IF(N6="",0,N6))=0),"",K6/(C6-N6))</f>
        <v/>
      </c>
      <c r="P6" s="467" t="str">
        <f>IF(OR(A6="",C6=0),"",SK!I174)</f>
        <v/>
      </c>
      <c r="Q6" s="468" t="str">
        <f t="shared" ref="Q6:Q25" si="0">IF(OR(A6="",C6=0,K6=0),"",P6/K6)</f>
        <v/>
      </c>
      <c r="R6" s="469" t="str">
        <f>IF(OR(A6="",F6=0),"",SUM(LU!Q55,LU!Q154))</f>
        <v/>
      </c>
      <c r="S6" s="470" t="str">
        <f>IF(OR(A6="",F6=0),"",SUM(LU!Q78,LU!Q177))</f>
        <v/>
      </c>
      <c r="T6" s="455" t="str">
        <f>IF(OR(A6="",F6=0),"",SUM(LU!Q32,LU!Q131))</f>
        <v/>
      </c>
      <c r="U6" s="470" t="str">
        <f>IF(OR(A6="",C6=0),"",SUM(LU!O32,LU!O131))</f>
        <v/>
      </c>
      <c r="V6" s="471" t="str">
        <f t="shared" ref="V6:V25" si="1">IF(OR(A6="",C6=0),"",U6/C6)</f>
        <v/>
      </c>
      <c r="W6" s="472" t="str">
        <f>IF(OR(A6="",D6=0),"",SUM(LU!D32,LU!D131))</f>
        <v/>
      </c>
      <c r="X6" s="471" t="str">
        <f t="shared" ref="X6:X25" si="2">IF(OR(A6="",D6=0),"",W6/D6)</f>
        <v/>
      </c>
      <c r="Y6" s="472" t="str">
        <f>IF(OR(A6="",E6=0),"",SUM(LU!J32,LU!J131))</f>
        <v/>
      </c>
      <c r="Z6" s="471" t="str">
        <f t="shared" ref="Z6:Z25" si="3">IF(OR(A6="",E6=0),"",Y6/E6)</f>
        <v/>
      </c>
      <c r="AA6" s="639" t="str">
        <f>IF(OR(A6="",AND(D6=0, E6=0)),"",SUM(LU!L32,LU!L131))</f>
        <v/>
      </c>
      <c r="AB6" s="640" t="str">
        <f>IF(OR(A6="",AND(D6=0, E6=0)),"",AA6/(D6+E6))</f>
        <v/>
      </c>
      <c r="AC6" s="468" t="str">
        <f>IF(OR(A6="",F6=0),"",T6/F6)</f>
        <v/>
      </c>
      <c r="AD6" s="473" t="str">
        <f>IF(OR(A6="",F6=0,R$26="-",LU!$D$5=0),"",R6-R$26)</f>
        <v/>
      </c>
      <c r="AE6" s="474" t="str">
        <f>IF(OR(A6="",F6=0,S$26="-",LU!$D$5=0),"",S6-S$26)</f>
        <v/>
      </c>
      <c r="AF6" s="475" t="str">
        <f t="shared" ref="AF6:AF25" si="4">IF(OR(A6="",F6=0,AD6=""),"",AD6-AE6)</f>
        <v/>
      </c>
      <c r="AG6" s="476" t="str">
        <f t="shared" ref="AG6:AG25" si="5">IF(OR($A6="",C6=0),"",V6-V$26)</f>
        <v/>
      </c>
      <c r="AH6" s="476" t="str">
        <f t="shared" ref="AH6:AH25" si="6">IF(OR($A6="",D6=0),"",X6-X$26)</f>
        <v/>
      </c>
      <c r="AI6" s="477" t="str">
        <f t="shared" ref="AI6:AI25" si="7">IF(OR($A6="",E6=0),"",Z6-Z$26)</f>
        <v/>
      </c>
      <c r="AJ6" s="644" t="str">
        <f>IF(OR($A6="",AND(D6=0, E6=0)),"",AB6-AB$26)</f>
        <v/>
      </c>
      <c r="AK6" s="478" t="str">
        <f>IF(OR($A6="",AC6="",AC$26="-",LU!$D$5=0),"",AC6-AC$26)</f>
        <v/>
      </c>
      <c r="AL6" s="1275" t="str">
        <f>IF(OR(A6="",F6=0),"",SUM(PT!U3,PT!U4))</f>
        <v/>
      </c>
      <c r="AM6" s="1276"/>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7" t="str">
        <f>IF(A7="","",(SUM(C7:E7)-(SUMPRODUCT(--(Lineups!C$4:C$41=A7),--(Lineups!A$4:A$41="SP"))+SUMPRODUCT(--(Lineups!G$4:G$41=A7),--(Lineups!A$4:A$41="SP"))+SUMPRODUCT(--(Lineups!C$46:C$83=A7),--(Lineups!A$46:A$83="SP"))+SUMPRODUCT(--(Lineups!G$46:G$83=A7),--(Lineups!A$46:A$83="SP")))))</f>
        <v/>
      </c>
      <c r="G7" s="458" t="str">
        <f>IF(OR(A7="",F7=0,LU!D$3+LU!D$102=0),"",F7/(LU!D$3+LU!D$102))</f>
        <v/>
      </c>
      <c r="H7" s="459" t="str">
        <f>IF(OR(C7=0,A7=""),"",SK!D177)</f>
        <v/>
      </c>
      <c r="I7" s="460" t="str">
        <f>IF(OR(A7="",SK!E177="",SK!E177=0),"",H7/SK!E177)</f>
        <v/>
      </c>
      <c r="J7" s="479" t="str">
        <f>IF(OR(A7="",C7=0),"",SK!G177)</f>
        <v/>
      </c>
      <c r="K7" s="480" t="str">
        <f>IF(OR(A7="",C7=0),"",SK!H177)</f>
        <v/>
      </c>
      <c r="L7" s="481" t="str">
        <f>IF(OR(A7="",C7=0),"",SK!J177)</f>
        <v/>
      </c>
      <c r="M7" s="481" t="str">
        <f>IF(OR(A7="",C7=0),"",SK!L177)</f>
        <v/>
      </c>
      <c r="N7" s="793" t="str">
        <f>IF(OR(A7="",C7=0),"",SUMPRODUCT(--(Lineups!$A$4:$A$41="SP"),--(Lineups!$C$4:$C$41=A7))+SUMPRODUCT(--(Lineups!$A$46:$A$83="SP"),--(Lineups!$C$46:$C$83=A7)))</f>
        <v/>
      </c>
      <c r="O7" s="482" t="str">
        <f t="shared" ref="O7:O25" si="8">IF(OR(A7="",C7="",(IF(C7="",0,C7)-IF(N7="",0,N7))=0),"",K7/(C7-N7))</f>
        <v/>
      </c>
      <c r="P7" s="483" t="str">
        <f>IF(OR(A7="",C7=0),"",SK!I177)</f>
        <v/>
      </c>
      <c r="Q7" s="484" t="str">
        <f t="shared" si="0"/>
        <v/>
      </c>
      <c r="R7" s="485" t="str">
        <f>IF(OR(A7="",F7=0),"",SUM(LU!Q56,LU!Q155))</f>
        <v/>
      </c>
      <c r="S7" s="486" t="str">
        <f>IF(OR(A7="",F7=0),"",SUM(LU!Q79,LU!Q178))</f>
        <v/>
      </c>
      <c r="T7" s="459" t="str">
        <f>IF(OR(A7="",F7=0),"",SUM(LU!Q33,LU!Q132))</f>
        <v/>
      </c>
      <c r="U7" s="486" t="str">
        <f>IF(OR(A7="",C7=0),"",SUM(LU!O33,LU!O132))</f>
        <v/>
      </c>
      <c r="V7" s="487" t="str">
        <f t="shared" si="1"/>
        <v/>
      </c>
      <c r="W7" s="488" t="str">
        <f>IF(OR(A7="",D7=0),"",SUM(LU!D33,LU!D132))</f>
        <v/>
      </c>
      <c r="X7" s="487" t="str">
        <f t="shared" si="2"/>
        <v/>
      </c>
      <c r="Y7" s="488" t="str">
        <f>IF(OR(A7="",E7=0),"",SUM(LU!J33,LU!J132))</f>
        <v/>
      </c>
      <c r="Z7" s="637" t="str">
        <f t="shared" si="3"/>
        <v/>
      </c>
      <c r="AA7" s="641" t="str">
        <f>IF(OR(A7="",AND(D7=0, E7=0)),"",SUM(LU!L33,LU!L132))</f>
        <v/>
      </c>
      <c r="AB7" s="642" t="str">
        <f>IF(OR(A7="",AND(D7=0, E7=0)),"",AA7/(D7+E7))</f>
        <v/>
      </c>
      <c r="AC7" s="638" t="str">
        <f t="shared" ref="AC7:AC25" si="9">IF(OR(A7="",F7="",F7=0),"",T7/F7)</f>
        <v/>
      </c>
      <c r="AD7" s="489" t="str">
        <f>IF(OR(A7="",F7=0,R$26="-",LU!$D$5=0),"",R7-R$26)</f>
        <v/>
      </c>
      <c r="AE7" s="490" t="str">
        <f>IF(OR(A7="",F7=0,S$26="-",LU!$D$5=0),"",S7-S$26)</f>
        <v/>
      </c>
      <c r="AF7" s="491" t="str">
        <f t="shared" si="4"/>
        <v/>
      </c>
      <c r="AG7" s="492" t="str">
        <f t="shared" si="5"/>
        <v/>
      </c>
      <c r="AH7" s="492" t="str">
        <f t="shared" si="6"/>
        <v/>
      </c>
      <c r="AI7" s="493" t="str">
        <f t="shared" si="7"/>
        <v/>
      </c>
      <c r="AJ7" s="645" t="str">
        <f>IF(OR($A7="",AND(D7=0, E7=0)),"",AB7-AB$26)</f>
        <v/>
      </c>
      <c r="AK7" s="643" t="str">
        <f>IF(OR($A7="",AC7="",AC$26="-",LU!$D$5=0),"",AC7-AC$26)</f>
        <v/>
      </c>
      <c r="AL7" s="1277" t="str">
        <f>IF(OR(A7="",F7=0),"",SUM(PT!U5,PT!U6))</f>
        <v/>
      </c>
      <c r="AM7" s="1278"/>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7" t="str">
        <f>IF(A8="","",(SUM(C8:E8)-(SUMPRODUCT(--(Lineups!C$4:C$41=A8),--(Lineups!A$4:A$41="SP"))+SUMPRODUCT(--(Lineups!G$4:G$41=A8),--(Lineups!A$4:A$41="SP"))+SUMPRODUCT(--(Lineups!C$46:C$83=A8),--(Lineups!A$46:A$83="SP"))+SUMPRODUCT(--(Lineups!G$46:G$83=A8),--(Lineups!A$46:A$83="SP")))))</f>
        <v/>
      </c>
      <c r="G8" s="458" t="str">
        <f>IF(OR(A8="",F8=0,LU!D$3+LU!D$102=0),"",F8/(LU!D$3+LU!D$102))</f>
        <v/>
      </c>
      <c r="H8" s="459" t="str">
        <f>IF(OR(C8=0,A8=""),"",SK!D180)</f>
        <v/>
      </c>
      <c r="I8" s="460" t="str">
        <f>IF(OR(A8="",SK!E180="",SK!E180=0),"",H8/SK!E180)</f>
        <v/>
      </c>
      <c r="J8" s="479" t="str">
        <f>IF(OR(A8="",C8=0),"",SK!G180)</f>
        <v/>
      </c>
      <c r="K8" s="480" t="str">
        <f>IF(OR(A8="",C8=0),"",SK!H180)</f>
        <v/>
      </c>
      <c r="L8" s="481" t="str">
        <f>IF(OR(A8="",C8=0),"",SK!J180)</f>
        <v/>
      </c>
      <c r="M8" s="481" t="str">
        <f>IF(OR(A8="",C8=0),"",SK!L180)</f>
        <v/>
      </c>
      <c r="N8" s="793" t="str">
        <f>IF(OR(A8="",C8=0),"",SUMPRODUCT(--(Lineups!$A$4:$A$41="SP"),--(Lineups!$C$4:$C$41=A8))+SUMPRODUCT(--(Lineups!$A$46:$A$83="SP"),--(Lineups!$C$46:$C$83=A8)))</f>
        <v/>
      </c>
      <c r="O8" s="482" t="str">
        <f t="shared" si="8"/>
        <v/>
      </c>
      <c r="P8" s="483" t="str">
        <f>IF(OR(A8="",C8=0),"",SK!I180)</f>
        <v/>
      </c>
      <c r="Q8" s="484" t="str">
        <f t="shared" si="0"/>
        <v/>
      </c>
      <c r="R8" s="485" t="str">
        <f>IF(OR(A8="",F8=0),"",SUM(LU!Q57,LU!Q156))</f>
        <v/>
      </c>
      <c r="S8" s="486" t="str">
        <f>IF(OR(A8="",F8=0),"",SUM(LU!Q80,LU!Q179))</f>
        <v/>
      </c>
      <c r="T8" s="459" t="str">
        <f>IF(OR(A8="",F8=0),"",SUM(LU!Q34,LU!Q133))</f>
        <v/>
      </c>
      <c r="U8" s="486" t="str">
        <f>IF(OR(A8="",C8=0),"",SUM(LU!O34,LU!O133))</f>
        <v/>
      </c>
      <c r="V8" s="487" t="str">
        <f t="shared" si="1"/>
        <v/>
      </c>
      <c r="W8" s="488" t="str">
        <f>IF(OR(A8="",D8=0),"",SUM(LU!D34,LU!D133))</f>
        <v/>
      </c>
      <c r="X8" s="487" t="str">
        <f t="shared" si="2"/>
        <v/>
      </c>
      <c r="Y8" s="488" t="str">
        <f>IF(OR(A8="",E8=0),"",SUM(LU!J34,LU!J133))</f>
        <v/>
      </c>
      <c r="Z8" s="487" t="str">
        <f t="shared" si="3"/>
        <v/>
      </c>
      <c r="AA8" s="641" t="str">
        <f>IF(OR(A8="",AND(D8=0, E8=0)),"",SUM(LU!L34,LU!L133))</f>
        <v/>
      </c>
      <c r="AB8" s="642" t="str">
        <f t="shared" ref="AB8:AB25" si="10">IF(OR(A8="",AND(D8=0, E8=0)),"",AA8/(D8+E8))</f>
        <v/>
      </c>
      <c r="AC8" s="484" t="str">
        <f t="shared" si="9"/>
        <v/>
      </c>
      <c r="AD8" s="489" t="str">
        <f>IF(OR(A8="",F8=0,R$26="-",LU!$D$5=0),"",R8-R$26)</f>
        <v/>
      </c>
      <c r="AE8" s="490" t="str">
        <f>IF(OR(A8="",F8=0,S$26="-",LU!$D$5=0),"",S8-S$26)</f>
        <v/>
      </c>
      <c r="AF8" s="491" t="str">
        <f t="shared" si="4"/>
        <v/>
      </c>
      <c r="AG8" s="492" t="str">
        <f t="shared" si="5"/>
        <v/>
      </c>
      <c r="AH8" s="492" t="str">
        <f t="shared" si="6"/>
        <v/>
      </c>
      <c r="AI8" s="493" t="str">
        <f t="shared" si="7"/>
        <v/>
      </c>
      <c r="AJ8" s="645" t="str">
        <f t="shared" ref="AJ8:AJ25" si="11">IF(OR($A8="",AND(D8=0, E8=0)),"",AB8-AB$26)</f>
        <v/>
      </c>
      <c r="AK8" s="494" t="str">
        <f>IF(OR($A8="",AC8="",AC$26="-",LU!$D$5=0),"",AC8-AC$26)</f>
        <v/>
      </c>
      <c r="AL8" s="1277" t="str">
        <f>IF(OR(A8="",F8=0),"",SUM(PT!U7,PT!U8))</f>
        <v/>
      </c>
      <c r="AM8" s="1278"/>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7" t="str">
        <f>IF(A9="","",(SUM(C9:E9)-(SUMPRODUCT(--(Lineups!C$4:C$41=A9),--(Lineups!A$4:A$41="SP"))+SUMPRODUCT(--(Lineups!G$4:G$41=A9),--(Lineups!A$4:A$41="SP"))+SUMPRODUCT(--(Lineups!C$46:C$83=A9),--(Lineups!A$46:A$83="SP"))+SUMPRODUCT(--(Lineups!G$46:G$83=A9),--(Lineups!A$46:A$83="SP")))))</f>
        <v/>
      </c>
      <c r="G9" s="458" t="str">
        <f>IF(OR(A9="",F9=0,LU!D$3+LU!D$102=0),"",F9/(LU!D$3+LU!D$102))</f>
        <v/>
      </c>
      <c r="H9" s="459" t="str">
        <f>IF(OR(C9=0,A9=""),"",SK!D183)</f>
        <v/>
      </c>
      <c r="I9" s="460" t="str">
        <f>IF(OR(A9="",SK!E183="",SK!E183=0),"",H9/SK!E183)</f>
        <v/>
      </c>
      <c r="J9" s="479" t="str">
        <f>IF(OR(A9="",C9=0),"",SK!G183)</f>
        <v/>
      </c>
      <c r="K9" s="480" t="str">
        <f>IF(OR(A9="",C9=0),"",SK!H183)</f>
        <v/>
      </c>
      <c r="L9" s="481" t="str">
        <f>IF(OR(A9="",C9=0),"",SK!J183)</f>
        <v/>
      </c>
      <c r="M9" s="481" t="str">
        <f>IF(OR(A9="",C9=0),"",SK!L183)</f>
        <v/>
      </c>
      <c r="N9" s="793" t="str">
        <f>IF(OR(A9="",C9=0),"",SUMPRODUCT(--(Lineups!$A$4:$A$41="SP"),--(Lineups!$C$4:$C$41=A9))+SUMPRODUCT(--(Lineups!$A$46:$A$83="SP"),--(Lineups!$C$46:$C$83=A9)))</f>
        <v/>
      </c>
      <c r="O9" s="482" t="str">
        <f t="shared" si="8"/>
        <v/>
      </c>
      <c r="P9" s="483" t="str">
        <f>IF(OR(A9="",C9=0),"",SK!I183)</f>
        <v/>
      </c>
      <c r="Q9" s="484" t="str">
        <f t="shared" si="0"/>
        <v/>
      </c>
      <c r="R9" s="485" t="str">
        <f>IF(OR(A9="",F9=0),"",SUM(LU!Q58,LU!Q157))</f>
        <v/>
      </c>
      <c r="S9" s="486" t="str">
        <f>IF(OR(A9="",F9=0),"",SUM(LU!Q81,LU!Q180))</f>
        <v/>
      </c>
      <c r="T9" s="459" t="str">
        <f>IF(OR(A9="",F9=0),"",SUM(LU!Q35,LU!Q134))</f>
        <v/>
      </c>
      <c r="U9" s="486" t="str">
        <f>IF(OR(A9="",C9=0),"",SUM(LU!O35,LU!O134))</f>
        <v/>
      </c>
      <c r="V9" s="487" t="str">
        <f t="shared" si="1"/>
        <v/>
      </c>
      <c r="W9" s="488" t="str">
        <f>IF(OR(A9="",D9=0),"",SUM(LU!D35,LU!D134))</f>
        <v/>
      </c>
      <c r="X9" s="487" t="str">
        <f t="shared" si="2"/>
        <v/>
      </c>
      <c r="Y9" s="488" t="str">
        <f>IF(OR(A9="",E9=0),"",SUM(LU!J35,LU!J134))</f>
        <v/>
      </c>
      <c r="Z9" s="487" t="str">
        <f t="shared" si="3"/>
        <v/>
      </c>
      <c r="AA9" s="641" t="str">
        <f>IF(OR(A9="",AND(D9=0, E9=0)),"",SUM(LU!L35,LU!L134))</f>
        <v/>
      </c>
      <c r="AB9" s="642" t="str">
        <f t="shared" si="10"/>
        <v/>
      </c>
      <c r="AC9" s="484" t="str">
        <f t="shared" si="9"/>
        <v/>
      </c>
      <c r="AD9" s="489" t="str">
        <f>IF(OR(A9="",F9=0,R$26="-",LU!$D$5=0),"",R9-R$26)</f>
        <v/>
      </c>
      <c r="AE9" s="490" t="str">
        <f>IF(OR(A9="",F9=0,S$26="-",LU!$D$5=0),"",S9-S$26)</f>
        <v/>
      </c>
      <c r="AF9" s="491" t="str">
        <f t="shared" si="4"/>
        <v/>
      </c>
      <c r="AG9" s="492" t="str">
        <f t="shared" si="5"/>
        <v/>
      </c>
      <c r="AH9" s="492" t="str">
        <f t="shared" si="6"/>
        <v/>
      </c>
      <c r="AI9" s="493" t="str">
        <f t="shared" si="7"/>
        <v/>
      </c>
      <c r="AJ9" s="645" t="str">
        <f t="shared" si="11"/>
        <v/>
      </c>
      <c r="AK9" s="494" t="str">
        <f>IF(OR($A9="",AC9="",AC$26="-",LU!$D$5=0),"",AC9-AC$26)</f>
        <v/>
      </c>
      <c r="AL9" s="1277" t="str">
        <f>IF(OR(A9="",F9=0),"",SUM(PT!U9,PT!U10))</f>
        <v/>
      </c>
      <c r="AM9" s="1278"/>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7" t="str">
        <f>IF(A10="","",(SUM(C10:E10)-(SUMPRODUCT(--(Lineups!C$4:C$41=A10),--(Lineups!A$4:A$41="SP"))+SUMPRODUCT(--(Lineups!G$4:G$41=A10),--(Lineups!A$4:A$41="SP"))+SUMPRODUCT(--(Lineups!C$46:C$83=A10),--(Lineups!A$46:A$83="SP"))+SUMPRODUCT(--(Lineups!G$46:G$83=A10),--(Lineups!A$46:A$83="SP")))))</f>
        <v/>
      </c>
      <c r="G10" s="458" t="str">
        <f>IF(OR(A10="",F10=0,LU!D$3+LU!D$102=0),"",F10/(LU!D$3+LU!D$102))</f>
        <v/>
      </c>
      <c r="H10" s="459" t="str">
        <f>IF(OR(C10=0,A10=""),"",SK!D186)</f>
        <v/>
      </c>
      <c r="I10" s="460" t="str">
        <f>IF(OR(A10="",SK!E186="",SK!E186=0),"",H10/SK!E186)</f>
        <v/>
      </c>
      <c r="J10" s="479" t="str">
        <f>IF(OR(A10="",C10=0),"",SK!G186)</f>
        <v/>
      </c>
      <c r="K10" s="480" t="str">
        <f>IF(OR(A10="",C10=0),"",SK!H186)</f>
        <v/>
      </c>
      <c r="L10" s="481" t="str">
        <f>IF(OR(A10="",C10=0),"",SK!J186)</f>
        <v/>
      </c>
      <c r="M10" s="481" t="str">
        <f>IF(OR(A10="",C10=0),"",SK!L186)</f>
        <v/>
      </c>
      <c r="N10" s="793" t="str">
        <f>IF(OR(A10="",C10=0),"",SUMPRODUCT(--(Lineups!$A$4:$A$41="SP"),--(Lineups!$C$4:$C$41=A10))+SUMPRODUCT(--(Lineups!$A$46:$A$83="SP"),--(Lineups!$C$46:$C$83=A10)))</f>
        <v/>
      </c>
      <c r="O10" s="482" t="str">
        <f t="shared" si="8"/>
        <v/>
      </c>
      <c r="P10" s="483" t="str">
        <f>IF(OR(A10="",C10=0),"",SK!I186)</f>
        <v/>
      </c>
      <c r="Q10" s="484" t="str">
        <f t="shared" si="0"/>
        <v/>
      </c>
      <c r="R10" s="485" t="str">
        <f>IF(OR(A10="",F10=0),"",SUM(LU!Q59,LU!Q158))</f>
        <v/>
      </c>
      <c r="S10" s="486" t="str">
        <f>IF(OR(A10="",F10=0),"",SUM(LU!Q82,LU!Q181))</f>
        <v/>
      </c>
      <c r="T10" s="459" t="str">
        <f>IF(OR(A10="",F10=0),"",SUM(LU!Q36,LU!Q135))</f>
        <v/>
      </c>
      <c r="U10" s="486" t="str">
        <f>IF(OR(A10="",C10=0),"",SUM(LU!O36,LU!O135))</f>
        <v/>
      </c>
      <c r="V10" s="487" t="str">
        <f t="shared" si="1"/>
        <v/>
      </c>
      <c r="W10" s="488" t="str">
        <f>IF(OR(A10="",D10=0),"",SUM(LU!D36,LU!D135))</f>
        <v/>
      </c>
      <c r="X10" s="487" t="str">
        <f t="shared" si="2"/>
        <v/>
      </c>
      <c r="Y10" s="488" t="str">
        <f>IF(OR(A10="",E10=0),"",SUM(LU!J36,LU!J135))</f>
        <v/>
      </c>
      <c r="Z10" s="487" t="str">
        <f t="shared" si="3"/>
        <v/>
      </c>
      <c r="AA10" s="641" t="str">
        <f>IF(OR(A10="",AND(D10=0, E10=0)),"",SUM(LU!L36,LU!L135))</f>
        <v/>
      </c>
      <c r="AB10" s="642" t="str">
        <f t="shared" si="10"/>
        <v/>
      </c>
      <c r="AC10" s="484" t="str">
        <f t="shared" si="9"/>
        <v/>
      </c>
      <c r="AD10" s="489" t="str">
        <f>IF(OR(A10="",F10=0,R$26="-",LU!$D$5=0),"",R10-R$26)</f>
        <v/>
      </c>
      <c r="AE10" s="490" t="str">
        <f>IF(OR(A10="",F10=0,S$26="-",LU!$D$5=0),"",S10-S$26)</f>
        <v/>
      </c>
      <c r="AF10" s="491" t="str">
        <f t="shared" si="4"/>
        <v/>
      </c>
      <c r="AG10" s="492" t="str">
        <f t="shared" si="5"/>
        <v/>
      </c>
      <c r="AH10" s="492" t="str">
        <f t="shared" si="6"/>
        <v/>
      </c>
      <c r="AI10" s="493" t="str">
        <f t="shared" si="7"/>
        <v/>
      </c>
      <c r="AJ10" s="645" t="str">
        <f t="shared" si="11"/>
        <v/>
      </c>
      <c r="AK10" s="494" t="str">
        <f>IF(OR($A10="",AC10="",AC$26="-",LU!$D$5=0),"",AC10-AC$26)</f>
        <v/>
      </c>
      <c r="AL10" s="1277" t="str">
        <f>IF(OR(A10="",F10=0),"",SUM(PT!U11,PT!U12))</f>
        <v/>
      </c>
      <c r="AM10" s="1278"/>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7" t="str">
        <f>IF(A11="","",(SUM(C11:E11)-(SUMPRODUCT(--(Lineups!C$4:C$41=A11),--(Lineups!A$4:A$41="SP"))+SUMPRODUCT(--(Lineups!G$4:G$41=A11),--(Lineups!A$4:A$41="SP"))+SUMPRODUCT(--(Lineups!C$46:C$83=A11),--(Lineups!A$46:A$83="SP"))+SUMPRODUCT(--(Lineups!G$46:G$83=A11),--(Lineups!A$46:A$83="SP")))))</f>
        <v/>
      </c>
      <c r="G11" s="458" t="str">
        <f>IF(OR(A11="",F11=0,LU!D$3+LU!D$102=0),"",F11/(LU!D$3+LU!D$102))</f>
        <v/>
      </c>
      <c r="H11" s="459" t="str">
        <f>IF(OR(C11=0,A11=""),"",SK!D189)</f>
        <v/>
      </c>
      <c r="I11" s="460" t="str">
        <f>IF(OR(A11="",SK!E189="",SK!E189=0),"",H11/SK!E189)</f>
        <v/>
      </c>
      <c r="J11" s="479" t="str">
        <f>IF(OR(A11="",C11=0),"",SK!G189)</f>
        <v/>
      </c>
      <c r="K11" s="480" t="str">
        <f>IF(OR(A11="",C11=0),"",SK!H189)</f>
        <v/>
      </c>
      <c r="L11" s="481" t="str">
        <f>IF(OR(A11="",C11=0),"",SK!J189)</f>
        <v/>
      </c>
      <c r="M11" s="481" t="str">
        <f>IF(OR(A11="",C11=0),"",SK!L189)</f>
        <v/>
      </c>
      <c r="N11" s="793" t="str">
        <f>IF(OR(A11="",C11=0),"",SUMPRODUCT(--(Lineups!$A$4:$A$41="SP"),--(Lineups!$C$4:$C$41=A11))+SUMPRODUCT(--(Lineups!$A$46:$A$83="SP"),--(Lineups!$C$46:$C$83=A11)))</f>
        <v/>
      </c>
      <c r="O11" s="482" t="str">
        <f t="shared" si="8"/>
        <v/>
      </c>
      <c r="P11" s="483" t="str">
        <f>IF(OR(A11="",C11=0),"",SK!I189)</f>
        <v/>
      </c>
      <c r="Q11" s="484" t="str">
        <f t="shared" si="0"/>
        <v/>
      </c>
      <c r="R11" s="485" t="str">
        <f>IF(OR(A11="",F11=0),"",SUM(LU!Q60,LU!Q159))</f>
        <v/>
      </c>
      <c r="S11" s="486" t="str">
        <f>IF(OR(A11="",F11=0),"",SUM(LU!Q83,LU!Q182))</f>
        <v/>
      </c>
      <c r="T11" s="459" t="str">
        <f>IF(OR(A11="",F11=0),"",SUM(LU!Q37,LU!Q136))</f>
        <v/>
      </c>
      <c r="U11" s="486" t="str">
        <f>IF(OR(A11="",C11=0),"",SUM(LU!O37,LU!O136))</f>
        <v/>
      </c>
      <c r="V11" s="487" t="str">
        <f t="shared" si="1"/>
        <v/>
      </c>
      <c r="W11" s="488" t="str">
        <f>IF(OR(A11="",D11=0),"",SUM(LU!D37,LU!D136))</f>
        <v/>
      </c>
      <c r="X11" s="487" t="str">
        <f t="shared" si="2"/>
        <v/>
      </c>
      <c r="Y11" s="488" t="str">
        <f>IF(OR(A11="",E11=0),"",SUM(LU!J37,LU!J136))</f>
        <v/>
      </c>
      <c r="Z11" s="487" t="str">
        <f t="shared" si="3"/>
        <v/>
      </c>
      <c r="AA11" s="641" t="str">
        <f>IF(OR(A11="",AND(D11=0, E11=0)),"",SUM(LU!L37,LU!L136))</f>
        <v/>
      </c>
      <c r="AB11" s="642" t="str">
        <f t="shared" si="10"/>
        <v/>
      </c>
      <c r="AC11" s="484" t="str">
        <f t="shared" si="9"/>
        <v/>
      </c>
      <c r="AD11" s="489" t="str">
        <f>IF(OR(A11="",F11=0,R$26="-",LU!$D$5=0),"",R11-R$26)</f>
        <v/>
      </c>
      <c r="AE11" s="490" t="str">
        <f>IF(OR(A11="",F11=0,S$26="-",LU!$D$5=0),"",S11-S$26)</f>
        <v/>
      </c>
      <c r="AF11" s="491" t="str">
        <f t="shared" si="4"/>
        <v/>
      </c>
      <c r="AG11" s="492" t="str">
        <f t="shared" si="5"/>
        <v/>
      </c>
      <c r="AH11" s="492" t="str">
        <f t="shared" si="6"/>
        <v/>
      </c>
      <c r="AI11" s="493" t="str">
        <f t="shared" si="7"/>
        <v/>
      </c>
      <c r="AJ11" s="645" t="str">
        <f t="shared" si="11"/>
        <v/>
      </c>
      <c r="AK11" s="494" t="str">
        <f>IF(OR($A11="",AC11="",AC$26="-",LU!$D$5=0),"",AC11-AC$26)</f>
        <v/>
      </c>
      <c r="AL11" s="1277" t="str">
        <f>IF(OR(A11="",F11=0),"",SUM(PT!U13,PT!U14))</f>
        <v/>
      </c>
      <c r="AM11" s="1278"/>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7" t="str">
        <f>IF(A12="","",(SUM(C12:E12)-(SUMPRODUCT(--(Lineups!C$4:C$41=A12),--(Lineups!A$4:A$41="SP"))+SUMPRODUCT(--(Lineups!G$4:G$41=A12),--(Lineups!A$4:A$41="SP"))+SUMPRODUCT(--(Lineups!C$46:C$83=A12),--(Lineups!A$46:A$83="SP"))+SUMPRODUCT(--(Lineups!G$46:G$83=A12),--(Lineups!A$46:A$83="SP")))))</f>
        <v/>
      </c>
      <c r="G12" s="458" t="str">
        <f>IF(OR(A12="",F12=0,LU!D$3+LU!D$102=0),"",F12/(LU!D$3+LU!D$102))</f>
        <v/>
      </c>
      <c r="H12" s="459" t="str">
        <f>IF(OR(C12=0,A12=""),"",SK!D192)</f>
        <v/>
      </c>
      <c r="I12" s="460" t="str">
        <f>IF(OR(A12="",SK!E192="",SK!E192=0),"",H12/SK!E192)</f>
        <v/>
      </c>
      <c r="J12" s="479" t="str">
        <f>IF(OR(A12="",C12=0),"",SK!G192)</f>
        <v/>
      </c>
      <c r="K12" s="480" t="str">
        <f>IF(OR(A12="",C12=0),"",SK!H192)</f>
        <v/>
      </c>
      <c r="L12" s="481" t="str">
        <f>IF(OR(A12="",C12=0),"",SK!J192)</f>
        <v/>
      </c>
      <c r="M12" s="481" t="str">
        <f>IF(OR(A12="",C12=0),"",SK!L192)</f>
        <v/>
      </c>
      <c r="N12" s="793" t="str">
        <f>IF(OR(A12="",C12=0),"",SUMPRODUCT(--(Lineups!$A$4:$A$41="SP"),--(Lineups!$C$4:$C$41=A12))+SUMPRODUCT(--(Lineups!$A$46:$A$83="SP"),--(Lineups!$C$46:$C$83=A12)))</f>
        <v/>
      </c>
      <c r="O12" s="482" t="str">
        <f t="shared" si="8"/>
        <v/>
      </c>
      <c r="P12" s="483" t="str">
        <f>IF(OR(A12="",C12=0),"",SK!I192)</f>
        <v/>
      </c>
      <c r="Q12" s="484" t="str">
        <f t="shared" si="0"/>
        <v/>
      </c>
      <c r="R12" s="485" t="str">
        <f>IF(OR(A12="",F12=0),"",SUM(LU!Q61,LU!Q160))</f>
        <v/>
      </c>
      <c r="S12" s="486" t="str">
        <f>IF(OR(A12="",F12=0),"",SUM(LU!Q84,LU!Q183))</f>
        <v/>
      </c>
      <c r="T12" s="459" t="str">
        <f>IF(OR(A12="",F12=0),"",SUM(LU!Q38,LU!Q137))</f>
        <v/>
      </c>
      <c r="U12" s="486" t="str">
        <f>IF(OR(A12="",C12=0),"",SUM(LU!O38,LU!O137))</f>
        <v/>
      </c>
      <c r="V12" s="487" t="str">
        <f t="shared" si="1"/>
        <v/>
      </c>
      <c r="W12" s="488" t="str">
        <f>IF(OR(A12="",D12=0),"",SUM(LU!D38,LU!D137))</f>
        <v/>
      </c>
      <c r="X12" s="487" t="str">
        <f t="shared" si="2"/>
        <v/>
      </c>
      <c r="Y12" s="488" t="str">
        <f>IF(OR(A12="",E12=0),"",SUM(LU!J38,LU!J137))</f>
        <v/>
      </c>
      <c r="Z12" s="487" t="str">
        <f t="shared" si="3"/>
        <v/>
      </c>
      <c r="AA12" s="641" t="str">
        <f>IF(OR(A12="",AND(D12=0, E12=0)),"",SUM(LU!L38,LU!L137))</f>
        <v/>
      </c>
      <c r="AB12" s="642" t="str">
        <f t="shared" si="10"/>
        <v/>
      </c>
      <c r="AC12" s="484" t="str">
        <f t="shared" si="9"/>
        <v/>
      </c>
      <c r="AD12" s="489" t="str">
        <f>IF(OR(A12="",F12=0,R$26="-",LU!$D$5=0),"",R12-R$26)</f>
        <v/>
      </c>
      <c r="AE12" s="490" t="str">
        <f>IF(OR(A12="",F12=0,S$26="-",LU!$D$5=0),"",S12-S$26)</f>
        <v/>
      </c>
      <c r="AF12" s="491" t="str">
        <f t="shared" si="4"/>
        <v/>
      </c>
      <c r="AG12" s="492" t="str">
        <f t="shared" si="5"/>
        <v/>
      </c>
      <c r="AH12" s="492" t="str">
        <f t="shared" si="6"/>
        <v/>
      </c>
      <c r="AI12" s="493" t="str">
        <f t="shared" si="7"/>
        <v/>
      </c>
      <c r="AJ12" s="645" t="str">
        <f t="shared" si="11"/>
        <v/>
      </c>
      <c r="AK12" s="494" t="str">
        <f>IF(OR($A12="",AC12="",AC$26="-",LU!$D$5=0),"",AC12-AC$26)</f>
        <v/>
      </c>
      <c r="AL12" s="1277" t="str">
        <f>IF(OR(A12="",F12=0),"",SUM(PT!U15,PT!U16))</f>
        <v/>
      </c>
      <c r="AM12" s="1278"/>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7" t="str">
        <f>IF(A13="","",(SUM(C13:E13)-(SUMPRODUCT(--(Lineups!C$4:C$41=A13),--(Lineups!A$4:A$41="SP"))+SUMPRODUCT(--(Lineups!G$4:G$41=A13),--(Lineups!A$4:A$41="SP"))+SUMPRODUCT(--(Lineups!C$46:C$83=A13),--(Lineups!A$46:A$83="SP"))+SUMPRODUCT(--(Lineups!G$46:G$83=A13),--(Lineups!A$46:A$83="SP")))))</f>
        <v/>
      </c>
      <c r="G13" s="458" t="str">
        <f>IF(OR(A13="",F13=0,LU!D$3+LU!D$102=0),"",F13/(LU!D$3+LU!D$102))</f>
        <v/>
      </c>
      <c r="H13" s="459" t="str">
        <f>IF(OR(C13=0,A13=""),"",SK!D195)</f>
        <v/>
      </c>
      <c r="I13" s="460" t="str">
        <f>IF(OR(A13="",SK!E195="",SK!E195=0),"",H13/SK!E195)</f>
        <v/>
      </c>
      <c r="J13" s="479" t="str">
        <f>IF(OR(A13="",C13=0),"",SK!G195)</f>
        <v/>
      </c>
      <c r="K13" s="480" t="str">
        <f>IF(OR(A13="",C13=0),"",SK!H195)</f>
        <v/>
      </c>
      <c r="L13" s="481" t="str">
        <f>IF(OR(A13="",C13=0),"",SK!J195)</f>
        <v/>
      </c>
      <c r="M13" s="481" t="str">
        <f>IF(OR(A13="",C13=0),"",SK!L195)</f>
        <v/>
      </c>
      <c r="N13" s="793" t="str">
        <f>IF(OR(A13="",C13=0),"",SUMPRODUCT(--(Lineups!$A$4:$A$41="SP"),--(Lineups!$C$4:$C$41=A13))+SUMPRODUCT(--(Lineups!$A$46:$A$83="SP"),--(Lineups!$C$46:$C$83=A13)))</f>
        <v/>
      </c>
      <c r="O13" s="482" t="str">
        <f t="shared" si="8"/>
        <v/>
      </c>
      <c r="P13" s="483" t="str">
        <f>IF(OR(A13="",C13=0),"",SK!I195)</f>
        <v/>
      </c>
      <c r="Q13" s="484" t="str">
        <f t="shared" si="0"/>
        <v/>
      </c>
      <c r="R13" s="485" t="str">
        <f>IF(OR(A13="",F13=0),"",SUM(LU!Q62,LU!Q161))</f>
        <v/>
      </c>
      <c r="S13" s="486" t="str">
        <f>IF(OR(A13="",F13=0),"",SUM(LU!Q85,LU!Q184))</f>
        <v/>
      </c>
      <c r="T13" s="459" t="str">
        <f>IF(OR(A13="",F13=0),"",SUM(LU!Q39,LU!Q138))</f>
        <v/>
      </c>
      <c r="U13" s="486" t="str">
        <f>IF(OR(A13="",C13=0),"",SUM(LU!O39,LU!O138))</f>
        <v/>
      </c>
      <c r="V13" s="487" t="str">
        <f t="shared" si="1"/>
        <v/>
      </c>
      <c r="W13" s="488" t="str">
        <f>IF(OR(A13="",D13=0),"",SUM(LU!D39,LU!D138))</f>
        <v/>
      </c>
      <c r="X13" s="487" t="str">
        <f t="shared" si="2"/>
        <v/>
      </c>
      <c r="Y13" s="488" t="str">
        <f>IF(OR(A13="",E13=0),"",SUM(LU!J39,LU!J138))</f>
        <v/>
      </c>
      <c r="Z13" s="487" t="str">
        <f t="shared" si="3"/>
        <v/>
      </c>
      <c r="AA13" s="641" t="str">
        <f>IF(OR(A13="",AND(D13=0, E13=0)),"",SUM(LU!L39,LU!L138))</f>
        <v/>
      </c>
      <c r="AB13" s="642" t="str">
        <f t="shared" si="10"/>
        <v/>
      </c>
      <c r="AC13" s="484" t="str">
        <f t="shared" si="9"/>
        <v/>
      </c>
      <c r="AD13" s="489" t="str">
        <f>IF(OR(A13="",F13=0,R$26="-",LU!$D$5=0),"",R13-R$26)</f>
        <v/>
      </c>
      <c r="AE13" s="490" t="str">
        <f>IF(OR(A13="",F13=0,S$26="-",LU!$D$5=0),"",S13-S$26)</f>
        <v/>
      </c>
      <c r="AF13" s="491" t="str">
        <f t="shared" si="4"/>
        <v/>
      </c>
      <c r="AG13" s="492" t="str">
        <f t="shared" si="5"/>
        <v/>
      </c>
      <c r="AH13" s="492" t="str">
        <f t="shared" si="6"/>
        <v/>
      </c>
      <c r="AI13" s="493" t="str">
        <f t="shared" si="7"/>
        <v/>
      </c>
      <c r="AJ13" s="645" t="str">
        <f t="shared" si="11"/>
        <v/>
      </c>
      <c r="AK13" s="494" t="str">
        <f>IF(OR($A13="",AC13="",AC$26="-",LU!$D$5=0),"",AC13-AC$26)</f>
        <v/>
      </c>
      <c r="AL13" s="1277" t="str">
        <f>IF(OR(A13="",F13=0),"",SUM(PT!U17,PT!U18))</f>
        <v/>
      </c>
      <c r="AM13" s="1278"/>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7" t="str">
        <f>IF(A14="","",(SUM(C14:E14)-(SUMPRODUCT(--(Lineups!C$4:C$41=A14),--(Lineups!A$4:A$41="SP"))+SUMPRODUCT(--(Lineups!G$4:G$41=A14),--(Lineups!A$4:A$41="SP"))+SUMPRODUCT(--(Lineups!C$46:C$83=A14),--(Lineups!A$46:A$83="SP"))+SUMPRODUCT(--(Lineups!G$46:G$83=A14),--(Lineups!A$46:A$83="SP")))))</f>
        <v/>
      </c>
      <c r="G14" s="458" t="str">
        <f>IF(OR(A14="",F14=0,LU!D$3+LU!D$102=0),"",F14/(LU!D$3+LU!D$102))</f>
        <v/>
      </c>
      <c r="H14" s="459" t="str">
        <f>IF(OR(C14=0,A14=""),"",SK!D198)</f>
        <v/>
      </c>
      <c r="I14" s="460" t="str">
        <f>IF(OR(A14="",SK!E198="",SK!E198=0),"",H14/SK!E198)</f>
        <v/>
      </c>
      <c r="J14" s="479" t="str">
        <f>IF(OR(A14="",C14=0),"",SK!G198)</f>
        <v/>
      </c>
      <c r="K14" s="480" t="str">
        <f>IF(OR(A14="",C14=0),"",SK!H198)</f>
        <v/>
      </c>
      <c r="L14" s="481" t="str">
        <f>IF(OR(A14="",C14=0),"",SK!J198)</f>
        <v/>
      </c>
      <c r="M14" s="481" t="str">
        <f>IF(OR(A14="",C14=0),"",SK!L198)</f>
        <v/>
      </c>
      <c r="N14" s="793" t="str">
        <f>IF(OR(A14="",C14=0),"",SUMPRODUCT(--(Lineups!$A$4:$A$41="SP"),--(Lineups!$C$4:$C$41=A14))+SUMPRODUCT(--(Lineups!$A$46:$A$83="SP"),--(Lineups!$C$46:$C$83=A14)))</f>
        <v/>
      </c>
      <c r="O14" s="482" t="str">
        <f t="shared" si="8"/>
        <v/>
      </c>
      <c r="P14" s="483" t="str">
        <f>IF(OR(A14="",C14=0),"",SK!I198)</f>
        <v/>
      </c>
      <c r="Q14" s="484" t="str">
        <f t="shared" si="0"/>
        <v/>
      </c>
      <c r="R14" s="485" t="str">
        <f>IF(OR(A14="",F14=0),"",SUM(LU!Q63,LU!Q162))</f>
        <v/>
      </c>
      <c r="S14" s="486" t="str">
        <f>IF(OR(A14="",F14=0),"",SUM(LU!Q86,LU!Q185))</f>
        <v/>
      </c>
      <c r="T14" s="459" t="str">
        <f>IF(OR(A14="",F14=0),"",SUM(LU!Q40,LU!Q139))</f>
        <v/>
      </c>
      <c r="U14" s="486" t="str">
        <f>IF(OR(A14="",C14=0),"",SUM(LU!O40,LU!O139))</f>
        <v/>
      </c>
      <c r="V14" s="487" t="str">
        <f t="shared" si="1"/>
        <v/>
      </c>
      <c r="W14" s="488" t="str">
        <f>IF(OR(A14="",D14=0),"",SUM(LU!D40,LU!D139))</f>
        <v/>
      </c>
      <c r="X14" s="487" t="str">
        <f t="shared" si="2"/>
        <v/>
      </c>
      <c r="Y14" s="488" t="str">
        <f>IF(OR(A14="",E14=0),"",SUM(LU!J40,LU!J139))</f>
        <v/>
      </c>
      <c r="Z14" s="487" t="str">
        <f t="shared" si="3"/>
        <v/>
      </c>
      <c r="AA14" s="641" t="str">
        <f>IF(OR(A14="",AND(D14=0, E14=0)),"",SUM(LU!L40,LU!L139))</f>
        <v/>
      </c>
      <c r="AB14" s="642" t="str">
        <f t="shared" si="10"/>
        <v/>
      </c>
      <c r="AC14" s="484" t="str">
        <f t="shared" si="9"/>
        <v/>
      </c>
      <c r="AD14" s="489" t="str">
        <f>IF(OR(A14="",F14=0,R$26="-",LU!$D$5=0),"",R14-R$26)</f>
        <v/>
      </c>
      <c r="AE14" s="490" t="str">
        <f>IF(OR(A14="",F14=0,S$26="-",LU!$D$5=0),"",S14-S$26)</f>
        <v/>
      </c>
      <c r="AF14" s="491" t="str">
        <f t="shared" si="4"/>
        <v/>
      </c>
      <c r="AG14" s="492" t="str">
        <f t="shared" si="5"/>
        <v/>
      </c>
      <c r="AH14" s="492" t="str">
        <f t="shared" si="6"/>
        <v/>
      </c>
      <c r="AI14" s="493" t="str">
        <f t="shared" si="7"/>
        <v/>
      </c>
      <c r="AJ14" s="645" t="str">
        <f t="shared" si="11"/>
        <v/>
      </c>
      <c r="AK14" s="494" t="str">
        <f>IF(OR($A14="",AC14="",AC$26="-",LU!$D$5=0),"",AC14-AC$26)</f>
        <v/>
      </c>
      <c r="AL14" s="1277" t="str">
        <f>IF(OR(A14="",F14=0),"",SUM(PT!U19,PT!U20))</f>
        <v/>
      </c>
      <c r="AM14" s="1278"/>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7" t="str">
        <f>IF(A15="","",(SUM(C15:E15)-(SUMPRODUCT(--(Lineups!C$4:C$41=A15),--(Lineups!A$4:A$41="SP"))+SUMPRODUCT(--(Lineups!G$4:G$41=A15),--(Lineups!A$4:A$41="SP"))+SUMPRODUCT(--(Lineups!C$46:C$83=A15),--(Lineups!A$46:A$83="SP"))+SUMPRODUCT(--(Lineups!G$46:G$83=A15),--(Lineups!A$46:A$83="SP")))))</f>
        <v/>
      </c>
      <c r="G15" s="458" t="str">
        <f>IF(OR(A15="",F15=0,LU!D$3+LU!D$102=0),"",F15/(LU!D$3+LU!D$102))</f>
        <v/>
      </c>
      <c r="H15" s="459" t="str">
        <f>IF(OR(C15=0,A15=""),"",SK!D201)</f>
        <v/>
      </c>
      <c r="I15" s="460" t="str">
        <f>IF(OR(A15="",SK!E201="",SK!E201=0),"",H15/SK!E201)</f>
        <v/>
      </c>
      <c r="J15" s="479" t="str">
        <f>IF(OR(A15="",C15=0),"",SK!G201)</f>
        <v/>
      </c>
      <c r="K15" s="480" t="str">
        <f>IF(OR(A15="",C15=0),"",SK!H201)</f>
        <v/>
      </c>
      <c r="L15" s="481" t="str">
        <f>IF(OR(A15="",C15=0),"",SK!J201)</f>
        <v/>
      </c>
      <c r="M15" s="481" t="str">
        <f>IF(OR(A15="",C15=0),"",SK!L201)</f>
        <v/>
      </c>
      <c r="N15" s="793" t="str">
        <f>IF(OR(A15="",C15=0),"",SUMPRODUCT(--(Lineups!$A$4:$A$41="SP"),--(Lineups!$C$4:$C$41=A15))+SUMPRODUCT(--(Lineups!$A$46:$A$83="SP"),--(Lineups!$C$46:$C$83=A15)))</f>
        <v/>
      </c>
      <c r="O15" s="482" t="str">
        <f t="shared" si="8"/>
        <v/>
      </c>
      <c r="P15" s="483" t="str">
        <f>IF(OR(A15="",C15=0),"",SK!I201)</f>
        <v/>
      </c>
      <c r="Q15" s="484" t="str">
        <f t="shared" si="0"/>
        <v/>
      </c>
      <c r="R15" s="485" t="str">
        <f>IF(OR(A15="",F15=0),"",SUM(LU!Q64,LU!Q163))</f>
        <v/>
      </c>
      <c r="S15" s="486" t="str">
        <f>IF(OR(A15="",F15=0),"",SUM(LU!Q87,LU!Q186))</f>
        <v/>
      </c>
      <c r="T15" s="459" t="str">
        <f>IF(OR(A15="",F15=0),"",SUM(LU!Q41,LU!Q140))</f>
        <v/>
      </c>
      <c r="U15" s="486" t="str">
        <f>IF(OR(A15="",C15=0),"",SUM(LU!O41,LU!O140))</f>
        <v/>
      </c>
      <c r="V15" s="487" t="str">
        <f t="shared" si="1"/>
        <v/>
      </c>
      <c r="W15" s="488" t="str">
        <f>IF(OR(A15="",D15=0),"",SUM(LU!D41,LU!D140))</f>
        <v/>
      </c>
      <c r="X15" s="487" t="str">
        <f t="shared" si="2"/>
        <v/>
      </c>
      <c r="Y15" s="488" t="str">
        <f>IF(OR(A15="",E15=0),"",SUM(LU!J41,LU!J140))</f>
        <v/>
      </c>
      <c r="Z15" s="487" t="str">
        <f t="shared" si="3"/>
        <v/>
      </c>
      <c r="AA15" s="641" t="str">
        <f>IF(OR(A15="",AND(D15=0, E15=0)),"",SUM(LU!L41,LU!L140))</f>
        <v/>
      </c>
      <c r="AB15" s="642" t="str">
        <f t="shared" si="10"/>
        <v/>
      </c>
      <c r="AC15" s="484" t="str">
        <f t="shared" si="9"/>
        <v/>
      </c>
      <c r="AD15" s="489" t="str">
        <f>IF(OR(A15="",F15=0,R$26="-",LU!$D$5=0),"",R15-R$26)</f>
        <v/>
      </c>
      <c r="AE15" s="490" t="str">
        <f>IF(OR(A15="",F15=0,S$26="-",LU!$D$5=0),"",S15-S$26)</f>
        <v/>
      </c>
      <c r="AF15" s="491" t="str">
        <f t="shared" si="4"/>
        <v/>
      </c>
      <c r="AG15" s="492" t="str">
        <f t="shared" si="5"/>
        <v/>
      </c>
      <c r="AH15" s="492" t="str">
        <f t="shared" si="6"/>
        <v/>
      </c>
      <c r="AI15" s="493" t="str">
        <f t="shared" si="7"/>
        <v/>
      </c>
      <c r="AJ15" s="645" t="str">
        <f t="shared" si="11"/>
        <v/>
      </c>
      <c r="AK15" s="494" t="str">
        <f>IF(OR($A15="",AC15="",AC$26="-",LU!$D$5=0),"",AC15-AC$26)</f>
        <v/>
      </c>
      <c r="AL15" s="1277" t="str">
        <f>IF(OR(A15="",F15=0),"",SUM(PT!U21,PT!U22))</f>
        <v/>
      </c>
      <c r="AM15" s="1278"/>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7" t="str">
        <f>IF(A16="","",(SUM(C16:E16)-(SUMPRODUCT(--(Lineups!C$4:C$41=A16),--(Lineups!A$4:A$41="SP"))+SUMPRODUCT(--(Lineups!G$4:G$41=A16),--(Lineups!A$4:A$41="SP"))+SUMPRODUCT(--(Lineups!C$46:C$83=A16),--(Lineups!A$46:A$83="SP"))+SUMPRODUCT(--(Lineups!G$46:G$83=A16),--(Lineups!A$46:A$83="SP")))))</f>
        <v/>
      </c>
      <c r="G16" s="458" t="str">
        <f>IF(OR(A16="",F16=0,LU!D$3+LU!D$102=0),"",F16/(LU!D$3+LU!D$102))</f>
        <v/>
      </c>
      <c r="H16" s="459" t="str">
        <f>IF(OR(C16=0,A16=""),"",SK!D204)</f>
        <v/>
      </c>
      <c r="I16" s="460" t="str">
        <f>IF(OR(A16="",SK!E204="",SK!E204=0),"",H16/SK!E204)</f>
        <v/>
      </c>
      <c r="J16" s="479" t="str">
        <f>IF(OR(A16="",C16=0),"",SK!G204)</f>
        <v/>
      </c>
      <c r="K16" s="480" t="str">
        <f>IF(OR(A16="",C16=0),"",SK!H204)</f>
        <v/>
      </c>
      <c r="L16" s="481" t="str">
        <f>IF(OR(A16="",C16=0),"",SK!J204)</f>
        <v/>
      </c>
      <c r="M16" s="481" t="str">
        <f>IF(OR(A16="",C16=0),"",SK!L204)</f>
        <v/>
      </c>
      <c r="N16" s="793" t="str">
        <f>IF(OR(A16="",C16=0),"",SUMPRODUCT(--(Lineups!$A$4:$A$41="SP"),--(Lineups!$C$4:$C$41=A16))+SUMPRODUCT(--(Lineups!$A$46:$A$83="SP"),--(Lineups!$C$46:$C$83=A16)))</f>
        <v/>
      </c>
      <c r="O16" s="482" t="str">
        <f t="shared" si="8"/>
        <v/>
      </c>
      <c r="P16" s="483" t="str">
        <f>IF(OR(A16="",C16=0),"",SK!I204)</f>
        <v/>
      </c>
      <c r="Q16" s="484" t="str">
        <f t="shared" si="0"/>
        <v/>
      </c>
      <c r="R16" s="485" t="str">
        <f>IF(OR(A16="",F16=0),"",SUM(LU!Q65,LU!Q164))</f>
        <v/>
      </c>
      <c r="S16" s="486" t="str">
        <f>IF(OR(A16="",F16=0),"",SUM(LU!Q88,LU!Q187))</f>
        <v/>
      </c>
      <c r="T16" s="459" t="str">
        <f>IF(OR(A16="",F16=0),"",SUM(LU!Q42,LU!Q141))</f>
        <v/>
      </c>
      <c r="U16" s="486" t="str">
        <f>IF(OR(A16="",C16=0),"",SUM(LU!O42,LU!O141))</f>
        <v/>
      </c>
      <c r="V16" s="487" t="str">
        <f t="shared" si="1"/>
        <v/>
      </c>
      <c r="W16" s="488" t="str">
        <f>IF(OR(A16="",D16=0),"",SUM(LU!D42,LU!D141))</f>
        <v/>
      </c>
      <c r="X16" s="487" t="str">
        <f t="shared" si="2"/>
        <v/>
      </c>
      <c r="Y16" s="488" t="str">
        <f>IF(OR(A16="",E16=0),"",SUM(LU!J42,LU!J141))</f>
        <v/>
      </c>
      <c r="Z16" s="487" t="str">
        <f t="shared" si="3"/>
        <v/>
      </c>
      <c r="AA16" s="641" t="str">
        <f>IF(OR(A16="",AND(D16=0, E16=0)),"",SUM(LU!L42,LU!L141))</f>
        <v/>
      </c>
      <c r="AB16" s="642" t="str">
        <f t="shared" si="10"/>
        <v/>
      </c>
      <c r="AC16" s="484" t="str">
        <f t="shared" si="9"/>
        <v/>
      </c>
      <c r="AD16" s="489" t="str">
        <f>IF(OR(A16="",F16=0,R$26="-",LU!$D$5=0),"",R16-R$26)</f>
        <v/>
      </c>
      <c r="AE16" s="490" t="str">
        <f>IF(OR(A16="",F16=0,S$26="-",LU!$D$5=0),"",S16-S$26)</f>
        <v/>
      </c>
      <c r="AF16" s="491" t="str">
        <f t="shared" si="4"/>
        <v/>
      </c>
      <c r="AG16" s="492" t="str">
        <f t="shared" si="5"/>
        <v/>
      </c>
      <c r="AH16" s="492" t="str">
        <f t="shared" si="6"/>
        <v/>
      </c>
      <c r="AI16" s="493" t="str">
        <f t="shared" si="7"/>
        <v/>
      </c>
      <c r="AJ16" s="645" t="str">
        <f t="shared" si="11"/>
        <v/>
      </c>
      <c r="AK16" s="494" t="str">
        <f>IF(OR($A16="",AC16="",AC$26="-",LU!$D$5=0),"",AC16-AC$26)</f>
        <v/>
      </c>
      <c r="AL16" s="1277" t="str">
        <f>IF(OR(A16="",F16=0),"",SUM(PT!U23,PT!U24))</f>
        <v/>
      </c>
      <c r="AM16" s="1278"/>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7" t="str">
        <f>IF(A17="","",(SUM(C17:E17)-(SUMPRODUCT(--(Lineups!C$4:C$41=A17),--(Lineups!A$4:A$41="SP"))+SUMPRODUCT(--(Lineups!G$4:G$41=A17),--(Lineups!A$4:A$41="SP"))+SUMPRODUCT(--(Lineups!C$46:C$83=A17),--(Lineups!A$46:A$83="SP"))+SUMPRODUCT(--(Lineups!G$46:G$83=A17),--(Lineups!A$46:A$83="SP")))))</f>
        <v/>
      </c>
      <c r="G17" s="458" t="str">
        <f>IF(OR(A17="",F17=0,LU!D$3+LU!D$102=0),"",F17/(LU!D$3+LU!D$102))</f>
        <v/>
      </c>
      <c r="H17" s="459" t="str">
        <f>IF(OR(C17=0,A17=""),"",SK!D207)</f>
        <v/>
      </c>
      <c r="I17" s="460" t="str">
        <f>IF(OR(A17="",SK!E207="",SK!E207=0),"",H17/SK!E207)</f>
        <v/>
      </c>
      <c r="J17" s="479" t="str">
        <f>IF(OR(A17="",C17=0),"",SK!G207)</f>
        <v/>
      </c>
      <c r="K17" s="480" t="str">
        <f>IF(OR(A17="",C17=0),"",SK!H207)</f>
        <v/>
      </c>
      <c r="L17" s="481" t="str">
        <f>IF(OR(A17="",C17=0),"",SK!J207)</f>
        <v/>
      </c>
      <c r="M17" s="481" t="str">
        <f>IF(OR(A17="",C17=0),"",SK!L207)</f>
        <v/>
      </c>
      <c r="N17" s="793" t="str">
        <f>IF(OR(A17="",C17=0),"",SUMPRODUCT(--(Lineups!$A$4:$A$41="SP"),--(Lineups!$C$4:$C$41=A17))+SUMPRODUCT(--(Lineups!$A$46:$A$83="SP"),--(Lineups!$C$46:$C$83=A17)))</f>
        <v/>
      </c>
      <c r="O17" s="482" t="str">
        <f t="shared" si="8"/>
        <v/>
      </c>
      <c r="P17" s="483" t="str">
        <f>IF(OR(A17="",C17=0),"",SK!I207)</f>
        <v/>
      </c>
      <c r="Q17" s="484" t="str">
        <f t="shared" si="0"/>
        <v/>
      </c>
      <c r="R17" s="485" t="str">
        <f>IF(OR(A17="",F17=0),"",SUM(LU!Q66,LU!Q165))</f>
        <v/>
      </c>
      <c r="S17" s="486" t="str">
        <f>IF(OR(A17="",F17=0),"",SUM(LU!Q89,LU!Q188))</f>
        <v/>
      </c>
      <c r="T17" s="459" t="str">
        <f>IF(OR(A17="",F17=0),"",SUM(LU!Q43,LU!Q142))</f>
        <v/>
      </c>
      <c r="U17" s="486" t="str">
        <f>IF(OR(A17="",C17=0),"",SUM(LU!O43,LU!O142))</f>
        <v/>
      </c>
      <c r="V17" s="487" t="str">
        <f t="shared" si="1"/>
        <v/>
      </c>
      <c r="W17" s="488" t="str">
        <f>IF(OR(A17="",D17=0),"",SUM(LU!D43,LU!D142))</f>
        <v/>
      </c>
      <c r="X17" s="487" t="str">
        <f t="shared" si="2"/>
        <v/>
      </c>
      <c r="Y17" s="488" t="str">
        <f>IF(OR(A17="",E17=0),"",SUM(LU!J43,LU!J142))</f>
        <v/>
      </c>
      <c r="Z17" s="487" t="str">
        <f t="shared" si="3"/>
        <v/>
      </c>
      <c r="AA17" s="641" t="str">
        <f>IF(OR(A17="",AND(D17=0, E17=0)),"",SUM(LU!L43,LU!L142))</f>
        <v/>
      </c>
      <c r="AB17" s="642" t="str">
        <f t="shared" si="10"/>
        <v/>
      </c>
      <c r="AC17" s="484" t="str">
        <f t="shared" si="9"/>
        <v/>
      </c>
      <c r="AD17" s="489" t="str">
        <f>IF(OR(A17="",F17=0,R$26="-",LU!$D$5=0),"",R17-R$26)</f>
        <v/>
      </c>
      <c r="AE17" s="490" t="str">
        <f>IF(OR(A17="",F17=0,S$26="-",LU!$D$5=0),"",S17-S$26)</f>
        <v/>
      </c>
      <c r="AF17" s="491" t="str">
        <f t="shared" si="4"/>
        <v/>
      </c>
      <c r="AG17" s="492" t="str">
        <f t="shared" si="5"/>
        <v/>
      </c>
      <c r="AH17" s="492" t="str">
        <f t="shared" si="6"/>
        <v/>
      </c>
      <c r="AI17" s="493" t="str">
        <f t="shared" si="7"/>
        <v/>
      </c>
      <c r="AJ17" s="645" t="str">
        <f t="shared" si="11"/>
        <v/>
      </c>
      <c r="AK17" s="494" t="str">
        <f>IF(OR($A17="",AC17="",AC$26="-",LU!$D$5=0),"",AC17-AC$26)</f>
        <v/>
      </c>
      <c r="AL17" s="1277" t="str">
        <f>IF(OR(A17="",F17=0),"",SUM(PT!U25,PT!U26))</f>
        <v/>
      </c>
      <c r="AM17" s="1278"/>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7" t="str">
        <f>IF(A18="","",(SUM(C18:E18)-(SUMPRODUCT(--(Lineups!C$4:C$41=A18),--(Lineups!A$4:A$41="SP"))+SUMPRODUCT(--(Lineups!G$4:G$41=A18),--(Lineups!A$4:A$41="SP"))+SUMPRODUCT(--(Lineups!C$46:C$83=A18),--(Lineups!A$46:A$83="SP"))+SUMPRODUCT(--(Lineups!G$46:G$83=A18),--(Lineups!A$46:A$83="SP")))))</f>
        <v/>
      </c>
      <c r="G18" s="458" t="str">
        <f>IF(OR(A18="",F18=0,LU!D$3+LU!D$102=0),"",F18/(LU!D$3+LU!D$102))</f>
        <v/>
      </c>
      <c r="H18" s="459" t="str">
        <f>IF(OR(C18=0,A18=""),"",SK!D210)</f>
        <v/>
      </c>
      <c r="I18" s="460" t="str">
        <f>IF(OR(A18="",SK!E210="",SK!E210=0),"",H18/SK!E210)</f>
        <v/>
      </c>
      <c r="J18" s="479" t="str">
        <f>IF(OR(A18="",C18=0),"",SK!G210)</f>
        <v/>
      </c>
      <c r="K18" s="480" t="str">
        <f>IF(OR(A18="",C18=0),"",SK!H210)</f>
        <v/>
      </c>
      <c r="L18" s="481" t="str">
        <f>IF(OR(A18="",C18=0),"",SK!J210)</f>
        <v/>
      </c>
      <c r="M18" s="481" t="str">
        <f>IF(OR(A18="",C18=0),"",SK!L210)</f>
        <v/>
      </c>
      <c r="N18" s="793" t="str">
        <f>IF(OR(A18="",C18=0),"",SUMPRODUCT(--(Lineups!$A$4:$A$41="SP"),--(Lineups!$C$4:$C$41=A18))+SUMPRODUCT(--(Lineups!$A$46:$A$83="SP"),--(Lineups!$C$46:$C$83=A18)))</f>
        <v/>
      </c>
      <c r="O18" s="482" t="str">
        <f t="shared" si="8"/>
        <v/>
      </c>
      <c r="P18" s="483" t="str">
        <f>IF(OR(A18="",C18=0),"",SK!I210)</f>
        <v/>
      </c>
      <c r="Q18" s="484" t="str">
        <f t="shared" si="0"/>
        <v/>
      </c>
      <c r="R18" s="485" t="str">
        <f>IF(OR(A18="",F18=0),"",SUM(LU!Q67,LU!Q166))</f>
        <v/>
      </c>
      <c r="S18" s="486" t="str">
        <f>IF(OR(A18="",F18=0),"",SUM(LU!Q90,LU!Q189))</f>
        <v/>
      </c>
      <c r="T18" s="459" t="str">
        <f>IF(OR(A18="",F18=0),"",SUM(LU!Q44,LU!Q143))</f>
        <v/>
      </c>
      <c r="U18" s="486" t="str">
        <f>IF(OR(A18="",C18=0),"",SUM(LU!O44,LU!O143))</f>
        <v/>
      </c>
      <c r="V18" s="487" t="str">
        <f t="shared" si="1"/>
        <v/>
      </c>
      <c r="W18" s="488" t="str">
        <f>IF(OR(A18="",D18=0),"",SUM(LU!D44,LU!D143))</f>
        <v/>
      </c>
      <c r="X18" s="487" t="str">
        <f t="shared" si="2"/>
        <v/>
      </c>
      <c r="Y18" s="488" t="str">
        <f>IF(OR(A18="",E18=0),"",SUM(LU!J44,LU!J143))</f>
        <v/>
      </c>
      <c r="Z18" s="487" t="str">
        <f t="shared" si="3"/>
        <v/>
      </c>
      <c r="AA18" s="641" t="str">
        <f>IF(OR(A18="",AND(D18=0, E18=0)),"",SUM(LU!L44,LU!L143))</f>
        <v/>
      </c>
      <c r="AB18" s="642" t="str">
        <f t="shared" si="10"/>
        <v/>
      </c>
      <c r="AC18" s="484" t="str">
        <f t="shared" si="9"/>
        <v/>
      </c>
      <c r="AD18" s="489" t="str">
        <f>IF(OR(A18="",F18=0,R$26="-",LU!$D$5=0),"",R18-R$26)</f>
        <v/>
      </c>
      <c r="AE18" s="490" t="str">
        <f>IF(OR(A18="",F18=0,S$26="-",LU!$D$5=0),"",S18-S$26)</f>
        <v/>
      </c>
      <c r="AF18" s="491" t="str">
        <f t="shared" si="4"/>
        <v/>
      </c>
      <c r="AG18" s="492" t="str">
        <f t="shared" si="5"/>
        <v/>
      </c>
      <c r="AH18" s="492" t="str">
        <f t="shared" si="6"/>
        <v/>
      </c>
      <c r="AI18" s="493" t="str">
        <f t="shared" si="7"/>
        <v/>
      </c>
      <c r="AJ18" s="645" t="str">
        <f t="shared" si="11"/>
        <v/>
      </c>
      <c r="AK18" s="494" t="str">
        <f>IF(OR($A18="",AC18="",AC$26="-",LU!$D$5=0),"",AC18-AC$26)</f>
        <v/>
      </c>
      <c r="AL18" s="1277" t="str">
        <f>IF(OR(A18="",F18=0),"",SUM(PT!U27,PT!U28))</f>
        <v/>
      </c>
      <c r="AM18" s="1278"/>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7" t="str">
        <f>IF(A19="","",(SUM(C19:E19)-(SUMPRODUCT(--(Lineups!C$4:C$41=A19),--(Lineups!A$4:A$41="SP"))+SUMPRODUCT(--(Lineups!G$4:G$41=A19),--(Lineups!A$4:A$41="SP"))+SUMPRODUCT(--(Lineups!C$46:C$83=A19),--(Lineups!A$46:A$83="SP"))+SUMPRODUCT(--(Lineups!G$46:G$83=A19),--(Lineups!A$46:A$83="SP")))))</f>
        <v/>
      </c>
      <c r="G19" s="458" t="str">
        <f>IF(OR(A19="",F19=0,LU!D$3+LU!D$102=0),"",F19/(LU!D$3+LU!D$102))</f>
        <v/>
      </c>
      <c r="H19" s="459" t="str">
        <f>IF(OR(C19=0,A19=""),"",SK!D213)</f>
        <v/>
      </c>
      <c r="I19" s="460" t="str">
        <f>IF(OR(A19="",SK!E213="",SK!E213=0),"",H19/SK!E213)</f>
        <v/>
      </c>
      <c r="J19" s="479" t="str">
        <f>IF(OR(A19="",C19=0),"",SK!G213)</f>
        <v/>
      </c>
      <c r="K19" s="480" t="str">
        <f>IF(OR(A19="",C19=0),"",SK!H213)</f>
        <v/>
      </c>
      <c r="L19" s="481" t="str">
        <f>IF(OR(A19="",C19=0),"",SK!J213)</f>
        <v/>
      </c>
      <c r="M19" s="481" t="str">
        <f>IF(OR(A19="",C19=0),"",SK!L213)</f>
        <v/>
      </c>
      <c r="N19" s="793" t="str">
        <f>IF(OR(A19="",C19=0),"",SUMPRODUCT(--(Lineups!$A$4:$A$41="SP"),--(Lineups!$C$4:$C$41=A19))+SUMPRODUCT(--(Lineups!$A$46:$A$83="SP"),--(Lineups!$C$46:$C$83=A19)))</f>
        <v/>
      </c>
      <c r="O19" s="482" t="str">
        <f t="shared" si="8"/>
        <v/>
      </c>
      <c r="P19" s="483" t="str">
        <f>IF(OR(A19="",C19=0),"",SK!I213)</f>
        <v/>
      </c>
      <c r="Q19" s="484" t="str">
        <f t="shared" si="0"/>
        <v/>
      </c>
      <c r="R19" s="485" t="str">
        <f>IF(OR(A19="",F19=0),"",SUM(LU!Q68,LU!Q167))</f>
        <v/>
      </c>
      <c r="S19" s="486" t="str">
        <f>IF(OR(A19="",F19=0),"",SUM(LU!Q91,LU!Q190))</f>
        <v/>
      </c>
      <c r="T19" s="459" t="str">
        <f>IF(OR(A19="",F19=0),"",SUM(LU!Q45,LU!Q144))</f>
        <v/>
      </c>
      <c r="U19" s="486" t="str">
        <f>IF(OR(A19="",C19=0),"",SUM(LU!O45,LU!O144))</f>
        <v/>
      </c>
      <c r="V19" s="487" t="str">
        <f t="shared" si="1"/>
        <v/>
      </c>
      <c r="W19" s="488" t="str">
        <f>IF(OR(A19="",D19=0),"",SUM(LU!D45,LU!D144))</f>
        <v/>
      </c>
      <c r="X19" s="487" t="str">
        <f t="shared" si="2"/>
        <v/>
      </c>
      <c r="Y19" s="488" t="str">
        <f>IF(OR(A19="",E19=0),"",SUM(LU!J45,LU!J144))</f>
        <v/>
      </c>
      <c r="Z19" s="487" t="str">
        <f t="shared" si="3"/>
        <v/>
      </c>
      <c r="AA19" s="641" t="str">
        <f>IF(OR(A19="",AND(D19=0, E19=0)),"",SUM(LU!L45,LU!L144))</f>
        <v/>
      </c>
      <c r="AB19" s="642" t="str">
        <f t="shared" si="10"/>
        <v/>
      </c>
      <c r="AC19" s="484" t="str">
        <f t="shared" si="9"/>
        <v/>
      </c>
      <c r="AD19" s="489" t="str">
        <f>IF(OR(A19="",F19=0,R$26="-",LU!$D$5=0),"",R19-R$26)</f>
        <v/>
      </c>
      <c r="AE19" s="490" t="str">
        <f>IF(OR(A19="",F19=0,S$26="-",LU!$D$5=0),"",S19-S$26)</f>
        <v/>
      </c>
      <c r="AF19" s="491" t="str">
        <f t="shared" si="4"/>
        <v/>
      </c>
      <c r="AG19" s="492" t="str">
        <f t="shared" si="5"/>
        <v/>
      </c>
      <c r="AH19" s="492" t="str">
        <f t="shared" si="6"/>
        <v/>
      </c>
      <c r="AI19" s="493" t="str">
        <f t="shared" si="7"/>
        <v/>
      </c>
      <c r="AJ19" s="645" t="str">
        <f t="shared" si="11"/>
        <v/>
      </c>
      <c r="AK19" s="494" t="str">
        <f>IF(OR($A19="",AC19="",AC$26="-",LU!$D$5=0),"",AC19-AC$26)</f>
        <v/>
      </c>
      <c r="AL19" s="1277" t="str">
        <f>IF(OR(A19="",F19=0),"",SUM(PT!U29,PT!U30))</f>
        <v/>
      </c>
      <c r="AM19" s="1278"/>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7" t="str">
        <f>IF(A20="","",(SUM(C20:E20)-(SUMPRODUCT(--(Lineups!C$4:C$41=A20),--(Lineups!A$4:A$41="SP"))+SUMPRODUCT(--(Lineups!G$4:G$41=A20),--(Lineups!A$4:A$41="SP"))+SUMPRODUCT(--(Lineups!C$46:C$83=A20),--(Lineups!A$46:A$83="SP"))+SUMPRODUCT(--(Lineups!G$46:G$83=A20),--(Lineups!A$46:A$83="SP")))))</f>
        <v/>
      </c>
      <c r="G20" s="458" t="str">
        <f>IF(OR(A20="",F20=0,LU!D$3+LU!D$102=0),"",F20/(LU!D$3+LU!D$102))</f>
        <v/>
      </c>
      <c r="H20" s="459" t="str">
        <f>IF(OR(C20=0,A20=""),"",SK!D216)</f>
        <v/>
      </c>
      <c r="I20" s="460" t="str">
        <f>IF(OR(A20="",SK!E216="",SK!E216=0),"",H20/SK!E216)</f>
        <v/>
      </c>
      <c r="J20" s="479" t="str">
        <f>IF(OR(A20="",C20=0),"",SK!G216)</f>
        <v/>
      </c>
      <c r="K20" s="480" t="str">
        <f>IF(OR(A20="",C20=0),"",SK!H216)</f>
        <v/>
      </c>
      <c r="L20" s="481" t="str">
        <f>IF(OR(A20="",C20=0),"",SK!J216)</f>
        <v/>
      </c>
      <c r="M20" s="481" t="str">
        <f>IF(OR(A20="",C20=0),"",SK!L216)</f>
        <v/>
      </c>
      <c r="N20" s="793" t="str">
        <f>IF(OR(A20="",C20=0),"",SUMPRODUCT(--(Lineups!$A$4:$A$41="SP"),--(Lineups!$C$4:$C$41=A20))+SUMPRODUCT(--(Lineups!$A$46:$A$83="SP"),--(Lineups!$C$46:$C$83=A20)))</f>
        <v/>
      </c>
      <c r="O20" s="482" t="str">
        <f t="shared" si="8"/>
        <v/>
      </c>
      <c r="P20" s="483" t="str">
        <f>IF(OR(A20="",C20=0),"",SK!I216)</f>
        <v/>
      </c>
      <c r="Q20" s="484" t="str">
        <f t="shared" si="0"/>
        <v/>
      </c>
      <c r="R20" s="485" t="str">
        <f>IF(OR(A20="",F20=0),"",SUM(LU!Q69,LU!Q168))</f>
        <v/>
      </c>
      <c r="S20" s="486" t="str">
        <f>IF(OR(A20="",F20=0),"",SUM(LU!Q92,LU!Q191))</f>
        <v/>
      </c>
      <c r="T20" s="459" t="str">
        <f>IF(OR(A20="",F20=0),"",SUM(LU!Q46,LU!Q145))</f>
        <v/>
      </c>
      <c r="U20" s="486" t="str">
        <f>IF(OR(A20="",C20=0),"",SUM(LU!O46,LU!O145))</f>
        <v/>
      </c>
      <c r="V20" s="487" t="str">
        <f t="shared" si="1"/>
        <v/>
      </c>
      <c r="W20" s="488" t="str">
        <f>IF(OR(A20="",D20=0),"",SUM(LU!D46,LU!D145))</f>
        <v/>
      </c>
      <c r="X20" s="487" t="str">
        <f t="shared" si="2"/>
        <v/>
      </c>
      <c r="Y20" s="488" t="str">
        <f>IF(OR(A20="",E20=0),"",SUM(LU!J46,LU!J145))</f>
        <v/>
      </c>
      <c r="Z20" s="487" t="str">
        <f t="shared" si="3"/>
        <v/>
      </c>
      <c r="AA20" s="641" t="str">
        <f>IF(OR(A20="",AND(D20=0, E20=0)),"",SUM(LU!L46,LU!L145))</f>
        <v/>
      </c>
      <c r="AB20" s="642" t="str">
        <f t="shared" si="10"/>
        <v/>
      </c>
      <c r="AC20" s="484" t="str">
        <f t="shared" si="9"/>
        <v/>
      </c>
      <c r="AD20" s="489" t="str">
        <f>IF(OR(A20="",F20=0,R$26="-",LU!$D$5=0),"",R20-R$26)</f>
        <v/>
      </c>
      <c r="AE20" s="490" t="str">
        <f>IF(OR(A20="",F20=0,S$26="-",LU!$D$5=0),"",S20-S$26)</f>
        <v/>
      </c>
      <c r="AF20" s="491" t="str">
        <f t="shared" si="4"/>
        <v/>
      </c>
      <c r="AG20" s="492" t="str">
        <f t="shared" si="5"/>
        <v/>
      </c>
      <c r="AH20" s="492" t="str">
        <f t="shared" si="6"/>
        <v/>
      </c>
      <c r="AI20" s="493" t="str">
        <f t="shared" si="7"/>
        <v/>
      </c>
      <c r="AJ20" s="645" t="str">
        <f t="shared" si="11"/>
        <v/>
      </c>
      <c r="AK20" s="494" t="str">
        <f>IF(OR($A20="",AC20="",AC$26="-",LU!$D$5=0),"",AC20-AC$26)</f>
        <v/>
      </c>
      <c r="AL20" s="1277" t="str">
        <f>IF(OR(A20="",F20=0),"",SUM(PT!U31,PT!U32))</f>
        <v/>
      </c>
      <c r="AM20" s="1278"/>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7" t="str">
        <f>IF(A21="","",(SUM(C21:E21)-(SUMPRODUCT(--(Lineups!C$4:C$41=A21),--(Lineups!A$4:A$41="SP"))+SUMPRODUCT(--(Lineups!G$4:G$41=A21),--(Lineups!A$4:A$41="SP"))+SUMPRODUCT(--(Lineups!C$46:C$83=A21),--(Lineups!A$46:A$83="SP"))+SUMPRODUCT(--(Lineups!G$46:G$83=A21),--(Lineups!A$46:A$83="SP")))))</f>
        <v/>
      </c>
      <c r="G21" s="458" t="str">
        <f>IF(OR(A21="",F21=0,LU!D$3+LU!D$102=0),"",F21/(LU!D$3+LU!D$102))</f>
        <v/>
      </c>
      <c r="H21" s="459" t="str">
        <f>IF(OR(C21=0,A21=""),"",SK!D219)</f>
        <v/>
      </c>
      <c r="I21" s="460" t="str">
        <f>IF(OR(A21="",SK!E219="",SK!E219=0),"",H21/SK!E219)</f>
        <v/>
      </c>
      <c r="J21" s="479" t="str">
        <f>IF(OR(A21="",C21=0),"",SK!G219)</f>
        <v/>
      </c>
      <c r="K21" s="480" t="str">
        <f>IF(OR(A21="",C21=0),"",SK!H219)</f>
        <v/>
      </c>
      <c r="L21" s="481" t="str">
        <f>IF(OR(A21="",C21=0),"",SK!J219)</f>
        <v/>
      </c>
      <c r="M21" s="481" t="str">
        <f>IF(OR(A21="",C21=0),"",SK!L219)</f>
        <v/>
      </c>
      <c r="N21" s="793" t="str">
        <f>IF(OR(A21="",C21=0),"",SUMPRODUCT(--(Lineups!$A$4:$A$41="SP"),--(Lineups!$C$4:$C$41=A21))+SUMPRODUCT(--(Lineups!$A$46:$A$83="SP"),--(Lineups!$C$46:$C$83=A21)))</f>
        <v/>
      </c>
      <c r="O21" s="482" t="str">
        <f t="shared" si="8"/>
        <v/>
      </c>
      <c r="P21" s="483" t="str">
        <f>IF(OR(A21="",C21=0),"",SK!I219)</f>
        <v/>
      </c>
      <c r="Q21" s="484" t="str">
        <f t="shared" si="0"/>
        <v/>
      </c>
      <c r="R21" s="485" t="str">
        <f>IF(OR(A21="",F21=0),"",SUM(LU!Q70,LU!Q169))</f>
        <v/>
      </c>
      <c r="S21" s="486" t="str">
        <f>IF(OR(A21="",F21=0),"",SUM(LU!Q93,LU!Q192))</f>
        <v/>
      </c>
      <c r="T21" s="459" t="str">
        <f>IF(OR(A21="",F21=0),"",SUM(LU!Q47,LU!Q146))</f>
        <v/>
      </c>
      <c r="U21" s="486" t="str">
        <f>IF(OR(A21="",C21=0),"",SUM(LU!O47,LU!O146))</f>
        <v/>
      </c>
      <c r="V21" s="487" t="str">
        <f t="shared" si="1"/>
        <v/>
      </c>
      <c r="W21" s="488" t="str">
        <f>IF(OR(A21="",D21=0),"",SUM(LU!D47,LU!D146))</f>
        <v/>
      </c>
      <c r="X21" s="487" t="str">
        <f t="shared" si="2"/>
        <v/>
      </c>
      <c r="Y21" s="488" t="str">
        <f>IF(OR(A21="",E21=0),"",SUM(LU!J47,LU!J146))</f>
        <v/>
      </c>
      <c r="Z21" s="487" t="str">
        <f t="shared" si="3"/>
        <v/>
      </c>
      <c r="AA21" s="641" t="str">
        <f>IF(OR(A21="",AND(D21=0, E21=0)),"",SUM(LU!L47,LU!L146))</f>
        <v/>
      </c>
      <c r="AB21" s="642" t="str">
        <f t="shared" si="10"/>
        <v/>
      </c>
      <c r="AC21" s="484" t="str">
        <f t="shared" si="9"/>
        <v/>
      </c>
      <c r="AD21" s="489" t="str">
        <f>IF(OR(A21="",F21=0,R$26="-",LU!$D$5=0),"",R21-R$26)</f>
        <v/>
      </c>
      <c r="AE21" s="490" t="str">
        <f>IF(OR(A21="",F21=0,S$26="-",LU!$D$5=0),"",S21-S$26)</f>
        <v/>
      </c>
      <c r="AF21" s="491" t="str">
        <f t="shared" si="4"/>
        <v/>
      </c>
      <c r="AG21" s="492" t="str">
        <f t="shared" si="5"/>
        <v/>
      </c>
      <c r="AH21" s="492" t="str">
        <f t="shared" si="6"/>
        <v/>
      </c>
      <c r="AI21" s="493" t="str">
        <f t="shared" si="7"/>
        <v/>
      </c>
      <c r="AJ21" s="645" t="str">
        <f t="shared" si="11"/>
        <v/>
      </c>
      <c r="AK21" s="494" t="str">
        <f>IF(OR($A21="",AC21="",AC$26="-",LU!$D$5=0),"",AC21-AC$26)</f>
        <v/>
      </c>
      <c r="AL21" s="1277" t="str">
        <f>IF(OR(A21="",F21=0),"",SUM(PT!U33,PT!U34))</f>
        <v/>
      </c>
      <c r="AM21" s="1278"/>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7" t="str">
        <f>IF(A22="","",(SUM(C22:E22)-(SUMPRODUCT(--(Lineups!C$4:C$41=A22),--(Lineups!A$4:A$41="SP"))+SUMPRODUCT(--(Lineups!G$4:G$41=A22),--(Lineups!A$4:A$41="SP"))+SUMPRODUCT(--(Lineups!C$46:C$83=A22),--(Lineups!A$46:A$83="SP"))+SUMPRODUCT(--(Lineups!G$46:G$83=A22),--(Lineups!A$46:A$83="SP")))))</f>
        <v/>
      </c>
      <c r="G22" s="458" t="str">
        <f>IF(OR(A22="",F22=0,LU!D$3+LU!D$102=0),"",F22/(LU!D$3+LU!D$102))</f>
        <v/>
      </c>
      <c r="H22" s="459" t="str">
        <f>IF(OR(C22=0,A22=""),"",SK!D222)</f>
        <v/>
      </c>
      <c r="I22" s="460" t="str">
        <f>IF(OR(A22="",SK!E222="",SK!E222=0),"",H22/SK!E222)</f>
        <v/>
      </c>
      <c r="J22" s="479" t="str">
        <f>IF(OR(A22="",C22=0),"",SK!G222)</f>
        <v/>
      </c>
      <c r="K22" s="480" t="str">
        <f>IF(OR(A22="",C22=0),"",SK!H222)</f>
        <v/>
      </c>
      <c r="L22" s="481" t="str">
        <f>IF(OR(A22="",C22=0),"",SK!J222)</f>
        <v/>
      </c>
      <c r="M22" s="481" t="str">
        <f>IF(OR(A22="",C22=0),"",SK!L222)</f>
        <v/>
      </c>
      <c r="N22" s="793" t="str">
        <f>IF(OR(A22="",C22=0),"",SUMPRODUCT(--(Lineups!$A$4:$A$41="SP"),--(Lineups!$C$4:$C$41=A22))+SUMPRODUCT(--(Lineups!$A$46:$A$83="SP"),--(Lineups!$C$46:$C$83=A22)))</f>
        <v/>
      </c>
      <c r="O22" s="482" t="str">
        <f t="shared" si="8"/>
        <v/>
      </c>
      <c r="P22" s="483" t="str">
        <f>IF(OR(A22="",C22=0),"",SK!I222)</f>
        <v/>
      </c>
      <c r="Q22" s="484" t="str">
        <f t="shared" si="0"/>
        <v/>
      </c>
      <c r="R22" s="485" t="str">
        <f>IF(OR(A22="",F22=0),"",SUM(LU!Q71,LU!Q170))</f>
        <v/>
      </c>
      <c r="S22" s="486" t="str">
        <f>IF(OR(A22="",F22=0),"",SUM(LU!Q94,LU!Q193))</f>
        <v/>
      </c>
      <c r="T22" s="459" t="str">
        <f>IF(OR(A22="",F22=0),"",SUM(LU!Q48,LU!Q147))</f>
        <v/>
      </c>
      <c r="U22" s="486" t="str">
        <f>IF(OR(A22="",C22=0),"",SUM(LU!O48,LU!O147))</f>
        <v/>
      </c>
      <c r="V22" s="487" t="str">
        <f t="shared" si="1"/>
        <v/>
      </c>
      <c r="W22" s="488" t="str">
        <f>IF(OR(A22="",D22=0),"",SUM(LU!D48,LU!D147))</f>
        <v/>
      </c>
      <c r="X22" s="487" t="str">
        <f t="shared" si="2"/>
        <v/>
      </c>
      <c r="Y22" s="488" t="str">
        <f>IF(OR(A22="",E22=0),"",SUM(LU!J48,LU!J147))</f>
        <v/>
      </c>
      <c r="Z22" s="487" t="str">
        <f t="shared" si="3"/>
        <v/>
      </c>
      <c r="AA22" s="641" t="str">
        <f>IF(OR(A22="",AND(D22=0, E22=0)),"",SUM(LU!L48,LU!L147))</f>
        <v/>
      </c>
      <c r="AB22" s="642" t="str">
        <f t="shared" si="10"/>
        <v/>
      </c>
      <c r="AC22" s="484" t="str">
        <f t="shared" si="9"/>
        <v/>
      </c>
      <c r="AD22" s="489" t="str">
        <f>IF(OR(A22="",F22=0,R$26="-",LU!$D$5=0),"",R22-R$26)</f>
        <v/>
      </c>
      <c r="AE22" s="490" t="str">
        <f>IF(OR(A22="",F22=0,S$26="-",LU!$D$5=0),"",S22-S$26)</f>
        <v/>
      </c>
      <c r="AF22" s="491" t="str">
        <f t="shared" si="4"/>
        <v/>
      </c>
      <c r="AG22" s="492" t="str">
        <f t="shared" si="5"/>
        <v/>
      </c>
      <c r="AH22" s="492" t="str">
        <f t="shared" si="6"/>
        <v/>
      </c>
      <c r="AI22" s="493" t="str">
        <f t="shared" si="7"/>
        <v/>
      </c>
      <c r="AJ22" s="645" t="str">
        <f t="shared" si="11"/>
        <v/>
      </c>
      <c r="AK22" s="494" t="str">
        <f>IF(OR($A22="",AC22="",AC$26="-",LU!$D$5=0),"",AC22-AC$26)</f>
        <v/>
      </c>
      <c r="AL22" s="1277" t="str">
        <f>IF(OR(A22="",F22=0),"",SUM(PT!U35,PT!U36))</f>
        <v/>
      </c>
      <c r="AM22" s="1278"/>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7" t="str">
        <f>IF(A23="","",(SUM(C23:E23)-(SUMPRODUCT(--(Lineups!C$4:C$41=A23),--(Lineups!A$4:A$41="SP"))+SUMPRODUCT(--(Lineups!G$4:G$41=A23),--(Lineups!A$4:A$41="SP"))+SUMPRODUCT(--(Lineups!C$46:C$83=A23),--(Lineups!A$46:A$83="SP"))+SUMPRODUCT(--(Lineups!G$46:G$83=A23),--(Lineups!A$46:A$83="SP")))))</f>
        <v/>
      </c>
      <c r="G23" s="458" t="str">
        <f>IF(OR(A23="",F23=0,LU!D$3+LU!D$102=0),"",F23/(LU!D$3+LU!D$102))</f>
        <v/>
      </c>
      <c r="H23" s="459" t="str">
        <f>IF(OR(C23=0,A23=""),"",SK!D225)</f>
        <v/>
      </c>
      <c r="I23" s="460" t="str">
        <f>IF(OR(A23="",SK!E225="",SK!E225=0),"",H23/SK!E225)</f>
        <v/>
      </c>
      <c r="J23" s="479" t="str">
        <f>IF(OR(A23="",C23=0),"",SK!G225)</f>
        <v/>
      </c>
      <c r="K23" s="480" t="str">
        <f>IF(OR(A23="",C23=0),"",SK!H225)</f>
        <v/>
      </c>
      <c r="L23" s="481" t="str">
        <f>IF(OR(A23="",C23=0),"",SK!J225)</f>
        <v/>
      </c>
      <c r="M23" s="481" t="str">
        <f>IF(OR(A23="",C23=0),"",SK!L225)</f>
        <v/>
      </c>
      <c r="N23" s="793" t="str">
        <f>IF(OR(A23="",C23=0),"",SUMPRODUCT(--(Lineups!$A$4:$A$41="SP"),--(Lineups!$C$4:$C$41=A23))+SUMPRODUCT(--(Lineups!$A$46:$A$83="SP"),--(Lineups!$C$46:$C$83=A23)))</f>
        <v/>
      </c>
      <c r="O23" s="482" t="str">
        <f t="shared" si="8"/>
        <v/>
      </c>
      <c r="P23" s="483" t="str">
        <f>IF(OR(A23="",C23=0),"",SK!I225)</f>
        <v/>
      </c>
      <c r="Q23" s="484" t="str">
        <f t="shared" si="0"/>
        <v/>
      </c>
      <c r="R23" s="485" t="str">
        <f>IF(OR(A23="",F23=0),"",SUM(LU!Q72,LU!Q171))</f>
        <v/>
      </c>
      <c r="S23" s="486" t="str">
        <f>IF(OR(A23="",F23=0),"",SUM(LU!Q95,LU!Q194))</f>
        <v/>
      </c>
      <c r="T23" s="459" t="str">
        <f>IF(OR(A23="",F23=0),"",SUM(LU!Q49,LU!Q148))</f>
        <v/>
      </c>
      <c r="U23" s="486" t="str">
        <f>IF(OR(A23="",C23=0),"",SUM(LU!O49,LU!O148))</f>
        <v/>
      </c>
      <c r="V23" s="487" t="str">
        <f t="shared" si="1"/>
        <v/>
      </c>
      <c r="W23" s="488" t="str">
        <f>IF(OR(A23="",D23=0),"",SUM(LU!D49,LU!D148))</f>
        <v/>
      </c>
      <c r="X23" s="487" t="str">
        <f t="shared" si="2"/>
        <v/>
      </c>
      <c r="Y23" s="488" t="str">
        <f>IF(OR(A23="",E23=0),"",SUM(LU!J49,LU!J148))</f>
        <v/>
      </c>
      <c r="Z23" s="487" t="str">
        <f t="shared" si="3"/>
        <v/>
      </c>
      <c r="AA23" s="641" t="str">
        <f>IF(OR(A23="",AND(D23=0, E23=0)),"",SUM(LU!L49,LU!L148))</f>
        <v/>
      </c>
      <c r="AB23" s="642" t="str">
        <f t="shared" si="10"/>
        <v/>
      </c>
      <c r="AC23" s="484" t="str">
        <f t="shared" si="9"/>
        <v/>
      </c>
      <c r="AD23" s="489" t="str">
        <f>IF(OR(A23="",F23=0,R$26="-",LU!$D$5=0),"",R23-R$26)</f>
        <v/>
      </c>
      <c r="AE23" s="490" t="str">
        <f>IF(OR(A23="",F23=0,S$26="-",LU!$D$5=0),"",S23-S$26)</f>
        <v/>
      </c>
      <c r="AF23" s="491" t="str">
        <f t="shared" si="4"/>
        <v/>
      </c>
      <c r="AG23" s="492" t="str">
        <f t="shared" si="5"/>
        <v/>
      </c>
      <c r="AH23" s="492" t="str">
        <f t="shared" si="6"/>
        <v/>
      </c>
      <c r="AI23" s="493" t="str">
        <f t="shared" si="7"/>
        <v/>
      </c>
      <c r="AJ23" s="645" t="str">
        <f t="shared" si="11"/>
        <v/>
      </c>
      <c r="AK23" s="494" t="str">
        <f>IF(OR($A23="",AC23="",AC$26="-",LU!$D$5=0),"",AC23-AC$26)</f>
        <v/>
      </c>
      <c r="AL23" s="1277" t="str">
        <f>IF(OR(A23="",F23=0),"",SUM(PT!U37,PT!U38))</f>
        <v/>
      </c>
      <c r="AM23" s="1278"/>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7" t="str">
        <f>IF(A24="","",(SUM(C24:E24)-(SUMPRODUCT(--(Lineups!C$4:C$41=A24),--(Lineups!A$4:A$41="SP"))+SUMPRODUCT(--(Lineups!G$4:G$41=A24),--(Lineups!A$4:A$41="SP"))+SUMPRODUCT(--(Lineups!C$46:C$83=A24),--(Lineups!A$46:A$83="SP"))+SUMPRODUCT(--(Lineups!G$46:G$83=A24),--(Lineups!A$46:A$83="SP")))))</f>
        <v/>
      </c>
      <c r="G24" s="458" t="str">
        <f>IF(OR(A24="",F24=0,LU!D$3+LU!D$102=0),"",F24/(LU!D$3+LU!D$102))</f>
        <v/>
      </c>
      <c r="H24" s="459" t="str">
        <f>IF(OR(C24=0,A24=""),"",SK!D228)</f>
        <v/>
      </c>
      <c r="I24" s="460" t="str">
        <f>IF(OR(A24="",SK!E228="",SK!E228=0),"",H24/SK!E228)</f>
        <v/>
      </c>
      <c r="J24" s="479" t="str">
        <f>IF(OR(A24="",C24=0),"",SK!G228)</f>
        <v/>
      </c>
      <c r="K24" s="480" t="str">
        <f>IF(OR(A24="",C24=0),"",SK!H228)</f>
        <v/>
      </c>
      <c r="L24" s="481" t="str">
        <f>IF(OR(A24="",C24=0),"",SK!J228)</f>
        <v/>
      </c>
      <c r="M24" s="481" t="str">
        <f>IF(OR(A24="",C24=0),"",SK!L228)</f>
        <v/>
      </c>
      <c r="N24" s="793" t="str">
        <f>IF(OR(A24="",C24=0),"",SUMPRODUCT(--(Lineups!$A$4:$A$41="SP"),--(Lineups!$C$4:$C$41=A24))+SUMPRODUCT(--(Lineups!$A$46:$A$83="SP"),--(Lineups!$C$46:$C$83=A24)))</f>
        <v/>
      </c>
      <c r="O24" s="482" t="str">
        <f t="shared" si="8"/>
        <v/>
      </c>
      <c r="P24" s="483" t="str">
        <f>IF(OR(A24="",C24=0),"",SK!I228)</f>
        <v/>
      </c>
      <c r="Q24" s="484" t="str">
        <f t="shared" si="0"/>
        <v/>
      </c>
      <c r="R24" s="485" t="str">
        <f>IF(OR(A24="",F24=0),"",SUM(LU!Q73,LU!Q172))</f>
        <v/>
      </c>
      <c r="S24" s="486" t="str">
        <f>IF(OR(A24="",F24=0),"",SUM(LU!Q96,LU!Q195))</f>
        <v/>
      </c>
      <c r="T24" s="459" t="str">
        <f>IF(OR(A24="",F24=0),"",SUM(LU!Q50,LU!Q149))</f>
        <v/>
      </c>
      <c r="U24" s="486" t="str">
        <f>IF(OR(A24="",C24=0),"",SUM(LU!O50,LU!O149))</f>
        <v/>
      </c>
      <c r="V24" s="487" t="str">
        <f t="shared" si="1"/>
        <v/>
      </c>
      <c r="W24" s="488" t="str">
        <f>IF(OR(A24="",D24=0),"",SUM(LU!D50,LU!D149))</f>
        <v/>
      </c>
      <c r="X24" s="487" t="str">
        <f t="shared" si="2"/>
        <v/>
      </c>
      <c r="Y24" s="488" t="str">
        <f>IF(OR(A24="",E24=0),"",SUM(LU!J50,LU!J149))</f>
        <v/>
      </c>
      <c r="Z24" s="487" t="str">
        <f t="shared" si="3"/>
        <v/>
      </c>
      <c r="AA24" s="641" t="str">
        <f>IF(OR(A24="",AND(D24=0, E24=0)),"",SUM(LU!L50,LU!L149))</f>
        <v/>
      </c>
      <c r="AB24" s="642" t="str">
        <f t="shared" si="10"/>
        <v/>
      </c>
      <c r="AC24" s="484" t="str">
        <f t="shared" si="9"/>
        <v/>
      </c>
      <c r="AD24" s="489" t="str">
        <f>IF(OR(A24="",F24=0,R$26="-",LU!$D$5=0),"",R24-R$26)</f>
        <v/>
      </c>
      <c r="AE24" s="490" t="str">
        <f>IF(OR(A24="",F24=0,S$26="-",LU!$D$5=0),"",S24-S$26)</f>
        <v/>
      </c>
      <c r="AF24" s="491" t="str">
        <f t="shared" si="4"/>
        <v/>
      </c>
      <c r="AG24" s="492" t="str">
        <f t="shared" si="5"/>
        <v/>
      </c>
      <c r="AH24" s="492" t="str">
        <f t="shared" si="6"/>
        <v/>
      </c>
      <c r="AI24" s="493" t="str">
        <f t="shared" si="7"/>
        <v/>
      </c>
      <c r="AJ24" s="645" t="str">
        <f t="shared" si="11"/>
        <v/>
      </c>
      <c r="AK24" s="494" t="str">
        <f>IF(OR($A24="",AC24="",AC$26="-",LU!$D$5=0),"",AC24-AC$26)</f>
        <v/>
      </c>
      <c r="AL24" s="1277" t="str">
        <f>IF(OR(A24="",F24=0),"",SUM(PT!U39,PT!U40))</f>
        <v/>
      </c>
      <c r="AM24" s="1278"/>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1" t="str">
        <f>IF(A25="","",(SUM(C25:E25)-(SUMPRODUCT(--(Lineups!C$4:C$41=A25),--(Lineups!A$4:A$41="SP"))+SUMPRODUCT(--(Lineups!G$4:G$41=A25),--(Lineups!A$4:A$41="SP"))+SUMPRODUCT(--(Lineups!C$46:C$83=A25),--(Lineups!A$46:A$83="SP"))+SUMPRODUCT(--(Lineups!G$46:G$83=A25),--(Lineups!A$46:A$83="SP")))))</f>
        <v/>
      </c>
      <c r="G25" s="462" t="str">
        <f>IF(OR(A25="",F25=0,LU!D$3+LU!D$102=0),"",F25/(LU!D$3+LU!D$102))</f>
        <v/>
      </c>
      <c r="H25" s="459" t="str">
        <f>IF(OR(C25=0,A25=""),"",SK!D231)</f>
        <v/>
      </c>
      <c r="I25" s="460" t="str">
        <f>IF(OR(A25="",SK!E231="",SK!E231=0),"",H25/SK!E231)</f>
        <v/>
      </c>
      <c r="J25" s="479" t="str">
        <f>IF(OR(A25="",C25=0),"",SK!G231)</f>
        <v/>
      </c>
      <c r="K25" s="480" t="str">
        <f>IF(OR(A25="",C25=0),"",SK!H231)</f>
        <v/>
      </c>
      <c r="L25" s="481" t="str">
        <f>IF(OR(A25="",C25=0),"",SK!J231)</f>
        <v/>
      </c>
      <c r="M25" s="481" t="str">
        <f>IF(OR(A25="",C25=0),"",SK!L231)</f>
        <v/>
      </c>
      <c r="N25" s="793" t="str">
        <f>IF(OR(A25="",C25=0),"",SUMPRODUCT(--(Lineups!$A$4:$A$41="SP"),--(Lineups!$C$4:$C$41=A25))+SUMPRODUCT(--(Lineups!$A$46:$A$83="SP"),--(Lineups!$C$46:$C$83=A25)))</f>
        <v/>
      </c>
      <c r="O25" s="482" t="str">
        <f t="shared" si="8"/>
        <v/>
      </c>
      <c r="P25" s="495" t="str">
        <f>IF(OR(A25="",C25=0),"",SK!I231)</f>
        <v/>
      </c>
      <c r="Q25" s="496" t="str">
        <f t="shared" si="0"/>
        <v/>
      </c>
      <c r="R25" s="485" t="str">
        <f>IF(OR(A25="",F25=0),"",SUM(LU!Q74,LU!Q173))</f>
        <v/>
      </c>
      <c r="S25" s="486" t="str">
        <f>IF(OR(A25="",F25=0),"",SUM(LU!Q97,LU!Q196))</f>
        <v/>
      </c>
      <c r="T25" s="459" t="str">
        <f>IF(OR(A25="",F25=0),"",SUM(LU!Q51,LU!Q150))</f>
        <v/>
      </c>
      <c r="U25" s="486" t="str">
        <f>IF(OR(A25="",C25=0),"",SUM(LU!O51,LU!O150))</f>
        <v/>
      </c>
      <c r="V25" s="487" t="str">
        <f t="shared" si="1"/>
        <v/>
      </c>
      <c r="W25" s="488" t="str">
        <f>IF(OR(A25="",D25=0),"",SUM(LU!D51,LU!D150))</f>
        <v/>
      </c>
      <c r="X25" s="487" t="str">
        <f t="shared" si="2"/>
        <v/>
      </c>
      <c r="Y25" s="488" t="str">
        <f>IF(OR(A25="",E25=0),"",SUM(LU!J51,LU!J150))</f>
        <v/>
      </c>
      <c r="Z25" s="487" t="str">
        <f t="shared" si="3"/>
        <v/>
      </c>
      <c r="AA25" s="641" t="str">
        <f>IF(OR(A25="",AND(D25=0, E25=0)),"",SUM(LU!L51,LU!L150))</f>
        <v/>
      </c>
      <c r="AB25" s="642" t="str">
        <f t="shared" si="10"/>
        <v/>
      </c>
      <c r="AC25" s="497" t="str">
        <f t="shared" si="9"/>
        <v/>
      </c>
      <c r="AD25" s="489" t="str">
        <f>IF(OR(A25="",F25=0,R$26="-",LU!$D$5=0),"",R25-R$26)</f>
        <v/>
      </c>
      <c r="AE25" s="490" t="str">
        <f>IF(OR(A25="",F25=0,S$26="-",LU!$D$5=0),"",S25-S$26)</f>
        <v/>
      </c>
      <c r="AF25" s="491" t="str">
        <f t="shared" si="4"/>
        <v/>
      </c>
      <c r="AG25" s="492" t="str">
        <f t="shared" si="5"/>
        <v/>
      </c>
      <c r="AH25" s="492" t="str">
        <f t="shared" si="6"/>
        <v/>
      </c>
      <c r="AI25" s="493" t="str">
        <f t="shared" si="7"/>
        <v/>
      </c>
      <c r="AJ25" s="645" t="str">
        <f t="shared" si="11"/>
        <v/>
      </c>
      <c r="AK25" s="494" t="str">
        <f>IF(OR($A25="",AC25="",AC$26="-",LU!$D$5=0),"",AC25-AC$26)</f>
        <v/>
      </c>
      <c r="AL25" s="1279" t="str">
        <f>IF(OR(A25="",F25=0),"",SUM(PT!U41,PT!U42))</f>
        <v/>
      </c>
      <c r="AM25" s="1280"/>
    </row>
    <row r="26" spans="1:39" s="6" customFormat="1" ht="21.75" customHeight="1" thickBot="1" x14ac:dyDescent="0.25">
      <c r="A26" s="1281" t="s">
        <v>97</v>
      </c>
      <c r="B26" s="1281"/>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82">
        <f>SUM(AL6:AM25)</f>
        <v>0</v>
      </c>
      <c r="AM26" s="1283"/>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411</v>
      </c>
      <c r="N27" s="794" t="s">
        <v>465</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440</v>
      </c>
      <c r="AB27" s="128" t="s">
        <v>441</v>
      </c>
      <c r="AC27" s="81" t="s">
        <v>90</v>
      </c>
      <c r="AD27" s="130" t="s">
        <v>186</v>
      </c>
      <c r="AE27" s="130" t="s">
        <v>91</v>
      </c>
      <c r="AF27" s="82" t="s">
        <v>92</v>
      </c>
      <c r="AG27" s="131" t="s">
        <v>93</v>
      </c>
      <c r="AH27" s="131" t="s">
        <v>94</v>
      </c>
      <c r="AI27" s="131" t="s">
        <v>95</v>
      </c>
      <c r="AJ27" s="131" t="s">
        <v>442</v>
      </c>
      <c r="AK27" s="83" t="s">
        <v>96</v>
      </c>
      <c r="AL27" s="1265" t="s">
        <v>315</v>
      </c>
      <c r="AM27" s="1266"/>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1" t="str">
        <f>IF(A28="","",(SUM(C28:E28)-(SUMPRODUCT(--(Lineups!AC$4:AC$41=A28),--(Lineups!AA$4:AA$41="SP"))+SUMPRODUCT(--(Lineups!AG$4:AG$41=A28),--(Lineups!AA$4:AA$41="SP"))+SUMPRODUCT(--(Lineups!AC$46:AC$83=A28),--(Lineups!AA$46:AA$83="SP"))+SUMPRODUCT(--(Lineups!AG$46:AG$83=A28),--(Lineups!AA$46:AA$83="SP")))))</f>
        <v/>
      </c>
      <c r="G28" s="454" t="str">
        <f>IF(OR(A28="",F28=0,LU!D$3+LU!D$102=0),"",F28/(LU!D$3+LU!D$102))</f>
        <v/>
      </c>
      <c r="H28" s="455" t="str">
        <f>IF(OR(C28=0,A28=""),"",SK!T174)</f>
        <v/>
      </c>
      <c r="I28" s="456" t="str">
        <f>IF(OR(A28="",SK!U174="",SK!U174=0),"",H28/SK!U174)</f>
        <v/>
      </c>
      <c r="J28" s="463" t="str">
        <f>IF(OR(C28=0,A28=""),"",SK!W174)</f>
        <v/>
      </c>
      <c r="K28" s="464" t="str">
        <f>IF(OR(C28=0,A28=""),"",SK!X174)</f>
        <v/>
      </c>
      <c r="L28" s="465" t="str">
        <f>IF(OR(C28=0,A28=""),"",SK!Z174)</f>
        <v/>
      </c>
      <c r="M28" s="465" t="str">
        <f>IF(OR(C28=0,A28=""),"",SK!AB174)</f>
        <v/>
      </c>
      <c r="N28" s="792" t="str">
        <f>IF(OR(A28="",C28=0),"",SUMPRODUCT(--(Lineups!$AA$4:$AA$41="SP"),--(Lineups!$AC$4:$AC$41=A28))+SUMPRODUCT(--(Lineups!$AA$46:$AA$83="SP"),--(Lineups!$AC$46:$AC$83=A28)))</f>
        <v/>
      </c>
      <c r="O28" s="466" t="str">
        <f>IF(OR(A28="",C28="",(IF(C28="",0,C28)-IF(N28="",0,N28))=0),"",K28/(C28-N28))</f>
        <v/>
      </c>
      <c r="P28" s="467" t="str">
        <f>IF(OR(A28="",C28=0),"",SK!Y174)</f>
        <v/>
      </c>
      <c r="Q28" s="468" t="str">
        <f t="shared" ref="Q28:Q47" si="13">IF(OR(A28="",C28=0,K28=0),"",P28/K28)</f>
        <v/>
      </c>
      <c r="R28" s="469" t="str">
        <f>IF(OR(A28="",F28=0),"",SUM(LU!AJ55,LU!AJ154))</f>
        <v/>
      </c>
      <c r="S28" s="470" t="str">
        <f>IF(OR(A28="",F28=0),"",SUM(LU!AJ78,LU!AJ177))</f>
        <v/>
      </c>
      <c r="T28" s="455" t="str">
        <f>IF(OR(A28="",F28=0),"",SUM(LU!AJ32,LU!AJ131))</f>
        <v/>
      </c>
      <c r="U28" s="470" t="str">
        <f>IF(OR(A28="",C28=0),"",SUM(LU!AH32,LU!AH131))</f>
        <v/>
      </c>
      <c r="V28" s="471" t="str">
        <f t="shared" ref="V28:V47" si="14">IF(OR(A28="",C28=0),"",U28/C28)</f>
        <v/>
      </c>
      <c r="W28" s="472" t="str">
        <f>IF(OR(A28="",D28=0),"",SUM(LU!W32,LU!W131))</f>
        <v/>
      </c>
      <c r="X28" s="471" t="str">
        <f t="shared" ref="X28:X47" si="15">IF(OR(A28="",D28=0),"",W28/D28)</f>
        <v/>
      </c>
      <c r="Y28" s="472" t="str">
        <f>IF(OR(A28="",E28=0),"",SUM(LU!AC32,LU!AC131))</f>
        <v/>
      </c>
      <c r="Z28" s="471" t="str">
        <f t="shared" ref="Z28:Z47" si="16">IF(OR(A28="",E28=0),"",Y28/E28)</f>
        <v/>
      </c>
      <c r="AA28" s="639" t="str">
        <f>IF(OR(A28="",AND(D28=0, E28=0)),"",SUM(LU!AE32,LU!AE131))</f>
        <v/>
      </c>
      <c r="AB28" s="640" t="str">
        <f>IF(OR(A28="",AND(D28=0, E28=0)),"",AA28/(D28+E28))</f>
        <v/>
      </c>
      <c r="AC28" s="468" t="str">
        <f t="shared" ref="AC28:AC47" si="17">IF(OR(A28="",F28="",F28=0),"",T28/F28)</f>
        <v/>
      </c>
      <c r="AD28" s="473" t="str">
        <f>IF(OR(A28="",F28=0,R$48="-",LU!$W$5=0),"",R28-R$48)</f>
        <v/>
      </c>
      <c r="AE28" s="474" t="str">
        <f>IF(OR(A28="",F28=0,S$48="-",LU!$W$5=0),"",S28-S$48)</f>
        <v/>
      </c>
      <c r="AF28" s="475" t="str">
        <f t="shared" ref="AF28:AF47" si="18">IF(OR(A28="",F28=0,AD28=""),"",AD28-AE28)</f>
        <v/>
      </c>
      <c r="AG28" s="476" t="str">
        <f t="shared" ref="AG28:AG47" si="19">IF(OR($A28="",C28=0),"",V28-V$48)</f>
        <v/>
      </c>
      <c r="AH28" s="476" t="str">
        <f t="shared" ref="AH28:AH47" si="20">IF(OR($A28="",D28=0),"",X28-X$48)</f>
        <v/>
      </c>
      <c r="AI28" s="477" t="str">
        <f t="shared" ref="AI28:AI47" si="21">IF(OR($A28="",E28=0),"",Z28-Z$48)</f>
        <v/>
      </c>
      <c r="AJ28" s="644" t="str">
        <f>IF(OR($A28="",AND(D28=0, E28=0)),"",AB28-AB$48)</f>
        <v/>
      </c>
      <c r="AK28" s="478" t="str">
        <f>IF(OR($A28="",AC28="",AC$48="-",LU!$W$5=0),"",AC28-AC$48)</f>
        <v/>
      </c>
      <c r="AL28" s="1275" t="str">
        <f>IF(OR(A28="",F28=0),"",SUM(PT!U56,PT!U57))</f>
        <v/>
      </c>
      <c r="AM28" s="1276"/>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7" t="str">
        <f>IF(A29="","",(SUM(C29:E29)-(SUMPRODUCT(--(Lineups!AC$4:AC$41=A29),--(Lineups!AA$4:AA$41="SP"))+SUMPRODUCT(--(Lineups!AG$4:AG$41=A29),--(Lineups!AA$4:AA$41="SP"))+SUMPRODUCT(--(Lineups!AC$46:AC$83=A29),--(Lineups!AA$46:AA$83="SP"))+SUMPRODUCT(--(Lineups!AG$46:AG$83=A29),--(Lineups!AA$46:AA$83="SP")))))</f>
        <v/>
      </c>
      <c r="G29" s="458" t="str">
        <f>IF(OR(A29="",F29=0,LU!D$3+LU!D$102=0),"",F29/(LU!D$3+LU!D$102))</f>
        <v/>
      </c>
      <c r="H29" s="459" t="str">
        <f>IF(OR(C29=0,A29=""),"",SK!T177)</f>
        <v/>
      </c>
      <c r="I29" s="460" t="str">
        <f>IF(OR(A29="",SK!U177="",SK!U177=0),"",H29/SK!U177)</f>
        <v/>
      </c>
      <c r="J29" s="479" t="str">
        <f>IF(OR(C29=0,A29=""),"",SK!W177)</f>
        <v/>
      </c>
      <c r="K29" s="480" t="str">
        <f>IF(OR(C29=0,A29=""),"",SK!X177)</f>
        <v/>
      </c>
      <c r="L29" s="481" t="str">
        <f>IF(OR(C29=0,A29=""),"",SK!Z177)</f>
        <v/>
      </c>
      <c r="M29" s="481" t="str">
        <f>IF(OR(C29=0,A29=""),"",SK!AB177)</f>
        <v/>
      </c>
      <c r="N29" s="793" t="str">
        <f>IF(OR(A29="",C29=0),"",SUMPRODUCT(--(Lineups!$AA$4:$AA$41="SP"),--(Lineups!$AC$4:$AC$41=A29))+SUMPRODUCT(--(Lineups!$AA$46:$AA$83="SP"),--(Lineups!$AC$46:$AC$83=A29)))</f>
        <v/>
      </c>
      <c r="O29" s="482" t="str">
        <f t="shared" ref="O29:O47" si="22">IF(OR(A29="",C29="",(IF(C29="",0,C29)-IF(N29="",0,N29))=0),"",K29/(C29-N29))</f>
        <v/>
      </c>
      <c r="P29" s="483" t="str">
        <f>IF(OR(A29="",C29=0),"",SK!Y177)</f>
        <v/>
      </c>
      <c r="Q29" s="484" t="str">
        <f t="shared" si="13"/>
        <v/>
      </c>
      <c r="R29" s="485" t="str">
        <f>IF(OR(A29="",F29=0),"",SUM(LU!AJ56,LU!AJ155))</f>
        <v/>
      </c>
      <c r="S29" s="486" t="str">
        <f>IF(OR(A29="",F29=0),"",SUM(LU!AJ79,LU!AJ178))</f>
        <v/>
      </c>
      <c r="T29" s="459" t="str">
        <f>IF(OR(A29="",F29=0),"",SUM(LU!AJ33,LU!AJ132))</f>
        <v/>
      </c>
      <c r="U29" s="486" t="str">
        <f>IF(OR(A29="",C29=0),"",SUM(LU!AH33,LU!AH132))</f>
        <v/>
      </c>
      <c r="V29" s="487" t="str">
        <f t="shared" si="14"/>
        <v/>
      </c>
      <c r="W29" s="488" t="str">
        <f>IF(OR(A29="",D29=0),"",SUM(LU!W33,LU!W132))</f>
        <v/>
      </c>
      <c r="X29" s="487" t="str">
        <f t="shared" si="15"/>
        <v/>
      </c>
      <c r="Y29" s="488" t="str">
        <f>IF(OR(A29="",E29=0),"",SUM(LU!AC33,LU!AC132))</f>
        <v/>
      </c>
      <c r="Z29" s="487" t="str">
        <f t="shared" si="16"/>
        <v/>
      </c>
      <c r="AA29" s="641" t="str">
        <f>IF(OR(A29="",AND(D29=0, E29=0)),"",SUM(LU!AE33,LU!AE132))</f>
        <v/>
      </c>
      <c r="AB29" s="642" t="str">
        <f>IF(OR(A29="",AND(D29=0, E29=0)),"",AA29/(D29+E29))</f>
        <v/>
      </c>
      <c r="AC29" s="484" t="str">
        <f t="shared" si="17"/>
        <v/>
      </c>
      <c r="AD29" s="489" t="str">
        <f>IF(OR(A29="",F29=0,R$48="-",LU!$W$5=0),"",R29-R$48)</f>
        <v/>
      </c>
      <c r="AE29" s="490" t="str">
        <f>IF(OR(A29="",F29=0,S$48="-",LU!$W$5=0),"",S29-S$48)</f>
        <v/>
      </c>
      <c r="AF29" s="491" t="str">
        <f t="shared" si="18"/>
        <v/>
      </c>
      <c r="AG29" s="492" t="str">
        <f t="shared" si="19"/>
        <v/>
      </c>
      <c r="AH29" s="492" t="str">
        <f t="shared" si="20"/>
        <v/>
      </c>
      <c r="AI29" s="493" t="str">
        <f t="shared" si="21"/>
        <v/>
      </c>
      <c r="AJ29" s="645" t="str">
        <f>IF(OR($A29="",AND(D29=0, E29=0)),"",AB29-AB$48)</f>
        <v/>
      </c>
      <c r="AK29" s="494" t="str">
        <f>IF(OR($A29="",AC29="",AC$48="-",LU!$W$5=0),"",AC29-AC$48)</f>
        <v/>
      </c>
      <c r="AL29" s="1277" t="str">
        <f>IF(OR(A29="",F29=0),"",SUM(PT!U58,PT!U59))</f>
        <v/>
      </c>
      <c r="AM29" s="1278"/>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7" t="str">
        <f>IF(A30="","",(SUM(C30:E30)-(SUMPRODUCT(--(Lineups!AC$4:AC$41=A30),--(Lineups!AA$4:AA$41="SP"))+SUMPRODUCT(--(Lineups!AG$4:AG$41=A30),--(Lineups!AA$4:AA$41="SP"))+SUMPRODUCT(--(Lineups!AC$46:AC$83=A30),--(Lineups!AA$46:AA$83="SP"))+SUMPRODUCT(--(Lineups!AG$46:AG$83=A30),--(Lineups!AA$46:AA$83="SP")))))</f>
        <v/>
      </c>
      <c r="G30" s="458" t="str">
        <f>IF(OR(A30="",F30=0,LU!D$3+LU!D$102=0),"",F30/(LU!D$3+LU!D$102))</f>
        <v/>
      </c>
      <c r="H30" s="459" t="str">
        <f>IF(OR(C30=0,A30=""),"",SK!T180)</f>
        <v/>
      </c>
      <c r="I30" s="460" t="str">
        <f>IF(OR(A30="",SK!U180="",SK!U180=0),"",H30/SK!U180)</f>
        <v/>
      </c>
      <c r="J30" s="479" t="str">
        <f>IF(OR(C30=0,A30=""),"",SK!W180)</f>
        <v/>
      </c>
      <c r="K30" s="480" t="str">
        <f>IF(OR(C30=0,A30=""),"",SK!X180)</f>
        <v/>
      </c>
      <c r="L30" s="481" t="str">
        <f>IF(OR(C30=0,A30=""),"",SK!Z180)</f>
        <v/>
      </c>
      <c r="M30" s="481" t="str">
        <f>IF(OR(C30=0,A30=""),"",SK!AB180)</f>
        <v/>
      </c>
      <c r="N30" s="793" t="str">
        <f>IF(OR(A30="",C30=0),"",SUMPRODUCT(--(Lineups!$AA$4:$AA$41="SP"),--(Lineups!$AC$4:$AC$41=A30))+SUMPRODUCT(--(Lineups!$AA$46:$AA$83="SP"),--(Lineups!$AC$46:$AC$83=A30)))</f>
        <v/>
      </c>
      <c r="O30" s="482" t="str">
        <f t="shared" si="22"/>
        <v/>
      </c>
      <c r="P30" s="483" t="str">
        <f>IF(OR(A30="",C30=0),"",SK!Y180)</f>
        <v/>
      </c>
      <c r="Q30" s="484" t="str">
        <f t="shared" si="13"/>
        <v/>
      </c>
      <c r="R30" s="485" t="str">
        <f>IF(OR(A30="",F30=0),"",SUM(LU!AJ57,LU!AJ156))</f>
        <v/>
      </c>
      <c r="S30" s="486" t="str">
        <f>IF(OR(A30="",F30=0),"",SUM(LU!AJ80,LU!AJ179))</f>
        <v/>
      </c>
      <c r="T30" s="459" t="str">
        <f>IF(OR(A30="",F30=0),"",SUM(LU!AJ34,LU!AJ133))</f>
        <v/>
      </c>
      <c r="U30" s="486" t="str">
        <f>IF(OR(A30="",C30=0),"",SUM(LU!AH34,LU!AH133))</f>
        <v/>
      </c>
      <c r="V30" s="487" t="str">
        <f t="shared" si="14"/>
        <v/>
      </c>
      <c r="W30" s="488" t="str">
        <f>IF(OR(A30="",D30=0),"",SUM(LU!W34,LU!W133))</f>
        <v/>
      </c>
      <c r="X30" s="487" t="str">
        <f t="shared" si="15"/>
        <v/>
      </c>
      <c r="Y30" s="488" t="str">
        <f>IF(OR(A30="",E30=0),"",SUM(LU!AC34,LU!AC133))</f>
        <v/>
      </c>
      <c r="Z30" s="487" t="str">
        <f t="shared" si="16"/>
        <v/>
      </c>
      <c r="AA30" s="641" t="str">
        <f>IF(OR(A30="",AND(D30=0, E30=0)),"",SUM(LU!AE34,LU!AE133))</f>
        <v/>
      </c>
      <c r="AB30" s="642" t="str">
        <f t="shared" ref="AB30:AB47" si="23">IF(OR(A30="",AND(D30=0, E30=0)),"",AA30/(D30+E30))</f>
        <v/>
      </c>
      <c r="AC30" s="484" t="str">
        <f t="shared" si="17"/>
        <v/>
      </c>
      <c r="AD30" s="489" t="str">
        <f>IF(OR(A30="",F30=0,R$48="-",LU!$W$5=0),"",R30-R$48)</f>
        <v/>
      </c>
      <c r="AE30" s="490" t="str">
        <f>IF(OR(A30="",F30=0,S$48="-",LU!$W$5=0),"",S30-S$48)</f>
        <v/>
      </c>
      <c r="AF30" s="491" t="str">
        <f t="shared" si="18"/>
        <v/>
      </c>
      <c r="AG30" s="492" t="str">
        <f t="shared" si="19"/>
        <v/>
      </c>
      <c r="AH30" s="492" t="str">
        <f t="shared" si="20"/>
        <v/>
      </c>
      <c r="AI30" s="493" t="str">
        <f t="shared" si="21"/>
        <v/>
      </c>
      <c r="AJ30" s="645" t="str">
        <f t="shared" ref="AJ30:AJ47" si="24">IF(OR($A30="",AND(D30=0, E30=0)),"",AB30-AB$48)</f>
        <v/>
      </c>
      <c r="AK30" s="494" t="str">
        <f>IF(OR($A30="",AC30="",AC$48="-",LU!$W$5=0),"",AC30-AC$48)</f>
        <v/>
      </c>
      <c r="AL30" s="1277" t="str">
        <f>IF(OR(A30="",F30=0),"",SUM(PT!U60,PT!U61))</f>
        <v/>
      </c>
      <c r="AM30" s="1278"/>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7" t="str">
        <f>IF(A31="","",(SUM(C31:E31)-(SUMPRODUCT(--(Lineups!AC$4:AC$41=A31),--(Lineups!AA$4:AA$41="SP"))+SUMPRODUCT(--(Lineups!AG$4:AG$41=A31),--(Lineups!AA$4:AA$41="SP"))+SUMPRODUCT(--(Lineups!AC$46:AC$83=A31),--(Lineups!AA$46:AA$83="SP"))+SUMPRODUCT(--(Lineups!AG$46:AG$83=A31),--(Lineups!AA$46:AA$83="SP")))))</f>
        <v/>
      </c>
      <c r="G31" s="458" t="str">
        <f>IF(OR(A31="",F31=0,LU!D$3+LU!D$102=0),"",F31/(LU!D$3+LU!D$102))</f>
        <v/>
      </c>
      <c r="H31" s="459" t="str">
        <f>IF(OR(C31=0,A31=""),"",SK!T183)</f>
        <v/>
      </c>
      <c r="I31" s="460" t="str">
        <f>IF(OR(A31="",SK!U183="",SK!U183=0),"",H31/SK!U183)</f>
        <v/>
      </c>
      <c r="J31" s="479" t="str">
        <f>IF(OR(C31=0,A31=""),"",SK!W183)</f>
        <v/>
      </c>
      <c r="K31" s="480" t="str">
        <f>IF(OR(C31=0,A31=""),"",SK!X183)</f>
        <v/>
      </c>
      <c r="L31" s="481" t="str">
        <f>IF(OR(C31=0,A31=""),"",SK!Z183)</f>
        <v/>
      </c>
      <c r="M31" s="481" t="str">
        <f>IF(OR(C31=0,A31=""),"",SK!AB183)</f>
        <v/>
      </c>
      <c r="N31" s="793" t="str">
        <f>IF(OR(A31="",C31=0),"",SUMPRODUCT(--(Lineups!$AA$4:$AA$41="SP"),--(Lineups!$AC$4:$AC$41=A31))+SUMPRODUCT(--(Lineups!$AA$46:$AA$83="SP"),--(Lineups!$AC$46:$AC$83=A31)))</f>
        <v/>
      </c>
      <c r="O31" s="482" t="str">
        <f t="shared" si="22"/>
        <v/>
      </c>
      <c r="P31" s="483" t="str">
        <f>IF(OR(A31="",C31=0),"",SK!Y183)</f>
        <v/>
      </c>
      <c r="Q31" s="484" t="str">
        <f t="shared" si="13"/>
        <v/>
      </c>
      <c r="R31" s="485" t="str">
        <f>IF(OR(A31="",F31=0),"",SUM(LU!AJ58,LU!AJ157))</f>
        <v/>
      </c>
      <c r="S31" s="486" t="str">
        <f>IF(OR(A31="",F31=0),"",SUM(LU!AJ81,LU!AJ180))</f>
        <v/>
      </c>
      <c r="T31" s="459" t="str">
        <f>IF(OR(A31="",F31=0),"",SUM(LU!AJ35,LU!AJ134))</f>
        <v/>
      </c>
      <c r="U31" s="486" t="str">
        <f>IF(OR(A31="",C31=0),"",SUM(LU!AH35,LU!AH134))</f>
        <v/>
      </c>
      <c r="V31" s="487" t="str">
        <f t="shared" si="14"/>
        <v/>
      </c>
      <c r="W31" s="488" t="str">
        <f>IF(OR(A31="",D31=0),"",SUM(LU!W35,LU!W134))</f>
        <v/>
      </c>
      <c r="X31" s="487" t="str">
        <f t="shared" si="15"/>
        <v/>
      </c>
      <c r="Y31" s="488" t="str">
        <f>IF(OR(A31="",E31=0),"",SUM(LU!AC35,LU!AC134))</f>
        <v/>
      </c>
      <c r="Z31" s="487" t="str">
        <f t="shared" si="16"/>
        <v/>
      </c>
      <c r="AA31" s="641" t="str">
        <f>IF(OR(A31="",AND(D31=0, E31=0)),"",SUM(LU!AE35,LU!AE134))</f>
        <v/>
      </c>
      <c r="AB31" s="642" t="str">
        <f t="shared" si="23"/>
        <v/>
      </c>
      <c r="AC31" s="484" t="str">
        <f t="shared" si="17"/>
        <v/>
      </c>
      <c r="AD31" s="489" t="str">
        <f>IF(OR(A31="",F31=0,R$48="-",LU!$W$5=0),"",R31-R$48)</f>
        <v/>
      </c>
      <c r="AE31" s="490" t="str">
        <f>IF(OR(A31="",F31=0,S$48="-",LU!$W$5=0),"",S31-S$48)</f>
        <v/>
      </c>
      <c r="AF31" s="491" t="str">
        <f t="shared" si="18"/>
        <v/>
      </c>
      <c r="AG31" s="492" t="str">
        <f t="shared" si="19"/>
        <v/>
      </c>
      <c r="AH31" s="492" t="str">
        <f t="shared" si="20"/>
        <v/>
      </c>
      <c r="AI31" s="493" t="str">
        <f t="shared" si="21"/>
        <v/>
      </c>
      <c r="AJ31" s="645" t="str">
        <f t="shared" si="24"/>
        <v/>
      </c>
      <c r="AK31" s="494" t="str">
        <f>IF(OR($A31="",AC31="",AC$48="-",LU!$W$5=0),"",AC31-AC$48)</f>
        <v/>
      </c>
      <c r="AL31" s="1277" t="str">
        <f>IF(OR(A31="",F31=0),"",SUM(PT!U62,PT!U63))</f>
        <v/>
      </c>
      <c r="AM31" s="1278"/>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7" t="str">
        <f>IF(A32="","",(SUM(C32:E32)-(SUMPRODUCT(--(Lineups!AC$4:AC$41=A32),--(Lineups!AA$4:AA$41="SP"))+SUMPRODUCT(--(Lineups!AG$4:AG$41=A32),--(Lineups!AA$4:AA$41="SP"))+SUMPRODUCT(--(Lineups!AC$46:AC$83=A32),--(Lineups!AA$46:AA$83="SP"))+SUMPRODUCT(--(Lineups!AG$46:AG$83=A32),--(Lineups!AA$46:AA$83="SP")))))</f>
        <v/>
      </c>
      <c r="G32" s="458" t="str">
        <f>IF(OR(A32="",F32=0,LU!D$3+LU!D$102=0),"",F32/(LU!D$3+LU!D$102))</f>
        <v/>
      </c>
      <c r="H32" s="459" t="str">
        <f>IF(OR(C32=0,A32=""),"",SK!T186)</f>
        <v/>
      </c>
      <c r="I32" s="460" t="str">
        <f>IF(OR(A32="",SK!U186="",SK!U186=0),"",H32/SK!U186)</f>
        <v/>
      </c>
      <c r="J32" s="479" t="str">
        <f>IF(OR(C32=0,A32=""),"",SK!W186)</f>
        <v/>
      </c>
      <c r="K32" s="480" t="str">
        <f>IF(OR(C32=0,A32=""),"",SK!X186)</f>
        <v/>
      </c>
      <c r="L32" s="481" t="str">
        <f>IF(OR(C32=0,A32=""),"",SK!Z186)</f>
        <v/>
      </c>
      <c r="M32" s="481" t="str">
        <f>IF(OR(C32=0,A32=""),"",SK!AB186)</f>
        <v/>
      </c>
      <c r="N32" s="793" t="str">
        <f>IF(OR(A32="",C32=0),"",SUMPRODUCT(--(Lineups!$AA$4:$AA$41="SP"),--(Lineups!$AC$4:$AC$41=A32))+SUMPRODUCT(--(Lineups!$AA$46:$AA$83="SP"),--(Lineups!$AC$46:$AC$83=A32)))</f>
        <v/>
      </c>
      <c r="O32" s="482" t="str">
        <f t="shared" si="22"/>
        <v/>
      </c>
      <c r="P32" s="483" t="str">
        <f>IF(OR(A32="",C32=0),"",SK!Y186)</f>
        <v/>
      </c>
      <c r="Q32" s="484" t="str">
        <f t="shared" si="13"/>
        <v/>
      </c>
      <c r="R32" s="485" t="str">
        <f>IF(OR(A32="",F32=0),"",SUM(LU!AJ59,LU!AJ158))</f>
        <v/>
      </c>
      <c r="S32" s="486" t="str">
        <f>IF(OR(A32="",F32=0),"",SUM(LU!AJ82,LU!AJ181))</f>
        <v/>
      </c>
      <c r="T32" s="459" t="str">
        <f>IF(OR(A32="",F32=0),"",SUM(LU!AJ36,LU!AJ135))</f>
        <v/>
      </c>
      <c r="U32" s="486" t="str">
        <f>IF(OR(A32="",C32=0),"",SUM(LU!AH36,LU!AH135))</f>
        <v/>
      </c>
      <c r="V32" s="487" t="str">
        <f t="shared" si="14"/>
        <v/>
      </c>
      <c r="W32" s="488" t="str">
        <f>IF(OR(A32="",D32=0),"",SUM(LU!W36,LU!W135))</f>
        <v/>
      </c>
      <c r="X32" s="487" t="str">
        <f t="shared" si="15"/>
        <v/>
      </c>
      <c r="Y32" s="488" t="str">
        <f>IF(OR(A32="",E32=0),"",SUM(LU!AC36,LU!AC135))</f>
        <v/>
      </c>
      <c r="Z32" s="487" t="str">
        <f t="shared" si="16"/>
        <v/>
      </c>
      <c r="AA32" s="641" t="str">
        <f>IF(OR(A32="",AND(D32=0, E32=0)),"",SUM(LU!AE36,LU!AE135))</f>
        <v/>
      </c>
      <c r="AB32" s="642" t="str">
        <f t="shared" si="23"/>
        <v/>
      </c>
      <c r="AC32" s="484" t="str">
        <f t="shared" si="17"/>
        <v/>
      </c>
      <c r="AD32" s="489" t="str">
        <f>IF(OR(A32="",F32=0,R$48="-",LU!$W$5=0),"",R32-R$48)</f>
        <v/>
      </c>
      <c r="AE32" s="490" t="str">
        <f>IF(OR(A32="",F32=0,S$48="-",LU!$W$5=0),"",S32-S$48)</f>
        <v/>
      </c>
      <c r="AF32" s="491" t="str">
        <f t="shared" si="18"/>
        <v/>
      </c>
      <c r="AG32" s="492" t="str">
        <f t="shared" si="19"/>
        <v/>
      </c>
      <c r="AH32" s="492" t="str">
        <f t="shared" si="20"/>
        <v/>
      </c>
      <c r="AI32" s="493" t="str">
        <f t="shared" si="21"/>
        <v/>
      </c>
      <c r="AJ32" s="645" t="str">
        <f t="shared" si="24"/>
        <v/>
      </c>
      <c r="AK32" s="494" t="str">
        <f>IF(OR($A32="",AC32="",AC$48="-",LU!$W$5=0),"",AC32-AC$48)</f>
        <v/>
      </c>
      <c r="AL32" s="1277" t="str">
        <f>IF(OR(A32="",F32=0),"",SUM(PT!U64,PT!U65))</f>
        <v/>
      </c>
      <c r="AM32" s="1278"/>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7" t="str">
        <f>IF(A33="","",(SUM(C33:E33)-(SUMPRODUCT(--(Lineups!AC$4:AC$41=A33),--(Lineups!AA$4:AA$41="SP"))+SUMPRODUCT(--(Lineups!AG$4:AG$41=A33),--(Lineups!AA$4:AA$41="SP"))+SUMPRODUCT(--(Lineups!AC$46:AC$83=A33),--(Lineups!AA$46:AA$83="SP"))+SUMPRODUCT(--(Lineups!AG$46:AG$83=A33),--(Lineups!AA$46:AA$83="SP")))))</f>
        <v/>
      </c>
      <c r="G33" s="458" t="str">
        <f>IF(OR(A33="",F33=0,LU!D$3+LU!D$102=0),"",F33/(LU!D$3+LU!D$102))</f>
        <v/>
      </c>
      <c r="H33" s="459" t="str">
        <f>IF(OR(C33=0,A33=""),"",SK!T189)</f>
        <v/>
      </c>
      <c r="I33" s="460" t="str">
        <f>IF(OR(A33="",SK!U189="",SK!U189=0),"",H33/SK!U189)</f>
        <v/>
      </c>
      <c r="J33" s="479" t="str">
        <f>IF(OR(C33=0,A33=""),"",SK!W189)</f>
        <v/>
      </c>
      <c r="K33" s="480" t="str">
        <f>IF(OR(C33=0,A33=""),"",SK!X189)</f>
        <v/>
      </c>
      <c r="L33" s="481" t="str">
        <f>IF(OR(C33=0,A33=""),"",SK!Z189)</f>
        <v/>
      </c>
      <c r="M33" s="481" t="str">
        <f>IF(OR(C33=0,A33=""),"",SK!AB189)</f>
        <v/>
      </c>
      <c r="N33" s="793" t="str">
        <f>IF(OR(A33="",C33=0),"",SUMPRODUCT(--(Lineups!$AA$4:$AA$41="SP"),--(Lineups!$AC$4:$AC$41=A33))+SUMPRODUCT(--(Lineups!$AA$46:$AA$83="SP"),--(Lineups!$AC$46:$AC$83=A33)))</f>
        <v/>
      </c>
      <c r="O33" s="482" t="str">
        <f t="shared" si="22"/>
        <v/>
      </c>
      <c r="P33" s="483" t="str">
        <f>IF(OR(A33="",C33=0),"",SK!Y189)</f>
        <v/>
      </c>
      <c r="Q33" s="484" t="str">
        <f t="shared" si="13"/>
        <v/>
      </c>
      <c r="R33" s="485" t="str">
        <f>IF(OR(A33="",F33=0),"",SUM(LU!AJ60,LU!AJ159))</f>
        <v/>
      </c>
      <c r="S33" s="486" t="str">
        <f>IF(OR(A33="",F33=0),"",SUM(LU!AJ83,LU!AJ182))</f>
        <v/>
      </c>
      <c r="T33" s="459" t="str">
        <f>IF(OR(A33="",F33=0),"",SUM(LU!AJ37,LU!AJ136))</f>
        <v/>
      </c>
      <c r="U33" s="486" t="str">
        <f>IF(OR(A33="",C33=0),"",SUM(LU!AH37,LU!AH136))</f>
        <v/>
      </c>
      <c r="V33" s="487" t="str">
        <f t="shared" si="14"/>
        <v/>
      </c>
      <c r="W33" s="488" t="str">
        <f>IF(OR(A33="",D33=0),"",SUM(LU!W37,LU!W136))</f>
        <v/>
      </c>
      <c r="X33" s="487" t="str">
        <f t="shared" si="15"/>
        <v/>
      </c>
      <c r="Y33" s="488" t="str">
        <f>IF(OR(A33="",E33=0),"",SUM(LU!AC37,LU!AC136))</f>
        <v/>
      </c>
      <c r="Z33" s="487" t="str">
        <f t="shared" si="16"/>
        <v/>
      </c>
      <c r="AA33" s="641" t="str">
        <f>IF(OR(A33="",AND(D33=0, E33=0)),"",SUM(LU!AE37,LU!AE136))</f>
        <v/>
      </c>
      <c r="AB33" s="642" t="str">
        <f t="shared" si="23"/>
        <v/>
      </c>
      <c r="AC33" s="484" t="str">
        <f t="shared" si="17"/>
        <v/>
      </c>
      <c r="AD33" s="489" t="str">
        <f>IF(OR(A33="",F33=0,R$48="-",LU!$W$5=0),"",R33-R$48)</f>
        <v/>
      </c>
      <c r="AE33" s="490" t="str">
        <f>IF(OR(A33="",F33=0,S$48="-",LU!$W$5=0),"",S33-S$48)</f>
        <v/>
      </c>
      <c r="AF33" s="491" t="str">
        <f t="shared" si="18"/>
        <v/>
      </c>
      <c r="AG33" s="492" t="str">
        <f t="shared" si="19"/>
        <v/>
      </c>
      <c r="AH33" s="492" t="str">
        <f t="shared" si="20"/>
        <v/>
      </c>
      <c r="AI33" s="493" t="str">
        <f t="shared" si="21"/>
        <v/>
      </c>
      <c r="AJ33" s="645" t="str">
        <f t="shared" si="24"/>
        <v/>
      </c>
      <c r="AK33" s="494" t="str">
        <f>IF(OR($A33="",AC33="",AC$48="-",LU!$W$5=0),"",AC33-AC$48)</f>
        <v/>
      </c>
      <c r="AL33" s="1277" t="str">
        <f>IF(OR(A33="",F33=0),"",SUM(PT!U66,PT!U67))</f>
        <v/>
      </c>
      <c r="AM33" s="1278"/>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7" t="str">
        <f>IF(A34="","",(SUM(C34:E34)-(SUMPRODUCT(--(Lineups!AC$4:AC$41=A34),--(Lineups!AA$4:AA$41="SP"))+SUMPRODUCT(--(Lineups!AG$4:AG$41=A34),--(Lineups!AA$4:AA$41="SP"))+SUMPRODUCT(--(Lineups!AC$46:AC$83=A34),--(Lineups!AA$46:AA$83="SP"))+SUMPRODUCT(--(Lineups!AG$46:AG$83=A34),--(Lineups!AA$46:AA$83="SP")))))</f>
        <v/>
      </c>
      <c r="G34" s="458" t="str">
        <f>IF(OR(A34="",F34=0,LU!D$3+LU!D$102=0),"",F34/(LU!D$3+LU!D$102))</f>
        <v/>
      </c>
      <c r="H34" s="459" t="str">
        <f>IF(OR(C34=0,A34=""),"",SK!T192)</f>
        <v/>
      </c>
      <c r="I34" s="460" t="str">
        <f>IF(OR(A34="",SK!U192="",SK!U192=0),"",H34/SK!U192)</f>
        <v/>
      </c>
      <c r="J34" s="479" t="str">
        <f>IF(OR(C34=0,A34=""),"",SK!W192)</f>
        <v/>
      </c>
      <c r="K34" s="480" t="str">
        <f>IF(OR(C34=0,A34=""),"",SK!X192)</f>
        <v/>
      </c>
      <c r="L34" s="481" t="str">
        <f>IF(OR(C34=0,A34=""),"",SK!Z192)</f>
        <v/>
      </c>
      <c r="M34" s="481" t="str">
        <f>IF(OR(C34=0,A34=""),"",SK!AB192)</f>
        <v/>
      </c>
      <c r="N34" s="793" t="str">
        <f>IF(OR(A34="",C34=0),"",SUMPRODUCT(--(Lineups!$AA$4:$AA$41="SP"),--(Lineups!$AC$4:$AC$41=A34))+SUMPRODUCT(--(Lineups!$AA$46:$AA$83="SP"),--(Lineups!$AC$46:$AC$83=A34)))</f>
        <v/>
      </c>
      <c r="O34" s="482" t="str">
        <f t="shared" si="22"/>
        <v/>
      </c>
      <c r="P34" s="483" t="str">
        <f>IF(OR(A34="",C34=0),"",SK!Y192)</f>
        <v/>
      </c>
      <c r="Q34" s="484" t="str">
        <f t="shared" si="13"/>
        <v/>
      </c>
      <c r="R34" s="485" t="str">
        <f>IF(OR(A34="",F34=0),"",SUM(LU!AJ61,LU!AJ160))</f>
        <v/>
      </c>
      <c r="S34" s="486" t="str">
        <f>IF(OR(A34="",F34=0),"",SUM(LU!AJ84,LU!AJ183))</f>
        <v/>
      </c>
      <c r="T34" s="459" t="str">
        <f>IF(OR(A34="",F34=0),"",SUM(LU!AJ38,LU!AJ137))</f>
        <v/>
      </c>
      <c r="U34" s="486" t="str">
        <f>IF(OR(A34="",C34=0),"",SUM(LU!AH38,LU!AH137))</f>
        <v/>
      </c>
      <c r="V34" s="487" t="str">
        <f t="shared" si="14"/>
        <v/>
      </c>
      <c r="W34" s="488" t="str">
        <f>IF(OR(A34="",D34=0),"",SUM(LU!W38,LU!W137))</f>
        <v/>
      </c>
      <c r="X34" s="487" t="str">
        <f t="shared" si="15"/>
        <v/>
      </c>
      <c r="Y34" s="488" t="str">
        <f>IF(OR(A34="",E34=0),"",SUM(LU!AC38,LU!AC137))</f>
        <v/>
      </c>
      <c r="Z34" s="487" t="str">
        <f t="shared" si="16"/>
        <v/>
      </c>
      <c r="AA34" s="641" t="str">
        <f>IF(OR(A34="",AND(D34=0, E34=0)),"",SUM(LU!AE38,LU!AE137))</f>
        <v/>
      </c>
      <c r="AB34" s="642" t="str">
        <f t="shared" si="23"/>
        <v/>
      </c>
      <c r="AC34" s="484" t="str">
        <f t="shared" si="17"/>
        <v/>
      </c>
      <c r="AD34" s="489" t="str">
        <f>IF(OR(A34="",F34=0,R$48="-",LU!$W$5=0),"",R34-R$48)</f>
        <v/>
      </c>
      <c r="AE34" s="490" t="str">
        <f>IF(OR(A34="",F34=0,S$48="-",LU!$W$5=0),"",S34-S$48)</f>
        <v/>
      </c>
      <c r="AF34" s="491" t="str">
        <f t="shared" si="18"/>
        <v/>
      </c>
      <c r="AG34" s="492" t="str">
        <f t="shared" si="19"/>
        <v/>
      </c>
      <c r="AH34" s="492" t="str">
        <f t="shared" si="20"/>
        <v/>
      </c>
      <c r="AI34" s="493" t="str">
        <f t="shared" si="21"/>
        <v/>
      </c>
      <c r="AJ34" s="645" t="str">
        <f t="shared" si="24"/>
        <v/>
      </c>
      <c r="AK34" s="494" t="str">
        <f>IF(OR($A34="",AC34="",AC$48="-",LU!$W$5=0),"",AC34-AC$48)</f>
        <v/>
      </c>
      <c r="AL34" s="1277" t="str">
        <f>IF(OR(A34="",F34=0),"",SUM(PT!U68,PT!U69))</f>
        <v/>
      </c>
      <c r="AM34" s="1278"/>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7" t="str">
        <f>IF(A35="","",(SUM(C35:E35)-(SUMPRODUCT(--(Lineups!AC$4:AC$41=A35),--(Lineups!AA$4:AA$41="SP"))+SUMPRODUCT(--(Lineups!AG$4:AG$41=A35),--(Lineups!AA$4:AA$41="SP"))+SUMPRODUCT(--(Lineups!AC$46:AC$83=A35),--(Lineups!AA$46:AA$83="SP"))+SUMPRODUCT(--(Lineups!AG$46:AG$83=A35),--(Lineups!AA$46:AA$83="SP")))))</f>
        <v/>
      </c>
      <c r="G35" s="458" t="str">
        <f>IF(OR(A35="",F35=0,LU!D$3+LU!D$102=0),"",F35/(LU!D$3+LU!D$102))</f>
        <v/>
      </c>
      <c r="H35" s="459" t="str">
        <f>IF(OR(C35=0,A35=""),"",SK!T195)</f>
        <v/>
      </c>
      <c r="I35" s="460" t="str">
        <f>IF(OR(A35="",SK!U195="",SK!U195=0),"",H35/SK!U195)</f>
        <v/>
      </c>
      <c r="J35" s="479" t="str">
        <f>IF(OR(C35=0,A35=""),"",SK!W195)</f>
        <v/>
      </c>
      <c r="K35" s="480" t="str">
        <f>IF(OR(C35=0,A35=""),"",SK!X195)</f>
        <v/>
      </c>
      <c r="L35" s="481" t="str">
        <f>IF(OR(C35=0,A35=""),"",SK!Z195)</f>
        <v/>
      </c>
      <c r="M35" s="481" t="str">
        <f>IF(OR(C35=0,A35=""),"",SK!AB195)</f>
        <v/>
      </c>
      <c r="N35" s="793" t="str">
        <f>IF(OR(A35="",C35=0),"",SUMPRODUCT(--(Lineups!$AA$4:$AA$41="SP"),--(Lineups!$AC$4:$AC$41=A35))+SUMPRODUCT(--(Lineups!$AA$46:$AA$83="SP"),--(Lineups!$AC$46:$AC$83=A35)))</f>
        <v/>
      </c>
      <c r="O35" s="482" t="str">
        <f t="shared" si="22"/>
        <v/>
      </c>
      <c r="P35" s="483" t="str">
        <f>IF(OR(A35="",C35=0),"",SK!Y195)</f>
        <v/>
      </c>
      <c r="Q35" s="484" t="str">
        <f t="shared" si="13"/>
        <v/>
      </c>
      <c r="R35" s="485" t="str">
        <f>IF(OR(A35="",F35=0),"",SUM(LU!AJ62,LU!AJ161))</f>
        <v/>
      </c>
      <c r="S35" s="486" t="str">
        <f>IF(OR(A35="",F35=0),"",SUM(LU!AJ85,LU!AJ184))</f>
        <v/>
      </c>
      <c r="T35" s="459" t="str">
        <f>IF(OR(A35="",F35=0),"",SUM(LU!AJ39,LU!AJ138))</f>
        <v/>
      </c>
      <c r="U35" s="486" t="str">
        <f>IF(OR(A35="",C35=0),"",SUM(LU!AH39,LU!AH138))</f>
        <v/>
      </c>
      <c r="V35" s="487" t="str">
        <f t="shared" si="14"/>
        <v/>
      </c>
      <c r="W35" s="488" t="str">
        <f>IF(OR(A35="",D35=0),"",SUM(LU!W39,LU!W138))</f>
        <v/>
      </c>
      <c r="X35" s="487" t="str">
        <f t="shared" si="15"/>
        <v/>
      </c>
      <c r="Y35" s="488" t="str">
        <f>IF(OR(A35="",E35=0),"",SUM(LU!AC39,LU!AC138))</f>
        <v/>
      </c>
      <c r="Z35" s="487" t="str">
        <f t="shared" si="16"/>
        <v/>
      </c>
      <c r="AA35" s="641" t="str">
        <f>IF(OR(A35="",AND(D35=0, E35=0)),"",SUM(LU!AE39,LU!AE138))</f>
        <v/>
      </c>
      <c r="AB35" s="642" t="str">
        <f t="shared" si="23"/>
        <v/>
      </c>
      <c r="AC35" s="484" t="str">
        <f t="shared" si="17"/>
        <v/>
      </c>
      <c r="AD35" s="489" t="str">
        <f>IF(OR(A35="",F35=0,R$48="-",LU!$W$5=0),"",R35-R$48)</f>
        <v/>
      </c>
      <c r="AE35" s="490" t="str">
        <f>IF(OR(A35="",F35=0,S$48="-",LU!$W$5=0),"",S35-S$48)</f>
        <v/>
      </c>
      <c r="AF35" s="491" t="str">
        <f t="shared" si="18"/>
        <v/>
      </c>
      <c r="AG35" s="492" t="str">
        <f t="shared" si="19"/>
        <v/>
      </c>
      <c r="AH35" s="492" t="str">
        <f t="shared" si="20"/>
        <v/>
      </c>
      <c r="AI35" s="493" t="str">
        <f t="shared" si="21"/>
        <v/>
      </c>
      <c r="AJ35" s="645" t="str">
        <f t="shared" si="24"/>
        <v/>
      </c>
      <c r="AK35" s="494" t="str">
        <f>IF(OR($A35="",AC35="",AC$48="-",LU!$W$5=0),"",AC35-AC$48)</f>
        <v/>
      </c>
      <c r="AL35" s="1277" t="str">
        <f>IF(OR(A35="",F35=0),"",SUM(PT!U70,PT!U71))</f>
        <v/>
      </c>
      <c r="AM35" s="1278"/>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7" t="str">
        <f>IF(A36="","",(SUM(C36:E36)-(SUMPRODUCT(--(Lineups!AC$4:AC$41=A36),--(Lineups!AA$4:AA$41="SP"))+SUMPRODUCT(--(Lineups!AG$4:AG$41=A36),--(Lineups!AA$4:AA$41="SP"))+SUMPRODUCT(--(Lineups!AC$46:AC$83=A36),--(Lineups!AA$46:AA$83="SP"))+SUMPRODUCT(--(Lineups!AG$46:AG$83=A36),--(Lineups!AA$46:AA$83="SP")))))</f>
        <v/>
      </c>
      <c r="G36" s="458" t="str">
        <f>IF(OR(A36="",F36=0,LU!D$3+LU!D$102=0),"",F36/(LU!D$3+LU!D$102))</f>
        <v/>
      </c>
      <c r="H36" s="459" t="str">
        <f>IF(OR(C36=0,A36=""),"",SK!T198)</f>
        <v/>
      </c>
      <c r="I36" s="460" t="str">
        <f>IF(OR(A36="",SK!U198="",SK!U198=0),"",H36/SK!U198)</f>
        <v/>
      </c>
      <c r="J36" s="479" t="str">
        <f>IF(OR(C36=0,A36=""),"",SK!W198)</f>
        <v/>
      </c>
      <c r="K36" s="480" t="str">
        <f>IF(OR(C36=0,A36=""),"",SK!X198)</f>
        <v/>
      </c>
      <c r="L36" s="481" t="str">
        <f>IF(OR(C36=0,A36=""),"",SK!Z198)</f>
        <v/>
      </c>
      <c r="M36" s="481" t="str">
        <f>IF(OR(C36=0,A36=""),"",SK!AB198)</f>
        <v/>
      </c>
      <c r="N36" s="793" t="str">
        <f>IF(OR(A36="",C36=0),"",SUMPRODUCT(--(Lineups!$AA$4:$AA$41="SP"),--(Lineups!$AC$4:$AC$41=A36))+SUMPRODUCT(--(Lineups!$AA$46:$AA$83="SP"),--(Lineups!$AC$46:$AC$83=A36)))</f>
        <v/>
      </c>
      <c r="O36" s="482" t="str">
        <f t="shared" si="22"/>
        <v/>
      </c>
      <c r="P36" s="483" t="str">
        <f>IF(OR(A36="",C36=0),"",SK!Y198)</f>
        <v/>
      </c>
      <c r="Q36" s="484" t="str">
        <f t="shared" si="13"/>
        <v/>
      </c>
      <c r="R36" s="485" t="str">
        <f>IF(OR(A36="",F36=0),"",SUM(LU!AJ63,LU!AJ162))</f>
        <v/>
      </c>
      <c r="S36" s="486" t="str">
        <f>IF(OR(A36="",F36=0),"",SUM(LU!AJ86,LU!AJ185))</f>
        <v/>
      </c>
      <c r="T36" s="459" t="str">
        <f>IF(OR(A36="",F36=0),"",SUM(LU!AJ40,LU!AJ139))</f>
        <v/>
      </c>
      <c r="U36" s="486" t="str">
        <f>IF(OR(A36="",C36=0),"",SUM(LU!AH40,LU!AH139))</f>
        <v/>
      </c>
      <c r="V36" s="487" t="str">
        <f t="shared" si="14"/>
        <v/>
      </c>
      <c r="W36" s="488" t="str">
        <f>IF(OR(A36="",D36=0),"",SUM(LU!W40,LU!W139))</f>
        <v/>
      </c>
      <c r="X36" s="487" t="str">
        <f t="shared" si="15"/>
        <v/>
      </c>
      <c r="Y36" s="488" t="str">
        <f>IF(OR(A36="",E36=0),"",SUM(LU!AC40,LU!AC139))</f>
        <v/>
      </c>
      <c r="Z36" s="487" t="str">
        <f t="shared" si="16"/>
        <v/>
      </c>
      <c r="AA36" s="641" t="str">
        <f>IF(OR(A36="",AND(D36=0, E36=0)),"",SUM(LU!AE40,LU!AE139))</f>
        <v/>
      </c>
      <c r="AB36" s="642" t="str">
        <f t="shared" si="23"/>
        <v/>
      </c>
      <c r="AC36" s="484" t="str">
        <f t="shared" si="17"/>
        <v/>
      </c>
      <c r="AD36" s="489" t="str">
        <f>IF(OR(A36="",F36=0,R$48="-",LU!$W$5=0),"",R36-R$48)</f>
        <v/>
      </c>
      <c r="AE36" s="490" t="str">
        <f>IF(OR(A36="",F36=0,S$48="-",LU!$W$5=0),"",S36-S$48)</f>
        <v/>
      </c>
      <c r="AF36" s="491" t="str">
        <f t="shared" si="18"/>
        <v/>
      </c>
      <c r="AG36" s="492" t="str">
        <f t="shared" si="19"/>
        <v/>
      </c>
      <c r="AH36" s="492" t="str">
        <f t="shared" si="20"/>
        <v/>
      </c>
      <c r="AI36" s="493" t="str">
        <f t="shared" si="21"/>
        <v/>
      </c>
      <c r="AJ36" s="645" t="str">
        <f t="shared" si="24"/>
        <v/>
      </c>
      <c r="AK36" s="494" t="str">
        <f>IF(OR($A36="",AC36="",AC$48="-",LU!$W$5=0),"",AC36-AC$48)</f>
        <v/>
      </c>
      <c r="AL36" s="1277" t="str">
        <f>IF(OR(A36="",F36=0),"",SUM(PT!U72,PT!U73))</f>
        <v/>
      </c>
      <c r="AM36" s="1278"/>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7" t="str">
        <f>IF(A37="","",(SUM(C37:E37)-(SUMPRODUCT(--(Lineups!AC$4:AC$41=A37),--(Lineups!AA$4:AA$41="SP"))+SUMPRODUCT(--(Lineups!AG$4:AG$41=A37),--(Lineups!AA$4:AA$41="SP"))+SUMPRODUCT(--(Lineups!AC$46:AC$83=A37),--(Lineups!AA$46:AA$83="SP"))+SUMPRODUCT(--(Lineups!AG$46:AG$83=A37),--(Lineups!AA$46:AA$83="SP")))))</f>
        <v/>
      </c>
      <c r="G37" s="458" t="str">
        <f>IF(OR(A37="",F37=0,LU!D$3+LU!D$102=0),"",F37/(LU!D$3+LU!D$102))</f>
        <v/>
      </c>
      <c r="H37" s="459" t="str">
        <f>IF(OR(C37=0,A37=""),"",SK!T201)</f>
        <v/>
      </c>
      <c r="I37" s="460" t="str">
        <f>IF(OR(A37="",SK!U201="",SK!U201=0),"",H37/SK!U201)</f>
        <v/>
      </c>
      <c r="J37" s="479" t="str">
        <f>IF(OR(C37=0,A37=""),"",SK!W201)</f>
        <v/>
      </c>
      <c r="K37" s="480" t="str">
        <f>IF(OR(C37=0,A37=""),"",SK!X201)</f>
        <v/>
      </c>
      <c r="L37" s="481" t="str">
        <f>IF(OR(C37=0,A37=""),"",SK!Z201)</f>
        <v/>
      </c>
      <c r="M37" s="481" t="str">
        <f>IF(OR(C37=0,A37=""),"",SK!AB201)</f>
        <v/>
      </c>
      <c r="N37" s="793" t="str">
        <f>IF(OR(A37="",C37=0),"",SUMPRODUCT(--(Lineups!$AA$4:$AA$41="SP"),--(Lineups!$AC$4:$AC$41=A37))+SUMPRODUCT(--(Lineups!$AA$46:$AA$83="SP"),--(Lineups!$AC$46:$AC$83=A37)))</f>
        <v/>
      </c>
      <c r="O37" s="482" t="str">
        <f t="shared" si="22"/>
        <v/>
      </c>
      <c r="P37" s="483" t="str">
        <f>IF(OR(A37="",C37=0),"",SK!Y201)</f>
        <v/>
      </c>
      <c r="Q37" s="484" t="str">
        <f t="shared" si="13"/>
        <v/>
      </c>
      <c r="R37" s="485" t="str">
        <f>IF(OR(A37="",F37=0),"",SUM(LU!AJ64,LU!AJ163))</f>
        <v/>
      </c>
      <c r="S37" s="486" t="str">
        <f>IF(OR(A37="",F37=0),"",SUM(LU!AJ87,LU!AJ186))</f>
        <v/>
      </c>
      <c r="T37" s="459" t="str">
        <f>IF(OR(A37="",F37=0),"",SUM(LU!AJ41,LU!AJ140))</f>
        <v/>
      </c>
      <c r="U37" s="486" t="str">
        <f>IF(OR(A37="",C37=0),"",SUM(LU!AH41,LU!AH140))</f>
        <v/>
      </c>
      <c r="V37" s="487" t="str">
        <f t="shared" si="14"/>
        <v/>
      </c>
      <c r="W37" s="488" t="str">
        <f>IF(OR(A37="",D37=0),"",SUM(LU!W41,LU!W140))</f>
        <v/>
      </c>
      <c r="X37" s="487" t="str">
        <f t="shared" si="15"/>
        <v/>
      </c>
      <c r="Y37" s="488" t="str">
        <f>IF(OR(A37="",E37=0),"",SUM(LU!AC41,LU!AC140))</f>
        <v/>
      </c>
      <c r="Z37" s="487" t="str">
        <f t="shared" si="16"/>
        <v/>
      </c>
      <c r="AA37" s="641" t="str">
        <f>IF(OR(A37="",AND(D37=0, E37=0)),"",SUM(LU!AE41,LU!AE140))</f>
        <v/>
      </c>
      <c r="AB37" s="642" t="str">
        <f t="shared" si="23"/>
        <v/>
      </c>
      <c r="AC37" s="484" t="str">
        <f t="shared" si="17"/>
        <v/>
      </c>
      <c r="AD37" s="489" t="str">
        <f>IF(OR(A37="",F37=0,R$48="-",LU!$W$5=0),"",R37-R$48)</f>
        <v/>
      </c>
      <c r="AE37" s="490" t="str">
        <f>IF(OR(A37="",F37=0,S$48="-",LU!$W$5=0),"",S37-S$48)</f>
        <v/>
      </c>
      <c r="AF37" s="491" t="str">
        <f t="shared" si="18"/>
        <v/>
      </c>
      <c r="AG37" s="492" t="str">
        <f t="shared" si="19"/>
        <v/>
      </c>
      <c r="AH37" s="492" t="str">
        <f t="shared" si="20"/>
        <v/>
      </c>
      <c r="AI37" s="493" t="str">
        <f t="shared" si="21"/>
        <v/>
      </c>
      <c r="AJ37" s="645" t="str">
        <f t="shared" si="24"/>
        <v/>
      </c>
      <c r="AK37" s="494" t="str">
        <f>IF(OR($A37="",AC37="",AC$48="-",LU!$W$5=0),"",AC37-AC$48)</f>
        <v/>
      </c>
      <c r="AL37" s="1277" t="str">
        <f>IF(OR(A37="",F37=0),"",SUM(PT!U74,PT!U75))</f>
        <v/>
      </c>
      <c r="AM37" s="1278"/>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7" t="str">
        <f>IF(A38="","",(SUM(C38:E38)-(SUMPRODUCT(--(Lineups!AC$4:AC$41=A38),--(Lineups!AA$4:AA$41="SP"))+SUMPRODUCT(--(Lineups!AG$4:AG$41=A38),--(Lineups!AA$4:AA$41="SP"))+SUMPRODUCT(--(Lineups!AC$46:AC$83=A38),--(Lineups!AA$46:AA$83="SP"))+SUMPRODUCT(--(Lineups!AG$46:AG$83=A38),--(Lineups!AA$46:AA$83="SP")))))</f>
        <v/>
      </c>
      <c r="G38" s="458" t="str">
        <f>IF(OR(A38="",F38=0,LU!D$3+LU!D$102=0),"",F38/(LU!D$3+LU!D$102))</f>
        <v/>
      </c>
      <c r="H38" s="459" t="str">
        <f>IF(OR(C38=0,A38=""),"",SK!T204)</f>
        <v/>
      </c>
      <c r="I38" s="460" t="str">
        <f>IF(OR(A38="",SK!U204="",SK!U204=0),"",H38/SK!U204)</f>
        <v/>
      </c>
      <c r="J38" s="479" t="str">
        <f>IF(OR(C38=0,A38=""),"",SK!W204)</f>
        <v/>
      </c>
      <c r="K38" s="480" t="str">
        <f>IF(OR(C38=0,A38=""),"",SK!X204)</f>
        <v/>
      </c>
      <c r="L38" s="481" t="str">
        <f>IF(OR(C38=0,A38=""),"",SK!Z204)</f>
        <v/>
      </c>
      <c r="M38" s="481" t="str">
        <f>IF(OR(C38=0,A38=""),"",SK!AB204)</f>
        <v/>
      </c>
      <c r="N38" s="793" t="str">
        <f>IF(OR(A38="",C38=0),"",SUMPRODUCT(--(Lineups!$AA$4:$AA$41="SP"),--(Lineups!$AC$4:$AC$41=A38))+SUMPRODUCT(--(Lineups!$AA$46:$AA$83="SP"),--(Lineups!$AC$46:$AC$83=A38)))</f>
        <v/>
      </c>
      <c r="O38" s="482" t="str">
        <f t="shared" si="22"/>
        <v/>
      </c>
      <c r="P38" s="483" t="str">
        <f>IF(OR(A38="",C38=0),"",SK!Y204)</f>
        <v/>
      </c>
      <c r="Q38" s="484" t="str">
        <f t="shared" si="13"/>
        <v/>
      </c>
      <c r="R38" s="485" t="str">
        <f>IF(OR(A38="",F38=0),"",SUM(LU!AJ65,LU!AJ164))</f>
        <v/>
      </c>
      <c r="S38" s="486" t="str">
        <f>IF(OR(A38="",F38=0),"",SUM(LU!AJ88,LU!AJ187))</f>
        <v/>
      </c>
      <c r="T38" s="459" t="str">
        <f>IF(OR(A38="",F38=0),"",SUM(LU!AJ42,LU!AJ141))</f>
        <v/>
      </c>
      <c r="U38" s="486" t="str">
        <f>IF(OR(A38="",C38=0),"",SUM(LU!AH42,LU!AH141))</f>
        <v/>
      </c>
      <c r="V38" s="487" t="str">
        <f t="shared" si="14"/>
        <v/>
      </c>
      <c r="W38" s="488" t="str">
        <f>IF(OR(A38="",D38=0),"",SUM(LU!W42,LU!W141))</f>
        <v/>
      </c>
      <c r="X38" s="487" t="str">
        <f t="shared" si="15"/>
        <v/>
      </c>
      <c r="Y38" s="488" t="str">
        <f>IF(OR(A38="",E38=0),"",SUM(LU!AC42,LU!AC141))</f>
        <v/>
      </c>
      <c r="Z38" s="487" t="str">
        <f t="shared" si="16"/>
        <v/>
      </c>
      <c r="AA38" s="641" t="str">
        <f>IF(OR(A38="",AND(D38=0, E38=0)),"",SUM(LU!AE42,LU!AE141))</f>
        <v/>
      </c>
      <c r="AB38" s="642" t="str">
        <f t="shared" si="23"/>
        <v/>
      </c>
      <c r="AC38" s="484" t="str">
        <f t="shared" si="17"/>
        <v/>
      </c>
      <c r="AD38" s="489" t="str">
        <f>IF(OR(A38="",F38=0,R$48="-",LU!$W$5=0),"",R38-R$48)</f>
        <v/>
      </c>
      <c r="AE38" s="490" t="str">
        <f>IF(OR(A38="",F38=0,S$48="-",LU!$W$5=0),"",S38-S$48)</f>
        <v/>
      </c>
      <c r="AF38" s="491" t="str">
        <f t="shared" si="18"/>
        <v/>
      </c>
      <c r="AG38" s="492" t="str">
        <f t="shared" si="19"/>
        <v/>
      </c>
      <c r="AH38" s="492" t="str">
        <f t="shared" si="20"/>
        <v/>
      </c>
      <c r="AI38" s="493" t="str">
        <f t="shared" si="21"/>
        <v/>
      </c>
      <c r="AJ38" s="645" t="str">
        <f t="shared" si="24"/>
        <v/>
      </c>
      <c r="AK38" s="494" t="str">
        <f>IF(OR($A38="",AC38="",AC$48="-",LU!$W$5=0),"",AC38-AC$48)</f>
        <v/>
      </c>
      <c r="AL38" s="1277" t="str">
        <f>IF(OR(A38="",F38=0),"",SUM(PT!U76,PT!U77))</f>
        <v/>
      </c>
      <c r="AM38" s="1278"/>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7" t="str">
        <f>IF(A39="","",(SUM(C39:E39)-(SUMPRODUCT(--(Lineups!AC$4:AC$41=A39),--(Lineups!AA$4:AA$41="SP"))+SUMPRODUCT(--(Lineups!AG$4:AG$41=A39),--(Lineups!AA$4:AA$41="SP"))+SUMPRODUCT(--(Lineups!AC$46:AC$83=A39),--(Lineups!AA$46:AA$83="SP"))+SUMPRODUCT(--(Lineups!AG$46:AG$83=A39),--(Lineups!AA$46:AA$83="SP")))))</f>
        <v/>
      </c>
      <c r="G39" s="458" t="str">
        <f>IF(OR(A39="",F39=0,LU!D$3+LU!D$102=0),"",F39/(LU!D$3+LU!D$102))</f>
        <v/>
      </c>
      <c r="H39" s="459" t="str">
        <f>IF(OR(C39=0,A39=""),"",SK!T207)</f>
        <v/>
      </c>
      <c r="I39" s="460" t="str">
        <f>IF(OR(A39="",SK!U207="",SK!U207=0),"",H39/SK!U207)</f>
        <v/>
      </c>
      <c r="J39" s="479" t="str">
        <f>IF(OR(C39=0,A39=""),"",SK!W207)</f>
        <v/>
      </c>
      <c r="K39" s="480" t="str">
        <f>IF(OR(C39=0,A39=""),"",SK!X207)</f>
        <v/>
      </c>
      <c r="L39" s="481" t="str">
        <f>IF(OR(C39=0,A39=""),"",SK!Z207)</f>
        <v/>
      </c>
      <c r="M39" s="481" t="str">
        <f>IF(OR(C39=0,A39=""),"",SK!AB207)</f>
        <v/>
      </c>
      <c r="N39" s="793" t="str">
        <f>IF(OR(A39="",C39=0),"",SUMPRODUCT(--(Lineups!$AA$4:$AA$41="SP"),--(Lineups!$AC$4:$AC$41=A39))+SUMPRODUCT(--(Lineups!$AA$46:$AA$83="SP"),--(Lineups!$AC$46:$AC$83=A39)))</f>
        <v/>
      </c>
      <c r="O39" s="482" t="str">
        <f t="shared" si="22"/>
        <v/>
      </c>
      <c r="P39" s="483" t="str">
        <f>IF(OR(A39="",C39=0),"",SK!Y207)</f>
        <v/>
      </c>
      <c r="Q39" s="484" t="str">
        <f t="shared" si="13"/>
        <v/>
      </c>
      <c r="R39" s="485" t="str">
        <f>IF(OR(A39="",F39=0),"",SUM(LU!AJ66,LU!AJ165))</f>
        <v/>
      </c>
      <c r="S39" s="486" t="str">
        <f>IF(OR(A39="",F39=0),"",SUM(LU!AJ89,LU!AJ188))</f>
        <v/>
      </c>
      <c r="T39" s="459" t="str">
        <f>IF(OR(A39="",F39=0),"",SUM(LU!AJ43,LU!AJ142))</f>
        <v/>
      </c>
      <c r="U39" s="486" t="str">
        <f>IF(OR(A39="",C39=0),"",SUM(LU!AH43,LU!AH142))</f>
        <v/>
      </c>
      <c r="V39" s="487" t="str">
        <f t="shared" si="14"/>
        <v/>
      </c>
      <c r="W39" s="488" t="str">
        <f>IF(OR(A39="",D39=0),"",SUM(LU!W43,LU!W142))</f>
        <v/>
      </c>
      <c r="X39" s="487" t="str">
        <f t="shared" si="15"/>
        <v/>
      </c>
      <c r="Y39" s="488" t="str">
        <f>IF(OR(A39="",E39=0),"",SUM(LU!AC43,LU!AC142))</f>
        <v/>
      </c>
      <c r="Z39" s="487" t="str">
        <f t="shared" si="16"/>
        <v/>
      </c>
      <c r="AA39" s="641" t="str">
        <f>IF(OR(A39="",AND(D39=0, E39=0)),"",SUM(LU!AE43,LU!AE142))</f>
        <v/>
      </c>
      <c r="AB39" s="642" t="str">
        <f t="shared" si="23"/>
        <v/>
      </c>
      <c r="AC39" s="484" t="str">
        <f t="shared" si="17"/>
        <v/>
      </c>
      <c r="AD39" s="489" t="str">
        <f>IF(OR(A39="",F39=0,R$48="-",LU!$W$5=0),"",R39-R$48)</f>
        <v/>
      </c>
      <c r="AE39" s="490" t="str">
        <f>IF(OR(A39="",F39=0,S$48="-",LU!$W$5=0),"",S39-S$48)</f>
        <v/>
      </c>
      <c r="AF39" s="491" t="str">
        <f t="shared" si="18"/>
        <v/>
      </c>
      <c r="AG39" s="492" t="str">
        <f t="shared" si="19"/>
        <v/>
      </c>
      <c r="AH39" s="492" t="str">
        <f t="shared" si="20"/>
        <v/>
      </c>
      <c r="AI39" s="493" t="str">
        <f t="shared" si="21"/>
        <v/>
      </c>
      <c r="AJ39" s="645" t="str">
        <f t="shared" si="24"/>
        <v/>
      </c>
      <c r="AK39" s="494" t="str">
        <f>IF(OR($A39="",AC39="",AC$48="-",LU!$W$5=0),"",AC39-AC$48)</f>
        <v/>
      </c>
      <c r="AL39" s="1277" t="str">
        <f>IF(OR(A39="",F39=0),"",SUM(PT!U78,PT!U79))</f>
        <v/>
      </c>
      <c r="AM39" s="1278"/>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7" t="str">
        <f>IF(A40="","",(SUM(C40:E40)-(SUMPRODUCT(--(Lineups!AC$4:AC$41=A40),--(Lineups!AA$4:AA$41="SP"))+SUMPRODUCT(--(Lineups!AG$4:AG$41=A40),--(Lineups!AA$4:AA$41="SP"))+SUMPRODUCT(--(Lineups!AC$46:AC$83=A40),--(Lineups!AA$46:AA$83="SP"))+SUMPRODUCT(--(Lineups!AG$46:AG$83=A40),--(Lineups!AA$46:AA$83="SP")))))</f>
        <v/>
      </c>
      <c r="G40" s="458" t="str">
        <f>IF(OR(A40="",F40=0,LU!D$3+LU!D$102=0),"",F40/(LU!D$3+LU!D$102))</f>
        <v/>
      </c>
      <c r="H40" s="459" t="str">
        <f>IF(OR(C40=0,A40=""),"",SK!T210)</f>
        <v/>
      </c>
      <c r="I40" s="460" t="str">
        <f>IF(OR(A40="",SK!U210="",SK!U210=0),"",H40/SK!U210)</f>
        <v/>
      </c>
      <c r="J40" s="479" t="str">
        <f>IF(OR(C40=0,A40=""),"",SK!W210)</f>
        <v/>
      </c>
      <c r="K40" s="480" t="str">
        <f>IF(OR(C40=0,A40=""),"",SK!X210)</f>
        <v/>
      </c>
      <c r="L40" s="481" t="str">
        <f>IF(OR(C40=0,A40=""),"",SK!Z210)</f>
        <v/>
      </c>
      <c r="M40" s="481" t="str">
        <f>IF(OR(C40=0,A40=""),"",SK!AB210)</f>
        <v/>
      </c>
      <c r="N40" s="793" t="str">
        <f>IF(OR(A40="",C40=0),"",SUMPRODUCT(--(Lineups!$AA$4:$AA$41="SP"),--(Lineups!$AC$4:$AC$41=A40))+SUMPRODUCT(--(Lineups!$AA$46:$AA$83="SP"),--(Lineups!$AC$46:$AC$83=A40)))</f>
        <v/>
      </c>
      <c r="O40" s="482" t="str">
        <f t="shared" si="22"/>
        <v/>
      </c>
      <c r="P40" s="483" t="str">
        <f>IF(OR(A40="",C40=0),"",SK!Y210)</f>
        <v/>
      </c>
      <c r="Q40" s="484" t="str">
        <f t="shared" si="13"/>
        <v/>
      </c>
      <c r="R40" s="485" t="str">
        <f>IF(OR(A40="",F40=0),"",SUM(LU!AJ67,LU!AJ166))</f>
        <v/>
      </c>
      <c r="S40" s="486" t="str">
        <f>IF(OR(A40="",F40=0),"",SUM(LU!AJ90,LU!AJ189))</f>
        <v/>
      </c>
      <c r="T40" s="459" t="str">
        <f>IF(OR(A40="",F40=0),"",SUM(LU!AJ44,LU!AJ143))</f>
        <v/>
      </c>
      <c r="U40" s="486" t="str">
        <f>IF(OR(A40="",C40=0),"",SUM(LU!AH44,LU!AH143))</f>
        <v/>
      </c>
      <c r="V40" s="487" t="str">
        <f t="shared" si="14"/>
        <v/>
      </c>
      <c r="W40" s="488" t="str">
        <f>IF(OR(A40="",D40=0),"",SUM(LU!W44,LU!W143))</f>
        <v/>
      </c>
      <c r="X40" s="487" t="str">
        <f t="shared" si="15"/>
        <v/>
      </c>
      <c r="Y40" s="488" t="str">
        <f>IF(OR(A40="",E40=0),"",SUM(LU!AC44,LU!AC143))</f>
        <v/>
      </c>
      <c r="Z40" s="487" t="str">
        <f t="shared" si="16"/>
        <v/>
      </c>
      <c r="AA40" s="641" t="str">
        <f>IF(OR(A40="",AND(D40=0, E40=0)),"",SUM(LU!AE44,LU!AE143))</f>
        <v/>
      </c>
      <c r="AB40" s="642" t="str">
        <f t="shared" si="23"/>
        <v/>
      </c>
      <c r="AC40" s="484" t="str">
        <f t="shared" si="17"/>
        <v/>
      </c>
      <c r="AD40" s="489" t="str">
        <f>IF(OR(A40="",F40=0,R$48="-",LU!$W$5=0),"",R40-R$48)</f>
        <v/>
      </c>
      <c r="AE40" s="490" t="str">
        <f>IF(OR(A40="",F40=0,S$48="-",LU!$W$5=0),"",S40-S$48)</f>
        <v/>
      </c>
      <c r="AF40" s="491" t="str">
        <f t="shared" si="18"/>
        <v/>
      </c>
      <c r="AG40" s="492" t="str">
        <f t="shared" si="19"/>
        <v/>
      </c>
      <c r="AH40" s="492" t="str">
        <f t="shared" si="20"/>
        <v/>
      </c>
      <c r="AI40" s="493" t="str">
        <f t="shared" si="21"/>
        <v/>
      </c>
      <c r="AJ40" s="645" t="str">
        <f t="shared" si="24"/>
        <v/>
      </c>
      <c r="AK40" s="494" t="str">
        <f>IF(OR($A40="",AC40="",AC$48="-",LU!$W$5=0),"",AC40-AC$48)</f>
        <v/>
      </c>
      <c r="AL40" s="1277" t="str">
        <f>IF(OR(A40="",F40=0),"",SUM(PT!U80,PT!U81))</f>
        <v/>
      </c>
      <c r="AM40" s="1278"/>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7" t="str">
        <f>IF(A41="","",(SUM(C41:E41)-(SUMPRODUCT(--(Lineups!AC$4:AC$41=A41),--(Lineups!AA$4:AA$41="SP"))+SUMPRODUCT(--(Lineups!AG$4:AG$41=A41),--(Lineups!AA$4:AA$41="SP"))+SUMPRODUCT(--(Lineups!AC$46:AC$83=A41),--(Lineups!AA$46:AA$83="SP"))+SUMPRODUCT(--(Lineups!AG$46:AG$83=A41),--(Lineups!AA$46:AA$83="SP")))))</f>
        <v/>
      </c>
      <c r="G41" s="458" t="str">
        <f>IF(OR(A41="",F41=0,LU!D$3+LU!D$102=0),"",F41/(LU!D$3+LU!D$102))</f>
        <v/>
      </c>
      <c r="H41" s="459" t="str">
        <f>IF(OR(C41=0,A41=""),"",SK!T213)</f>
        <v/>
      </c>
      <c r="I41" s="460" t="str">
        <f>IF(OR(A41="",SK!U213="",SK!U213=0),"",H41/SK!U213)</f>
        <v/>
      </c>
      <c r="J41" s="479" t="str">
        <f>IF(OR(C41=0,A41=""),"",SK!W213)</f>
        <v/>
      </c>
      <c r="K41" s="480" t="str">
        <f>IF(OR(C41=0,A41=""),"",SK!X213)</f>
        <v/>
      </c>
      <c r="L41" s="481" t="str">
        <f>IF(OR(C41=0,A41=""),"",SK!Z213)</f>
        <v/>
      </c>
      <c r="M41" s="481" t="str">
        <f>IF(OR(C41=0,A41=""),"",SK!AB213)</f>
        <v/>
      </c>
      <c r="N41" s="793" t="str">
        <f>IF(OR(A41="",C41=0),"",SUMPRODUCT(--(Lineups!$AA$4:$AA$41="SP"),--(Lineups!$AC$4:$AC$41=A41))+SUMPRODUCT(--(Lineups!$AA$46:$AA$83="SP"),--(Lineups!$AC$46:$AC$83=A41)))</f>
        <v/>
      </c>
      <c r="O41" s="482" t="str">
        <f t="shared" si="22"/>
        <v/>
      </c>
      <c r="P41" s="483" t="str">
        <f>IF(OR(A41="",C41=0),"",SK!Y213)</f>
        <v/>
      </c>
      <c r="Q41" s="484" t="str">
        <f t="shared" si="13"/>
        <v/>
      </c>
      <c r="R41" s="485" t="str">
        <f>IF(OR(A41="",F41=0),"",SUM(LU!AJ68,LU!AJ167))</f>
        <v/>
      </c>
      <c r="S41" s="486" t="str">
        <f>IF(OR(A41="",F41=0),"",SUM(LU!AJ91,LU!AJ190))</f>
        <v/>
      </c>
      <c r="T41" s="459" t="str">
        <f>IF(OR(A41="",F41=0),"",SUM(LU!AJ45,LU!AJ144))</f>
        <v/>
      </c>
      <c r="U41" s="486" t="str">
        <f>IF(OR(A41="",C41=0),"",SUM(LU!AH45,LU!AH144))</f>
        <v/>
      </c>
      <c r="V41" s="487" t="str">
        <f t="shared" si="14"/>
        <v/>
      </c>
      <c r="W41" s="488" t="str">
        <f>IF(OR(A41="",D41=0),"",SUM(LU!W45,LU!W144))</f>
        <v/>
      </c>
      <c r="X41" s="487" t="str">
        <f t="shared" si="15"/>
        <v/>
      </c>
      <c r="Y41" s="488" t="str">
        <f>IF(OR(A41="",E41=0),"",SUM(LU!AC45,LU!AC144))</f>
        <v/>
      </c>
      <c r="Z41" s="487" t="str">
        <f t="shared" si="16"/>
        <v/>
      </c>
      <c r="AA41" s="641" t="str">
        <f>IF(OR(A41="",AND(D41=0, E41=0)),"",SUM(LU!AE45,LU!AE144))</f>
        <v/>
      </c>
      <c r="AB41" s="642" t="str">
        <f t="shared" si="23"/>
        <v/>
      </c>
      <c r="AC41" s="484" t="str">
        <f t="shared" si="17"/>
        <v/>
      </c>
      <c r="AD41" s="489" t="str">
        <f>IF(OR(A41="",F41=0,R$48="-",LU!$W$5=0),"",R41-R$48)</f>
        <v/>
      </c>
      <c r="AE41" s="490" t="str">
        <f>IF(OR(A41="",F41=0,S$48="-",LU!$W$5=0),"",S41-S$48)</f>
        <v/>
      </c>
      <c r="AF41" s="491" t="str">
        <f t="shared" si="18"/>
        <v/>
      </c>
      <c r="AG41" s="492" t="str">
        <f t="shared" si="19"/>
        <v/>
      </c>
      <c r="AH41" s="492" t="str">
        <f t="shared" si="20"/>
        <v/>
      </c>
      <c r="AI41" s="493" t="str">
        <f t="shared" si="21"/>
        <v/>
      </c>
      <c r="AJ41" s="645" t="str">
        <f t="shared" si="24"/>
        <v/>
      </c>
      <c r="AK41" s="494" t="str">
        <f>IF(OR($A41="",AC41="",AC$48="-",LU!$W$5=0),"",AC41-AC$48)</f>
        <v/>
      </c>
      <c r="AL41" s="1277" t="str">
        <f>IF(OR(A41="",F41=0),"",SUM(PT!U82,PT!U83))</f>
        <v/>
      </c>
      <c r="AM41" s="1278"/>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7" t="str">
        <f>IF(A42="","",(SUM(C42:E42)-(SUMPRODUCT(--(Lineups!AC$4:AC$41=A42),--(Lineups!AA$4:AA$41="SP"))+SUMPRODUCT(--(Lineups!AG$4:AG$41=A42),--(Lineups!AA$4:AA$41="SP"))+SUMPRODUCT(--(Lineups!AC$46:AC$83=A42),--(Lineups!AA$46:AA$83="SP"))+SUMPRODUCT(--(Lineups!AG$46:AG$83=A42),--(Lineups!AA$46:AA$83="SP")))))</f>
        <v/>
      </c>
      <c r="G42" s="458" t="str">
        <f>IF(OR(A42="",F42=0,LU!D$3+LU!D$102=0),"",F42/(LU!D$3+LU!D$102))</f>
        <v/>
      </c>
      <c r="H42" s="459" t="str">
        <f>IF(OR(C42=0,A42=""),"",SK!T216)</f>
        <v/>
      </c>
      <c r="I42" s="460" t="str">
        <f>IF(OR(A42="",SK!U216="",SK!U216=0),"",H42/SK!U216)</f>
        <v/>
      </c>
      <c r="J42" s="479" t="str">
        <f>IF(OR(C42=0,A42=""),"",SK!W216)</f>
        <v/>
      </c>
      <c r="K42" s="480" t="str">
        <f>IF(OR(C42=0,A42=""),"",SK!X216)</f>
        <v/>
      </c>
      <c r="L42" s="481" t="str">
        <f>IF(OR(C42=0,A42=""),"",SK!Z216)</f>
        <v/>
      </c>
      <c r="M42" s="481" t="str">
        <f>IF(OR(C42=0,A42=""),"",SK!AB216)</f>
        <v/>
      </c>
      <c r="N42" s="793" t="str">
        <f>IF(OR(A42="",C42=0),"",SUMPRODUCT(--(Lineups!$AA$4:$AA$41="SP"),--(Lineups!$AC$4:$AC$41=A42))+SUMPRODUCT(--(Lineups!$AA$46:$AA$83="SP"),--(Lineups!$AC$46:$AC$83=A42)))</f>
        <v/>
      </c>
      <c r="O42" s="482" t="str">
        <f t="shared" si="22"/>
        <v/>
      </c>
      <c r="P42" s="483" t="str">
        <f>IF(OR(A42="",C42=0),"",SK!Y216)</f>
        <v/>
      </c>
      <c r="Q42" s="484" t="str">
        <f t="shared" si="13"/>
        <v/>
      </c>
      <c r="R42" s="485" t="str">
        <f>IF(OR(A42="",F42=0),"",SUM(LU!AJ69,LU!AJ168))</f>
        <v/>
      </c>
      <c r="S42" s="486" t="str">
        <f>IF(OR(A42="",F42=0),"",SUM(LU!AJ92,LU!AJ191))</f>
        <v/>
      </c>
      <c r="T42" s="459" t="str">
        <f>IF(OR(A42="",F42=0),"",SUM(LU!AJ46,LU!AJ145))</f>
        <v/>
      </c>
      <c r="U42" s="486" t="str">
        <f>IF(OR(A42="",C42=0),"",SUM(LU!AH46,LU!AH145))</f>
        <v/>
      </c>
      <c r="V42" s="487" t="str">
        <f t="shared" si="14"/>
        <v/>
      </c>
      <c r="W42" s="488" t="str">
        <f>IF(OR(A42="",D42=0),"",SUM(LU!W46,LU!W145))</f>
        <v/>
      </c>
      <c r="X42" s="487" t="str">
        <f t="shared" si="15"/>
        <v/>
      </c>
      <c r="Y42" s="488" t="str">
        <f>IF(OR(A42="",E42=0),"",SUM(LU!AC46,LU!AC145))</f>
        <v/>
      </c>
      <c r="Z42" s="487" t="str">
        <f t="shared" si="16"/>
        <v/>
      </c>
      <c r="AA42" s="641" t="str">
        <f>IF(OR(A42="",AND(D42=0, E42=0)),"",SUM(LU!AE46,LU!AE145))</f>
        <v/>
      </c>
      <c r="AB42" s="642" t="str">
        <f t="shared" si="23"/>
        <v/>
      </c>
      <c r="AC42" s="484" t="str">
        <f t="shared" si="17"/>
        <v/>
      </c>
      <c r="AD42" s="489" t="str">
        <f>IF(OR(A42="",F42=0,R$48="-",LU!$W$5=0),"",R42-R$48)</f>
        <v/>
      </c>
      <c r="AE42" s="490" t="str">
        <f>IF(OR(A42="",F42=0,S$48="-",LU!$W$5=0),"",S42-S$48)</f>
        <v/>
      </c>
      <c r="AF42" s="491" t="str">
        <f t="shared" si="18"/>
        <v/>
      </c>
      <c r="AG42" s="492" t="str">
        <f t="shared" si="19"/>
        <v/>
      </c>
      <c r="AH42" s="492" t="str">
        <f t="shared" si="20"/>
        <v/>
      </c>
      <c r="AI42" s="493" t="str">
        <f t="shared" si="21"/>
        <v/>
      </c>
      <c r="AJ42" s="645" t="str">
        <f t="shared" si="24"/>
        <v/>
      </c>
      <c r="AK42" s="494" t="str">
        <f>IF(OR($A42="",AC42="",AC$48="-",LU!$W$5=0),"",AC42-AC$48)</f>
        <v/>
      </c>
      <c r="AL42" s="1277" t="str">
        <f>IF(OR(A42="",F42=0),"",SUM(PT!U84,PT!U85))</f>
        <v/>
      </c>
      <c r="AM42" s="1278"/>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7" t="str">
        <f>IF(A43="","",(SUM(C43:E43)-(SUMPRODUCT(--(Lineups!AC$4:AC$41=A43),--(Lineups!AA$4:AA$41="SP"))+SUMPRODUCT(--(Lineups!AG$4:AG$41=A43),--(Lineups!AA$4:AA$41="SP"))+SUMPRODUCT(--(Lineups!AC$46:AC$83=A43),--(Lineups!AA$46:AA$83="SP"))+SUMPRODUCT(--(Lineups!AG$46:AG$83=A43),--(Lineups!AA$46:AA$83="SP")))))</f>
        <v/>
      </c>
      <c r="G43" s="458" t="str">
        <f>IF(OR(A43="",F43=0,LU!D$3+LU!D$102=0),"",F43/(LU!D$3+LU!D$102))</f>
        <v/>
      </c>
      <c r="H43" s="459" t="str">
        <f>IF(OR(C43=0,A43=""),"",SK!T219)</f>
        <v/>
      </c>
      <c r="I43" s="460" t="str">
        <f>IF(OR(A43="",SK!U219="",SK!U219=0),"",H43/SK!U219)</f>
        <v/>
      </c>
      <c r="J43" s="479" t="str">
        <f>IF(OR(C43=0,A43=""),"",SK!W219)</f>
        <v/>
      </c>
      <c r="K43" s="480" t="str">
        <f>IF(OR(C43=0,A43=""),"",SK!X219)</f>
        <v/>
      </c>
      <c r="L43" s="481" t="str">
        <f>IF(OR(C43=0,A43=""),"",SK!Z219)</f>
        <v/>
      </c>
      <c r="M43" s="481" t="str">
        <f>IF(OR(C43=0,A43=""),"",SK!AB219)</f>
        <v/>
      </c>
      <c r="N43" s="793" t="str">
        <f>IF(OR(A43="",C43=0),"",SUMPRODUCT(--(Lineups!$AA$4:$AA$41="SP"),--(Lineups!$AC$4:$AC$41=A43))+SUMPRODUCT(--(Lineups!$AA$46:$AA$83="SP"),--(Lineups!$AC$46:$AC$83=A43)))</f>
        <v/>
      </c>
      <c r="O43" s="482" t="str">
        <f t="shared" si="22"/>
        <v/>
      </c>
      <c r="P43" s="483" t="str">
        <f>IF(OR(A43="",C43=0),"",SK!Y219)</f>
        <v/>
      </c>
      <c r="Q43" s="484" t="str">
        <f t="shared" si="13"/>
        <v/>
      </c>
      <c r="R43" s="485" t="str">
        <f>IF(OR(A43="",F43=0),"",SUM(LU!AJ70,LU!AJ169))</f>
        <v/>
      </c>
      <c r="S43" s="486" t="str">
        <f>IF(OR(A43="",F43=0),"",SUM(LU!AJ93,LU!AJ192))</f>
        <v/>
      </c>
      <c r="T43" s="459" t="str">
        <f>IF(OR(A43="",F43=0),"",SUM(LU!AJ47,LU!AJ146))</f>
        <v/>
      </c>
      <c r="U43" s="486" t="str">
        <f>IF(OR(A43="",C43=0),"",SUM(LU!AH47,LU!AH146))</f>
        <v/>
      </c>
      <c r="V43" s="487" t="str">
        <f t="shared" si="14"/>
        <v/>
      </c>
      <c r="W43" s="488" t="str">
        <f>IF(OR(A43="",D43=0),"",SUM(LU!W47,LU!W146))</f>
        <v/>
      </c>
      <c r="X43" s="487" t="str">
        <f t="shared" si="15"/>
        <v/>
      </c>
      <c r="Y43" s="488" t="str">
        <f>IF(OR(A43="",E43=0),"",SUM(LU!AC47,LU!AC146))</f>
        <v/>
      </c>
      <c r="Z43" s="487" t="str">
        <f t="shared" si="16"/>
        <v/>
      </c>
      <c r="AA43" s="641" t="str">
        <f>IF(OR(A43="",AND(D43=0, E43=0)),"",SUM(LU!AE47,LU!AE146))</f>
        <v/>
      </c>
      <c r="AB43" s="642" t="str">
        <f t="shared" si="23"/>
        <v/>
      </c>
      <c r="AC43" s="484" t="str">
        <f t="shared" si="17"/>
        <v/>
      </c>
      <c r="AD43" s="489" t="str">
        <f>IF(OR(A43="",F43=0,R$48="-",LU!$W$5=0),"",R43-R$48)</f>
        <v/>
      </c>
      <c r="AE43" s="490" t="str">
        <f>IF(OR(A43="",F43=0,S$48="-",LU!$W$5=0),"",S43-S$48)</f>
        <v/>
      </c>
      <c r="AF43" s="491" t="str">
        <f t="shared" si="18"/>
        <v/>
      </c>
      <c r="AG43" s="492" t="str">
        <f t="shared" si="19"/>
        <v/>
      </c>
      <c r="AH43" s="492" t="str">
        <f t="shared" si="20"/>
        <v/>
      </c>
      <c r="AI43" s="493" t="str">
        <f t="shared" si="21"/>
        <v/>
      </c>
      <c r="AJ43" s="645" t="str">
        <f t="shared" si="24"/>
        <v/>
      </c>
      <c r="AK43" s="494" t="str">
        <f>IF(OR($A43="",AC43="",AC$48="-",LU!$W$5=0),"",AC43-AC$48)</f>
        <v/>
      </c>
      <c r="AL43" s="1277" t="str">
        <f>IF(OR(A43="",F43=0),"",SUM(PT!U86,PT!U87))</f>
        <v/>
      </c>
      <c r="AM43" s="1278"/>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7" t="str">
        <f>IF(A44="","",(SUM(C44:E44)-(SUMPRODUCT(--(Lineups!AC$4:AC$41=A44),--(Lineups!AA$4:AA$41="SP"))+SUMPRODUCT(--(Lineups!AG$4:AG$41=A44),--(Lineups!AA$4:AA$41="SP"))+SUMPRODUCT(--(Lineups!AC$46:AC$83=A44),--(Lineups!AA$46:AA$83="SP"))+SUMPRODUCT(--(Lineups!AG$46:AG$83=A44),--(Lineups!AA$46:AA$83="SP")))))</f>
        <v/>
      </c>
      <c r="G44" s="458" t="str">
        <f>IF(OR(A44="",F44=0,LU!D$3+LU!D$102=0),"",F44/(LU!D$3+LU!D$102))</f>
        <v/>
      </c>
      <c r="H44" s="459" t="str">
        <f>IF(OR(C44=0,A44=""),"",SK!T222)</f>
        <v/>
      </c>
      <c r="I44" s="460" t="str">
        <f>IF(OR(A44="",SK!U222="",SK!U222=0),"",H44/SK!U222)</f>
        <v/>
      </c>
      <c r="J44" s="479" t="str">
        <f>IF(OR(C44=0,A44=""),"",SK!W222)</f>
        <v/>
      </c>
      <c r="K44" s="480" t="str">
        <f>IF(OR(C44=0,A44=""),"",SK!X222)</f>
        <v/>
      </c>
      <c r="L44" s="481" t="str">
        <f>IF(OR(C44=0,A44=""),"",SK!Z222)</f>
        <v/>
      </c>
      <c r="M44" s="481" t="str">
        <f>IF(OR(C44=0,A44=""),"",SK!AB222)</f>
        <v/>
      </c>
      <c r="N44" s="793" t="str">
        <f>IF(OR(A44="",C44=0),"",SUMPRODUCT(--(Lineups!$AA$4:$AA$41="SP"),--(Lineups!$AC$4:$AC$41=A44))+SUMPRODUCT(--(Lineups!$AA$46:$AA$83="SP"),--(Lineups!$AC$46:$AC$83=A44)))</f>
        <v/>
      </c>
      <c r="O44" s="482" t="str">
        <f t="shared" si="22"/>
        <v/>
      </c>
      <c r="P44" s="483" t="str">
        <f>IF(OR(A44="",C44=0),"",SK!Y222)</f>
        <v/>
      </c>
      <c r="Q44" s="484" t="str">
        <f t="shared" si="13"/>
        <v/>
      </c>
      <c r="R44" s="485" t="str">
        <f>IF(OR(A44="",F44=0),"",SUM(LU!AJ71,LU!AJ170))</f>
        <v/>
      </c>
      <c r="S44" s="486" t="str">
        <f>IF(OR(A44="",F44=0),"",SUM(LU!AJ94,LU!AJ193))</f>
        <v/>
      </c>
      <c r="T44" s="459" t="str">
        <f>IF(OR(A44="",F44=0),"",SUM(LU!AJ48,LU!AJ147))</f>
        <v/>
      </c>
      <c r="U44" s="486" t="str">
        <f>IF(OR(A44="",C44=0),"",SUM(LU!AH48,LU!AH147))</f>
        <v/>
      </c>
      <c r="V44" s="487" t="str">
        <f t="shared" si="14"/>
        <v/>
      </c>
      <c r="W44" s="488" t="str">
        <f>IF(OR(A44="",D44=0),"",SUM(LU!W48,LU!W147))</f>
        <v/>
      </c>
      <c r="X44" s="487" t="str">
        <f t="shared" si="15"/>
        <v/>
      </c>
      <c r="Y44" s="488" t="str">
        <f>IF(OR(A44="",E44=0),"",SUM(LU!AC48,LU!AC147))</f>
        <v/>
      </c>
      <c r="Z44" s="487" t="str">
        <f t="shared" si="16"/>
        <v/>
      </c>
      <c r="AA44" s="641" t="str">
        <f>IF(OR(A44="",AND(D44=0, E44=0)),"",SUM(LU!AE48,LU!AE147))</f>
        <v/>
      </c>
      <c r="AB44" s="642" t="str">
        <f t="shared" si="23"/>
        <v/>
      </c>
      <c r="AC44" s="484" t="str">
        <f t="shared" si="17"/>
        <v/>
      </c>
      <c r="AD44" s="489" t="str">
        <f>IF(OR(A44="",F44=0,R$48="-",LU!$W$5=0),"",R44-R$48)</f>
        <v/>
      </c>
      <c r="AE44" s="490" t="str">
        <f>IF(OR(A44="",F44=0,S$48="-",LU!$W$5=0),"",S44-S$48)</f>
        <v/>
      </c>
      <c r="AF44" s="491" t="str">
        <f t="shared" si="18"/>
        <v/>
      </c>
      <c r="AG44" s="492" t="str">
        <f t="shared" si="19"/>
        <v/>
      </c>
      <c r="AH44" s="492" t="str">
        <f t="shared" si="20"/>
        <v/>
      </c>
      <c r="AI44" s="493" t="str">
        <f t="shared" si="21"/>
        <v/>
      </c>
      <c r="AJ44" s="645" t="str">
        <f t="shared" si="24"/>
        <v/>
      </c>
      <c r="AK44" s="494" t="str">
        <f>IF(OR($A44="",AC44="",AC$48="-",LU!$W$5=0),"",AC44-AC$48)</f>
        <v/>
      </c>
      <c r="AL44" s="1277" t="str">
        <f>IF(OR(A44="",F44=0),"",SUM(PT!U88,PT!U89))</f>
        <v/>
      </c>
      <c r="AM44" s="1278"/>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7" t="str">
        <f>IF(A45="","",(SUM(C45:E45)-(SUMPRODUCT(--(Lineups!AC$4:AC$41=A45),--(Lineups!AA$4:AA$41="SP"))+SUMPRODUCT(--(Lineups!AG$4:AG$41=A45),--(Lineups!AA$4:AA$41="SP"))+SUMPRODUCT(--(Lineups!AC$46:AC$83=A45),--(Lineups!AA$46:AA$83="SP"))+SUMPRODUCT(--(Lineups!AG$46:AG$83=A45),--(Lineups!AA$46:AA$83="SP")))))</f>
        <v/>
      </c>
      <c r="G45" s="458" t="str">
        <f>IF(OR(A45="",F45=0,LU!D$3+LU!D$102=0),"",F45/(LU!D$3+LU!D$102))</f>
        <v/>
      </c>
      <c r="H45" s="459" t="str">
        <f>IF(OR(C45=0,A45=""),"",SK!T225)</f>
        <v/>
      </c>
      <c r="I45" s="460" t="str">
        <f>IF(OR(A45="",SK!U225="",SK!U225=0),"",H45/SK!U225)</f>
        <v/>
      </c>
      <c r="J45" s="479" t="str">
        <f>IF(OR(C45=0,A45=""),"",SK!W225)</f>
        <v/>
      </c>
      <c r="K45" s="480" t="str">
        <f>IF(OR(C45=0,A45=""),"",SK!X225)</f>
        <v/>
      </c>
      <c r="L45" s="481" t="str">
        <f>IF(OR(C45=0,A45=""),"",SK!Z225)</f>
        <v/>
      </c>
      <c r="M45" s="481" t="str">
        <f>IF(OR(C45=0,A45=""),"",SK!AB225)</f>
        <v/>
      </c>
      <c r="N45" s="793" t="str">
        <f>IF(OR(A45="",C45=0),"",SUMPRODUCT(--(Lineups!$AA$4:$AA$41="SP"),--(Lineups!$AC$4:$AC$41=A45))+SUMPRODUCT(--(Lineups!$AA$46:$AA$83="SP"),--(Lineups!$AC$46:$AC$83=A45)))</f>
        <v/>
      </c>
      <c r="O45" s="482" t="str">
        <f t="shared" si="22"/>
        <v/>
      </c>
      <c r="P45" s="483" t="str">
        <f>IF(OR(A45="",C45=0),"",SK!Y225)</f>
        <v/>
      </c>
      <c r="Q45" s="484" t="str">
        <f t="shared" si="13"/>
        <v/>
      </c>
      <c r="R45" s="485" t="str">
        <f>IF(OR(A45="",F45=0),"",SUM(LU!AJ72,LU!AJ171))</f>
        <v/>
      </c>
      <c r="S45" s="486" t="str">
        <f>IF(OR(A45="",F45=0),"",SUM(LU!AJ95,LU!AJ194))</f>
        <v/>
      </c>
      <c r="T45" s="459" t="str">
        <f>IF(OR(A45="",F45=0),"",SUM(LU!AJ49,LU!AJ148))</f>
        <v/>
      </c>
      <c r="U45" s="486" t="str">
        <f>IF(OR(A45="",C45=0),"",SUM(LU!AH49,LU!AH148))</f>
        <v/>
      </c>
      <c r="V45" s="487" t="str">
        <f t="shared" si="14"/>
        <v/>
      </c>
      <c r="W45" s="488" t="str">
        <f>IF(OR(A45="",D45=0),"",SUM(LU!W49,LU!W148))</f>
        <v/>
      </c>
      <c r="X45" s="487" t="str">
        <f t="shared" si="15"/>
        <v/>
      </c>
      <c r="Y45" s="488" t="str">
        <f>IF(OR(A45="",E45=0),"",SUM(LU!AC49,LU!AC148))</f>
        <v/>
      </c>
      <c r="Z45" s="487" t="str">
        <f t="shared" si="16"/>
        <v/>
      </c>
      <c r="AA45" s="641" t="str">
        <f>IF(OR(A45="",AND(D45=0, E45=0)),"",SUM(LU!AE49,LU!AE148))</f>
        <v/>
      </c>
      <c r="AB45" s="642" t="str">
        <f t="shared" si="23"/>
        <v/>
      </c>
      <c r="AC45" s="484" t="str">
        <f t="shared" si="17"/>
        <v/>
      </c>
      <c r="AD45" s="489" t="str">
        <f>IF(OR(A45="",F45=0,R$48="-",LU!$W$5=0),"",R45-R$48)</f>
        <v/>
      </c>
      <c r="AE45" s="490" t="str">
        <f>IF(OR(A45="",F45=0,S$48="-",LU!$W$5=0),"",S45-S$48)</f>
        <v/>
      </c>
      <c r="AF45" s="491" t="str">
        <f t="shared" si="18"/>
        <v/>
      </c>
      <c r="AG45" s="492" t="str">
        <f t="shared" si="19"/>
        <v/>
      </c>
      <c r="AH45" s="492" t="str">
        <f t="shared" si="20"/>
        <v/>
      </c>
      <c r="AI45" s="493" t="str">
        <f t="shared" si="21"/>
        <v/>
      </c>
      <c r="AJ45" s="645" t="str">
        <f t="shared" si="24"/>
        <v/>
      </c>
      <c r="AK45" s="494" t="str">
        <f>IF(OR($A45="",AC45="",AC$48="-",LU!$W$5=0),"",AC45-AC$48)</f>
        <v/>
      </c>
      <c r="AL45" s="1277" t="str">
        <f>IF(OR(A45="",F45=0),"",SUM(PT!U90,PT!U91))</f>
        <v/>
      </c>
      <c r="AM45" s="1278"/>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7" t="str">
        <f>IF(A46="","",(SUM(C46:E46)-(SUMPRODUCT(--(Lineups!AC$4:AC$41=A46),--(Lineups!AA$4:AA$41="SP"))+SUMPRODUCT(--(Lineups!AG$4:AG$41=A46),--(Lineups!AA$4:AA$41="SP"))+SUMPRODUCT(--(Lineups!AC$46:AC$83=A46),--(Lineups!AA$46:AA$83="SP"))+SUMPRODUCT(--(Lineups!AG$46:AG$83=A46),--(Lineups!AA$46:AA$83="SP")))))</f>
        <v/>
      </c>
      <c r="G46" s="458" t="str">
        <f>IF(OR(A46="",F46=0,LU!D$3+LU!D$102=0),"",F46/(LU!D$3+LU!D$102))</f>
        <v/>
      </c>
      <c r="H46" s="459" t="str">
        <f>IF(OR(C46=0,A46=""),"",SK!T228)</f>
        <v/>
      </c>
      <c r="I46" s="460" t="str">
        <f>IF(OR(A46="",SK!U228="",SK!U228=0),"",H46/SK!U228)</f>
        <v/>
      </c>
      <c r="J46" s="479" t="str">
        <f>IF(OR(C46=0,A46=""),"",SK!W228)</f>
        <v/>
      </c>
      <c r="K46" s="480" t="str">
        <f>IF(OR(C46=0,A46=""),"",SK!X228)</f>
        <v/>
      </c>
      <c r="L46" s="481" t="str">
        <f>IF(OR(C46=0,A46=""),"",SK!Z228)</f>
        <v/>
      </c>
      <c r="M46" s="481" t="str">
        <f>IF(OR(C46=0,A46=""),"",SK!AB228)</f>
        <v/>
      </c>
      <c r="N46" s="793" t="str">
        <f>IF(OR(A46="",C46=0),"",SUMPRODUCT(--(Lineups!$AA$4:$AA$41="SP"),--(Lineups!$AC$4:$AC$41=A46))+SUMPRODUCT(--(Lineups!$AA$46:$AA$83="SP"),--(Lineups!$AC$46:$AC$83=A46)))</f>
        <v/>
      </c>
      <c r="O46" s="482" t="str">
        <f t="shared" si="22"/>
        <v/>
      </c>
      <c r="P46" s="483" t="str">
        <f>IF(OR(A46="",C46=0),"",SK!Y228)</f>
        <v/>
      </c>
      <c r="Q46" s="484" t="str">
        <f t="shared" si="13"/>
        <v/>
      </c>
      <c r="R46" s="485" t="str">
        <f>IF(OR(A46="",F46=0),"",SUM(LU!AJ73,LU!AJ172))</f>
        <v/>
      </c>
      <c r="S46" s="486" t="str">
        <f>IF(OR(A46="",F46=0),"",SUM(LU!AJ96,LU!AJ195))</f>
        <v/>
      </c>
      <c r="T46" s="459" t="str">
        <f>IF(OR(A46="",F46=0),"",SUM(LU!AJ50,LU!AJ149))</f>
        <v/>
      </c>
      <c r="U46" s="486" t="str">
        <f>IF(OR(A46="",C46=0),"",SUM(LU!AH50,LU!AH149))</f>
        <v/>
      </c>
      <c r="V46" s="487" t="str">
        <f t="shared" si="14"/>
        <v/>
      </c>
      <c r="W46" s="488" t="str">
        <f>IF(OR(A46="",D46=0),"",SUM(LU!W50,LU!W149))</f>
        <v/>
      </c>
      <c r="X46" s="487" t="str">
        <f t="shared" si="15"/>
        <v/>
      </c>
      <c r="Y46" s="488" t="str">
        <f>IF(OR(A46="",E46=0),"",SUM(LU!AC50,LU!AC149))</f>
        <v/>
      </c>
      <c r="Z46" s="487" t="str">
        <f t="shared" si="16"/>
        <v/>
      </c>
      <c r="AA46" s="641" t="str">
        <f>IF(OR(A46="",AND(D46=0, E46=0)),"",SUM(LU!AE50,LU!AE149))</f>
        <v/>
      </c>
      <c r="AB46" s="642" t="str">
        <f t="shared" si="23"/>
        <v/>
      </c>
      <c r="AC46" s="484" t="str">
        <f t="shared" si="17"/>
        <v/>
      </c>
      <c r="AD46" s="489" t="str">
        <f>IF(OR(A46="",F46=0,R$48="-",LU!$W$5=0),"",R46-R$48)</f>
        <v/>
      </c>
      <c r="AE46" s="490" t="str">
        <f>IF(OR(A46="",F46=0,S$48="-",LU!$W$5=0),"",S46-S$48)</f>
        <v/>
      </c>
      <c r="AF46" s="491" t="str">
        <f t="shared" si="18"/>
        <v/>
      </c>
      <c r="AG46" s="492" t="str">
        <f t="shared" si="19"/>
        <v/>
      </c>
      <c r="AH46" s="492" t="str">
        <f t="shared" si="20"/>
        <v/>
      </c>
      <c r="AI46" s="493" t="str">
        <f t="shared" si="21"/>
        <v/>
      </c>
      <c r="AJ46" s="645" t="str">
        <f t="shared" si="24"/>
        <v/>
      </c>
      <c r="AK46" s="494" t="str">
        <f>IF(OR($A46="",AC46="",AC$48="-",LU!$W$5=0),"",AC46-AC$48)</f>
        <v/>
      </c>
      <c r="AL46" s="1277" t="str">
        <f>IF(OR(A46="",F46=0),"",SUM(PT!U92,PT!U93))</f>
        <v/>
      </c>
      <c r="AM46" s="1278"/>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1" t="str">
        <f>IF(A47="","",(SUM(C47:E47)-(SUMPRODUCT(--(Lineups!AC$4:AC$41=A47),--(Lineups!AA$4:AA$41="SP"))+SUMPRODUCT(--(Lineups!AG$4:AG$41=A47),--(Lineups!AA$4:AA$41="SP"))+SUMPRODUCT(--(Lineups!AC$46:AC$83=A47),--(Lineups!AA$46:AA$83="SP"))+SUMPRODUCT(--(Lineups!AG$46:AG$83=A47),--(Lineups!AA$46:AA$83="SP")))))</f>
        <v/>
      </c>
      <c r="G47" s="462" t="str">
        <f>IF(OR(A47="",F47=0,LU!D$3+LU!D$102=0),"",F47/(LU!D$3+LU!D$102))</f>
        <v/>
      </c>
      <c r="H47" s="459" t="str">
        <f>IF(OR(C47=0,A47=""),"",SK!T231)</f>
        <v/>
      </c>
      <c r="I47" s="460" t="str">
        <f>IF(OR(A47="",SK!U231="",SK!U231=0),"",H47/SK!U231)</f>
        <v/>
      </c>
      <c r="J47" s="479" t="str">
        <f>IF(OR(C47=0,A47=""),"",SK!W231)</f>
        <v/>
      </c>
      <c r="K47" s="480" t="str">
        <f>IF(OR(C47=0,A47=""),"",SK!X231)</f>
        <v/>
      </c>
      <c r="L47" s="481" t="str">
        <f>IF(OR(C47=0,A47=""),"",SK!Z231)</f>
        <v/>
      </c>
      <c r="M47" s="481" t="str">
        <f>IF(OR(C47=0,A47=""),"",SK!AB231)</f>
        <v/>
      </c>
      <c r="N47" s="793" t="str">
        <f>IF(OR(A47="",C47=0),"",SUMPRODUCT(--(Lineups!$AA$4:$AA$41="SP"),--(Lineups!$AC$4:$AC$41=A47))+SUMPRODUCT(--(Lineups!$AA$46:$AA$83="SP"),--(Lineups!$AC$46:$AC$83=A47)))</f>
        <v/>
      </c>
      <c r="O47" s="482" t="str">
        <f t="shared" si="22"/>
        <v/>
      </c>
      <c r="P47" s="495" t="str">
        <f>IF(OR(A47="",C47=0),"",SK!Y231)</f>
        <v/>
      </c>
      <c r="Q47" s="496" t="str">
        <f t="shared" si="13"/>
        <v/>
      </c>
      <c r="R47" s="485" t="str">
        <f>IF(OR(A47="",F47=0),"",SUM(LU!AJ74,LU!AJ173))</f>
        <v/>
      </c>
      <c r="S47" s="486" t="str">
        <f>IF(OR(A47="",F47=0),"",SUM(LU!AJ97,LU!AJ196))</f>
        <v/>
      </c>
      <c r="T47" s="459" t="str">
        <f>IF(OR(A47="",F47=0),"",SUM(LU!AJ51,LU!AJ150))</f>
        <v/>
      </c>
      <c r="U47" s="486" t="str">
        <f>IF(OR(A47="",C47=0),"",SUM(LU!AH51,LU!AH150))</f>
        <v/>
      </c>
      <c r="V47" s="487" t="str">
        <f t="shared" si="14"/>
        <v/>
      </c>
      <c r="W47" s="488" t="str">
        <f>IF(OR(A47="",D47=0),"",SUM(LU!W51,LU!W150))</f>
        <v/>
      </c>
      <c r="X47" s="487" t="str">
        <f t="shared" si="15"/>
        <v/>
      </c>
      <c r="Y47" s="488" t="str">
        <f>IF(OR(A47="",E47=0),"",SUM(LU!AC51,LU!AC150))</f>
        <v/>
      </c>
      <c r="Z47" s="487" t="str">
        <f t="shared" si="16"/>
        <v/>
      </c>
      <c r="AA47" s="641" t="str">
        <f>IF(OR(A47="",AND(D47=0, E47=0)),"",SUM(LU!AE51,LU!AE150))</f>
        <v/>
      </c>
      <c r="AB47" s="642" t="str">
        <f t="shared" si="23"/>
        <v/>
      </c>
      <c r="AC47" s="497" t="str">
        <f t="shared" si="17"/>
        <v/>
      </c>
      <c r="AD47" s="489" t="str">
        <f>IF(OR(A47="",F47=0,R$48="-",LU!$W$5=0),"",R47-R$48)</f>
        <v/>
      </c>
      <c r="AE47" s="490" t="str">
        <f>IF(OR(A47="",F47=0,S$48="-",LU!$W$5=0),"",S47-S$48)</f>
        <v/>
      </c>
      <c r="AF47" s="491" t="str">
        <f t="shared" si="18"/>
        <v/>
      </c>
      <c r="AG47" s="492" t="str">
        <f t="shared" si="19"/>
        <v/>
      </c>
      <c r="AH47" s="492" t="str">
        <f t="shared" si="20"/>
        <v/>
      </c>
      <c r="AI47" s="493" t="str">
        <f t="shared" si="21"/>
        <v/>
      </c>
      <c r="AJ47" s="645" t="str">
        <f t="shared" si="24"/>
        <v/>
      </c>
      <c r="AK47" s="494" t="str">
        <f>IF(OR($A47="",AC47="",AC$48="-",LU!$W$5=0),"",AC47-AC$48)</f>
        <v/>
      </c>
      <c r="AL47" s="1279" t="str">
        <f>IF(OR(A47="",F47=0),"",SUM(PT!U94,PT!U95))</f>
        <v/>
      </c>
      <c r="AM47" s="1280"/>
    </row>
    <row r="48" spans="1:39" s="6" customFormat="1" ht="20.25" customHeight="1" thickBot="1" x14ac:dyDescent="0.25">
      <c r="A48" s="1281" t="s">
        <v>97</v>
      </c>
      <c r="B48" s="1281"/>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82">
        <f>SUM(AL28:AM47)</f>
        <v>0</v>
      </c>
      <c r="AM48" s="1283"/>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rintOptions horizontalCentered="1" verticalCentered="1"/>
  <pageMargins left="0.25" right="0.25" top="0.25" bottom="0.25" header="0.51180555555555551" footer="0.39"/>
  <pageSetup scale="56"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zoomScaleNormal="100" workbookViewId="0">
      <selection sqref="A1:C1"/>
    </sheetView>
  </sheetViews>
  <sheetFormatPr defaultColWidth="9.140625" defaultRowHeight="12.75" x14ac:dyDescent="0.2"/>
  <cols>
    <col min="1" max="1" customWidth="true" style="381" width="5.7109375" collapsed="false"/>
    <col min="2" max="2" customWidth="true" style="381" width="20.7109375" collapsed="false"/>
    <col min="3" max="3" customWidth="true" style="381" width="4.7109375" collapsed="false"/>
    <col min="4" max="11" customWidth="true" style="381" width="3.7109375" collapsed="false"/>
    <col min="12" max="12" customWidth="true" style="381" width="4.140625" collapsed="false"/>
    <col min="13" max="17" customWidth="true" style="381" width="3.7109375" collapsed="false"/>
    <col min="18" max="19" customWidth="true" hidden="true" style="381" width="3.7109375" collapsed="false"/>
    <col min="20" max="20" customWidth="true" style="381" width="5.7109375" collapsed="false"/>
    <col min="21" max="21" customWidth="true" style="381" width="5.42578125" collapsed="false"/>
    <col min="22" max="22" customWidth="true" style="381" width="9.28515625" collapsed="false"/>
    <col min="23" max="23" customWidth="true" style="381" width="5.140625" collapsed="false"/>
    <col min="24" max="24" customWidth="true" style="381" width="6.7109375" collapsed="false"/>
    <col min="25" max="28" customWidth="true" style="381" width="4.42578125" collapsed="false"/>
    <col min="29" max="16384" style="74" width="9.140625" collapsed="false"/>
  </cols>
  <sheetData>
    <row r="1" spans="1:29" ht="20.25" customHeight="1" thickBot="1" x14ac:dyDescent="0.25">
      <c r="A1" s="1284" t="str">
        <f>IF(IGRF!$B$7="","",IGRF!$B$7)</f>
        <v/>
      </c>
      <c r="B1" s="1284"/>
      <c r="C1" s="1284"/>
      <c r="D1" s="1285" t="s">
        <v>99</v>
      </c>
      <c r="E1" s="1285"/>
      <c r="F1" s="1285"/>
      <c r="G1" s="1285"/>
      <c r="H1" s="1285"/>
      <c r="I1" s="1285"/>
      <c r="J1" s="1285"/>
      <c r="K1" s="1285"/>
      <c r="L1" s="1285"/>
      <c r="M1" s="1285"/>
      <c r="N1" s="1285"/>
      <c r="O1" s="1285"/>
      <c r="P1" s="1285"/>
      <c r="Q1" s="1285"/>
      <c r="R1" s="1285"/>
      <c r="S1" s="1285"/>
      <c r="T1" s="1285"/>
      <c r="U1" s="1285"/>
      <c r="V1" s="1285"/>
      <c r="W1" s="1286"/>
      <c r="X1" s="1286"/>
    </row>
    <row r="2" spans="1:29" ht="60" customHeight="1" thickBot="1" x14ac:dyDescent="0.25">
      <c r="A2" s="1287" t="str">
        <f>Score!A1</f>
        <v>Home Team</v>
      </c>
      <c r="B2" s="1287"/>
      <c r="C2" s="1287"/>
      <c r="D2" s="1288" t="s">
        <v>314</v>
      </c>
      <c r="E2" s="1289"/>
      <c r="F2" s="1289"/>
      <c r="G2" s="1289"/>
      <c r="H2" s="1289"/>
      <c r="I2" s="1289"/>
      <c r="J2" s="1289"/>
      <c r="K2" s="1289"/>
      <c r="L2" s="1289"/>
      <c r="M2" s="1289"/>
      <c r="N2" s="1289"/>
      <c r="O2" s="1289"/>
      <c r="P2" s="1289"/>
      <c r="Q2" s="1289"/>
      <c r="R2" s="1289"/>
      <c r="S2" s="1289"/>
      <c r="T2" s="1290"/>
      <c r="U2" s="382"/>
      <c r="V2" s="382"/>
      <c r="W2" s="1291" t="s">
        <v>100</v>
      </c>
      <c r="X2" s="1292"/>
      <c r="Y2" s="383"/>
      <c r="Z2" s="383"/>
      <c r="AA2" s="383"/>
      <c r="AB2" s="383"/>
      <c r="AC2" s="381"/>
    </row>
    <row r="3" spans="1:29" ht="60.75" customHeight="1" x14ac:dyDescent="0.25">
      <c r="A3" s="384" t="s">
        <v>111</v>
      </c>
      <c r="B3" s="1297" t="s">
        <v>101</v>
      </c>
      <c r="C3" s="1298"/>
      <c r="D3" s="385" t="s">
        <v>102</v>
      </c>
      <c r="E3" s="386" t="s">
        <v>122</v>
      </c>
      <c r="F3" s="387" t="s">
        <v>114</v>
      </c>
      <c r="G3" s="387" t="s">
        <v>125</v>
      </c>
      <c r="H3" s="387" t="s">
        <v>424</v>
      </c>
      <c r="I3" s="387" t="s">
        <v>120</v>
      </c>
      <c r="J3" s="387" t="s">
        <v>425</v>
      </c>
      <c r="K3" s="387" t="s">
        <v>426</v>
      </c>
      <c r="L3" s="387" t="s">
        <v>427</v>
      </c>
      <c r="M3" s="387" t="s">
        <v>428</v>
      </c>
      <c r="N3" s="387" t="s">
        <v>429</v>
      </c>
      <c r="O3" s="387" t="s">
        <v>430</v>
      </c>
      <c r="P3" s="387" t="s">
        <v>431</v>
      </c>
      <c r="Q3" s="388" t="s">
        <v>57</v>
      </c>
      <c r="R3" s="388"/>
      <c r="S3" s="388"/>
      <c r="T3" s="389" t="s">
        <v>59</v>
      </c>
      <c r="U3" s="390" t="s">
        <v>308</v>
      </c>
      <c r="V3" s="391" t="s">
        <v>128</v>
      </c>
      <c r="W3" s="392" t="s">
        <v>60</v>
      </c>
      <c r="X3" s="393" t="s">
        <v>309</v>
      </c>
      <c r="Y3" s="394"/>
      <c r="Z3" s="394"/>
      <c r="AA3" s="394"/>
      <c r="AB3" s="394"/>
      <c r="AC3" s="381"/>
    </row>
    <row r="4" spans="1:29" ht="25.15" customHeight="1" x14ac:dyDescent="0.2">
      <c r="A4" s="395" t="str">
        <f>IF(IGRF!B14="","",IGRF!B14)</f>
        <v/>
      </c>
      <c r="B4" s="1295" t="str">
        <f>IF(IGRF!C14="","",IGRF!C14)</f>
        <v/>
      </c>
      <c r="C4" s="1296"/>
      <c r="D4" s="396" t="str">
        <f>IF($A4="","",SUM(PT!E3,PT!E4))</f>
        <v/>
      </c>
      <c r="E4" s="397" t="str">
        <f>IF($A4="","",SUM(PT!F3,PT!F4))</f>
        <v/>
      </c>
      <c r="F4" s="397" t="str">
        <f>IF($A4="","",SUM(PT!G3,PT!G4))</f>
        <v/>
      </c>
      <c r="G4" s="397" t="str">
        <f>IF($A4="","",SUM(PT!H3,PT!H4))</f>
        <v/>
      </c>
      <c r="H4" s="397" t="str">
        <f>IF($A4="","",SUM(PT!I3,PT!I4))</f>
        <v/>
      </c>
      <c r="I4" s="397" t="str">
        <f>IF($A4="","",SUM(PT!J3,PT!J4))</f>
        <v/>
      </c>
      <c r="J4" s="397" t="str">
        <f>IF($A4="","",SUM(PT!K3,PT!K4))</f>
        <v/>
      </c>
      <c r="K4" s="397" t="str">
        <f>IF($A4="","",SUM(PT!L3,PT!L4))</f>
        <v/>
      </c>
      <c r="L4" s="397" t="str">
        <f>IF($A4="","",SUM(PT!M3,PT!M4))</f>
        <v/>
      </c>
      <c r="M4" s="397" t="str">
        <f>IF($A4="","",SUM(PT!N3,PT!N4))</f>
        <v/>
      </c>
      <c r="N4" s="397" t="str">
        <f>IF($A4="","",SUM(PT!O3,PT!O4))</f>
        <v/>
      </c>
      <c r="O4" s="397" t="str">
        <f>IF($A4="","",SUM(PT!P3,PT!P4))</f>
        <v/>
      </c>
      <c r="P4" s="397" t="str">
        <f>IF($A4="","",SUM(PT!Q3,PT!Q4))</f>
        <v/>
      </c>
      <c r="Q4" s="397" t="str">
        <f>IF($A4="","",SUM(PT!R3,PT!R4))</f>
        <v/>
      </c>
      <c r="R4" s="397"/>
      <c r="S4" s="398"/>
      <c r="T4" s="399" t="str">
        <f>IF($A4="","",SUM(D4:S4))</f>
        <v/>
      </c>
      <c r="U4" s="400" t="str">
        <f>IF($A4="","",SUM(PT!U3,PT!U4))</f>
        <v/>
      </c>
      <c r="V4" s="401" t="str">
        <f>IF($A4="","",PT!AJ4)</f>
        <v/>
      </c>
      <c r="W4" s="402" t="str">
        <f>'Game Summary'!F6</f>
        <v/>
      </c>
      <c r="X4" s="403" t="str">
        <f t="shared" ref="X4:X23" si="0">IF(OR(W4="",W4=0),"",U4/W4)</f>
        <v/>
      </c>
      <c r="Y4" s="394"/>
      <c r="Z4" s="394"/>
      <c r="AA4" s="394"/>
      <c r="AB4" s="394"/>
      <c r="AC4" s="381"/>
    </row>
    <row r="5" spans="1:29" ht="25.15" customHeight="1" x14ac:dyDescent="0.2">
      <c r="A5" s="404" t="str">
        <f>IF(IGRF!B15="","",IGRF!B15)</f>
        <v/>
      </c>
      <c r="B5" s="1293" t="str">
        <f>IF(IGRF!C15="","",IGRF!C15)</f>
        <v/>
      </c>
      <c r="C5" s="1294"/>
      <c r="D5" s="405" t="str">
        <f>IF($A5="","",SUM(PT!E5,PT!E6))</f>
        <v/>
      </c>
      <c r="E5" s="406" t="str">
        <f>IF($A5="","",SUM(PT!F5,PT!F6))</f>
        <v/>
      </c>
      <c r="F5" s="407" t="str">
        <f>IF($A5="","",SUM(PT!G5,PT!G6))</f>
        <v/>
      </c>
      <c r="G5" s="408" t="str">
        <f>IF($A5="","",SUM(PT!H5,PT!H6))</f>
        <v/>
      </c>
      <c r="H5" s="408" t="str">
        <f>IF($A5="","",SUM(PT!I5,PT!I6))</f>
        <v/>
      </c>
      <c r="I5" s="408" t="str">
        <f>IF($A5="","",SUM(PT!J5,PT!J6))</f>
        <v/>
      </c>
      <c r="J5" s="408" t="str">
        <f>IF($A5="","",SUM(PT!K5,PT!K6))</f>
        <v/>
      </c>
      <c r="K5" s="408" t="str">
        <f>IF($A5="","",SUM(PT!L5,PT!L6))</f>
        <v/>
      </c>
      <c r="L5" s="408" t="str">
        <f>IF($A5="","",SUM(PT!M5,PT!M6))</f>
        <v/>
      </c>
      <c r="M5" s="408" t="str">
        <f>IF($A5="","",SUM(PT!N5,PT!N6))</f>
        <v/>
      </c>
      <c r="N5" s="408" t="str">
        <f>IF($A5="","",SUM(PT!O5,PT!O6))</f>
        <v/>
      </c>
      <c r="O5" s="408" t="str">
        <f>IF($A5="","",SUM(PT!P5,PT!P6))</f>
        <v/>
      </c>
      <c r="P5" s="408" t="str">
        <f>IF($A5="","",SUM(PT!Q5,PT!Q6))</f>
        <v/>
      </c>
      <c r="Q5" s="408" t="str">
        <f>IF($A5="","",SUM(PT!R5,PT!R6))</f>
        <v/>
      </c>
      <c r="R5" s="408"/>
      <c r="S5" s="408"/>
      <c r="T5" s="409" t="str">
        <f t="shared" ref="T5:T23" si="1">IF($A5="","",SUM(D5:S5))</f>
        <v/>
      </c>
      <c r="U5" s="410" t="str">
        <f>IF($A5="","",SUM(PT!U5,PT!U6))</f>
        <v/>
      </c>
      <c r="V5" s="411" t="str">
        <f>IF($A5="","",PT!AJ6)</f>
        <v/>
      </c>
      <c r="W5" s="412" t="str">
        <f>'Game Summary'!F7</f>
        <v/>
      </c>
      <c r="X5" s="413" t="str">
        <f t="shared" si="0"/>
        <v/>
      </c>
      <c r="Y5" s="394"/>
      <c r="Z5" s="394"/>
      <c r="AA5" s="394"/>
      <c r="AB5" s="394"/>
      <c r="AC5" s="381"/>
    </row>
    <row r="6" spans="1:29" ht="25.15" customHeight="1" x14ac:dyDescent="0.2">
      <c r="A6" s="395" t="str">
        <f>IF(IGRF!B16="","",IGRF!B16)</f>
        <v/>
      </c>
      <c r="B6" s="1295" t="str">
        <f>IF(IGRF!C16="","",IGRF!C16)</f>
        <v/>
      </c>
      <c r="C6" s="1296"/>
      <c r="D6" s="396" t="str">
        <f>IF($A6="","",SUM(PT!E7,PT!E8))</f>
        <v/>
      </c>
      <c r="E6" s="397" t="str">
        <f>IF($A6="","",SUM(PT!F7,PT!F8))</f>
        <v/>
      </c>
      <c r="F6" s="397" t="str">
        <f>IF($A6="","",SUM(PT!G7,PT!G8))</f>
        <v/>
      </c>
      <c r="G6" s="397" t="str">
        <f>IF($A6="","",SUM(PT!H7,PT!H8))</f>
        <v/>
      </c>
      <c r="H6" s="397" t="str">
        <f>IF($A6="","",SUM(PT!I7,PT!I8))</f>
        <v/>
      </c>
      <c r="I6" s="397" t="str">
        <f>IF($A6="","",SUM(PT!J7,PT!J8))</f>
        <v/>
      </c>
      <c r="J6" s="397" t="str">
        <f>IF($A6="","",SUM(PT!K7,PT!K8))</f>
        <v/>
      </c>
      <c r="K6" s="397" t="str">
        <f>IF($A6="","",SUM(PT!L7,PT!L8))</f>
        <v/>
      </c>
      <c r="L6" s="397" t="str">
        <f>IF($A6="","",SUM(PT!M7,PT!M8))</f>
        <v/>
      </c>
      <c r="M6" s="397" t="str">
        <f>IF($A6="","",SUM(PT!N7,PT!N8))</f>
        <v/>
      </c>
      <c r="N6" s="397" t="str">
        <f>IF($A6="","",SUM(PT!O7,PT!O8))</f>
        <v/>
      </c>
      <c r="O6" s="397" t="str">
        <f>IF($A6="","",SUM(PT!P7,PT!P8))</f>
        <v/>
      </c>
      <c r="P6" s="397" t="str">
        <f>IF($A6="","",SUM(PT!Q7,PT!Q8))</f>
        <v/>
      </c>
      <c r="Q6" s="397" t="str">
        <f>IF($A6="","",SUM(PT!R7,PT!R8))</f>
        <v/>
      </c>
      <c r="R6" s="397"/>
      <c r="S6" s="398"/>
      <c r="T6" s="399" t="str">
        <f t="shared" si="1"/>
        <v/>
      </c>
      <c r="U6" s="400" t="str">
        <f>IF($A6="","",SUM(PT!U7,PT!U8))</f>
        <v/>
      </c>
      <c r="V6" s="401" t="str">
        <f>IF($A6="","",PT!AJ8)</f>
        <v/>
      </c>
      <c r="W6" s="402" t="str">
        <f>'Game Summary'!F8</f>
        <v/>
      </c>
      <c r="X6" s="403" t="str">
        <f t="shared" si="0"/>
        <v/>
      </c>
      <c r="Y6" s="394"/>
      <c r="Z6" s="394"/>
      <c r="AA6" s="394"/>
      <c r="AB6" s="394"/>
      <c r="AC6" s="381"/>
    </row>
    <row r="7" spans="1:29" ht="25.15" customHeight="1" x14ac:dyDescent="0.2">
      <c r="A7" s="404" t="str">
        <f>IF(IGRF!B17="","",IGRF!B17)</f>
        <v/>
      </c>
      <c r="B7" s="1293" t="str">
        <f>IF(IGRF!C17="","",IGRF!C17)</f>
        <v/>
      </c>
      <c r="C7" s="1294"/>
      <c r="D7" s="405" t="str">
        <f>IF($A7="","",SUM(PT!E9,PT!E10))</f>
        <v/>
      </c>
      <c r="E7" s="406" t="str">
        <f>IF($A7="","",SUM(PT!F9,PT!F10))</f>
        <v/>
      </c>
      <c r="F7" s="407" t="str">
        <f>IF($A7="","",SUM(PT!G9,PT!G10))</f>
        <v/>
      </c>
      <c r="G7" s="408" t="str">
        <f>IF($A7="","",SUM(PT!H9,PT!H10))</f>
        <v/>
      </c>
      <c r="H7" s="408" t="str">
        <f>IF($A7="","",SUM(PT!I9,PT!I10))</f>
        <v/>
      </c>
      <c r="I7" s="408" t="str">
        <f>IF($A7="","",SUM(PT!J9,PT!J10))</f>
        <v/>
      </c>
      <c r="J7" s="408" t="str">
        <f>IF($A7="","",SUM(PT!K9,PT!K10))</f>
        <v/>
      </c>
      <c r="K7" s="408" t="str">
        <f>IF($A7="","",SUM(PT!L9,PT!L10))</f>
        <v/>
      </c>
      <c r="L7" s="408" t="str">
        <f>IF($A7="","",SUM(PT!M9,PT!M10))</f>
        <v/>
      </c>
      <c r="M7" s="408" t="str">
        <f>IF($A7="","",SUM(PT!N9,PT!N10))</f>
        <v/>
      </c>
      <c r="N7" s="408" t="str">
        <f>IF($A7="","",SUM(PT!O9,PT!O10))</f>
        <v/>
      </c>
      <c r="O7" s="408" t="str">
        <f>IF($A7="","",SUM(PT!P9,PT!P10))</f>
        <v/>
      </c>
      <c r="P7" s="408" t="str">
        <f>IF($A7="","",SUM(PT!Q9,PT!Q10))</f>
        <v/>
      </c>
      <c r="Q7" s="408" t="str">
        <f>IF($A7="","",SUM(PT!R9,PT!R10))</f>
        <v/>
      </c>
      <c r="R7" s="408"/>
      <c r="S7" s="408"/>
      <c r="T7" s="409" t="str">
        <f t="shared" si="1"/>
        <v/>
      </c>
      <c r="U7" s="410" t="str">
        <f>IF($A7="","",SUM(PT!U9,PT!U10))</f>
        <v/>
      </c>
      <c r="V7" s="411" t="str">
        <f>IF($A7="","",PT!AJ10)</f>
        <v/>
      </c>
      <c r="W7" s="412" t="str">
        <f>'Game Summary'!F9</f>
        <v/>
      </c>
      <c r="X7" s="413" t="str">
        <f t="shared" si="0"/>
        <v/>
      </c>
      <c r="Y7" s="394"/>
      <c r="Z7" s="394"/>
      <c r="AA7" s="394"/>
      <c r="AB7" s="394"/>
      <c r="AC7" s="381"/>
    </row>
    <row r="8" spans="1:29" ht="25.15" customHeight="1" x14ac:dyDescent="0.2">
      <c r="A8" s="395" t="str">
        <f>IF(IGRF!B18="","",IGRF!B18)</f>
        <v/>
      </c>
      <c r="B8" s="1295" t="str">
        <f>IF(IGRF!C18="","",IGRF!C18)</f>
        <v/>
      </c>
      <c r="C8" s="1296"/>
      <c r="D8" s="396" t="str">
        <f>IF($A8="","",SUM(PT!E11,PT!E12))</f>
        <v/>
      </c>
      <c r="E8" s="397" t="str">
        <f>IF($A8="","",SUM(PT!F11,PT!F12))</f>
        <v/>
      </c>
      <c r="F8" s="397" t="str">
        <f>IF($A8="","",SUM(PT!G11,PT!G12))</f>
        <v/>
      </c>
      <c r="G8" s="397" t="str">
        <f>IF($A8="","",SUM(PT!H11,PT!H12))</f>
        <v/>
      </c>
      <c r="H8" s="397" t="str">
        <f>IF($A8="","",SUM(PT!I11,PT!I12))</f>
        <v/>
      </c>
      <c r="I8" s="397" t="str">
        <f>IF($A8="","",SUM(PT!J11,PT!J12))</f>
        <v/>
      </c>
      <c r="J8" s="397" t="str">
        <f>IF($A8="","",SUM(PT!K11,PT!K12))</f>
        <v/>
      </c>
      <c r="K8" s="397" t="str">
        <f>IF($A8="","",SUM(PT!L11,PT!L12))</f>
        <v/>
      </c>
      <c r="L8" s="397" t="str">
        <f>IF($A8="","",SUM(PT!M11,PT!M12))</f>
        <v/>
      </c>
      <c r="M8" s="397" t="str">
        <f>IF($A8="","",SUM(PT!N11,PT!N12))</f>
        <v/>
      </c>
      <c r="N8" s="397" t="str">
        <f>IF($A8="","",SUM(PT!O11,PT!O12))</f>
        <v/>
      </c>
      <c r="O8" s="397" t="str">
        <f>IF($A8="","",SUM(PT!P11,PT!P12))</f>
        <v/>
      </c>
      <c r="P8" s="397" t="str">
        <f>IF($A8="","",SUM(PT!Q11,PT!Q12))</f>
        <v/>
      </c>
      <c r="Q8" s="397" t="str">
        <f>IF($A8="","",SUM(PT!R11,PT!R12))</f>
        <v/>
      </c>
      <c r="R8" s="397"/>
      <c r="S8" s="398"/>
      <c r="T8" s="399" t="str">
        <f t="shared" si="1"/>
        <v/>
      </c>
      <c r="U8" s="400" t="str">
        <f>IF($A8="","",SUM(PT!U11,PT!U12))</f>
        <v/>
      </c>
      <c r="V8" s="401" t="str">
        <f>IF($A8="","",PT!AJ12)</f>
        <v/>
      </c>
      <c r="W8" s="402" t="str">
        <f>'Game Summary'!F10</f>
        <v/>
      </c>
      <c r="X8" s="403" t="str">
        <f t="shared" si="0"/>
        <v/>
      </c>
      <c r="Y8" s="394"/>
      <c r="Z8" s="394"/>
      <c r="AA8" s="394"/>
      <c r="AB8" s="394"/>
      <c r="AC8" s="381"/>
    </row>
    <row r="9" spans="1:29" ht="25.15" customHeight="1" x14ac:dyDescent="0.2">
      <c r="A9" s="404" t="str">
        <f>IF(IGRF!B19="","",IGRF!B19)</f>
        <v/>
      </c>
      <c r="B9" s="1293" t="str">
        <f>IF(IGRF!C19="","",IGRF!C19)</f>
        <v/>
      </c>
      <c r="C9" s="1294"/>
      <c r="D9" s="405" t="str">
        <f>IF($A9="","",SUM(PT!E13,PT!E14))</f>
        <v/>
      </c>
      <c r="E9" s="406" t="str">
        <f>IF($A9="","",SUM(PT!F13,PT!F14))</f>
        <v/>
      </c>
      <c r="F9" s="407" t="str">
        <f>IF($A9="","",SUM(PT!G13,PT!G14))</f>
        <v/>
      </c>
      <c r="G9" s="408" t="str">
        <f>IF($A9="","",SUM(PT!H13,PT!H14))</f>
        <v/>
      </c>
      <c r="H9" s="408" t="str">
        <f>IF($A9="","",SUM(PT!I13,PT!I14))</f>
        <v/>
      </c>
      <c r="I9" s="408" t="str">
        <f>IF($A9="","",SUM(PT!J13,PT!J14))</f>
        <v/>
      </c>
      <c r="J9" s="408" t="str">
        <f>IF($A9="","",SUM(PT!K13,PT!K14))</f>
        <v/>
      </c>
      <c r="K9" s="408" t="str">
        <f>IF($A9="","",SUM(PT!L13,PT!L14))</f>
        <v/>
      </c>
      <c r="L9" s="408" t="str">
        <f>IF($A9="","",SUM(PT!M13,PT!M14))</f>
        <v/>
      </c>
      <c r="M9" s="408" t="str">
        <f>IF($A9="","",SUM(PT!N13,PT!N14))</f>
        <v/>
      </c>
      <c r="N9" s="408" t="str">
        <f>IF($A9="","",SUM(PT!O13,PT!O14))</f>
        <v/>
      </c>
      <c r="O9" s="408" t="str">
        <f>IF($A9="","",SUM(PT!P13,PT!P14))</f>
        <v/>
      </c>
      <c r="P9" s="408" t="str">
        <f>IF($A9="","",SUM(PT!Q13,PT!Q14))</f>
        <v/>
      </c>
      <c r="Q9" s="408" t="str">
        <f>IF($A9="","",SUM(PT!R13,PT!R14))</f>
        <v/>
      </c>
      <c r="R9" s="408"/>
      <c r="S9" s="408"/>
      <c r="T9" s="409" t="str">
        <f t="shared" si="1"/>
        <v/>
      </c>
      <c r="U9" s="410" t="str">
        <f>IF($A9="","",SUM(PT!U13,PT!U14))</f>
        <v/>
      </c>
      <c r="V9" s="411" t="str">
        <f>IF($A9="","",PT!AJ14)</f>
        <v/>
      </c>
      <c r="W9" s="412" t="str">
        <f>'Game Summary'!F11</f>
        <v/>
      </c>
      <c r="X9" s="413" t="str">
        <f t="shared" si="0"/>
        <v/>
      </c>
      <c r="Y9" s="394"/>
      <c r="Z9" s="394"/>
      <c r="AA9" s="394"/>
      <c r="AB9" s="394"/>
      <c r="AC9" s="381"/>
    </row>
    <row r="10" spans="1:29" ht="25.15" customHeight="1" x14ac:dyDescent="0.2">
      <c r="A10" s="395" t="str">
        <f>IF(IGRF!B20="","",IGRF!B20)</f>
        <v/>
      </c>
      <c r="B10" s="1295" t="str">
        <f>IF(IGRF!C20="","",IGRF!C20)</f>
        <v/>
      </c>
      <c r="C10" s="1296"/>
      <c r="D10" s="396" t="str">
        <f>IF($A10="","",SUM(PT!E15,PT!E16))</f>
        <v/>
      </c>
      <c r="E10" s="397" t="str">
        <f>IF($A10="","",SUM(PT!F15,PT!F16))</f>
        <v/>
      </c>
      <c r="F10" s="397" t="str">
        <f>IF($A10="","",SUM(PT!G15,PT!G16))</f>
        <v/>
      </c>
      <c r="G10" s="397" t="str">
        <f>IF($A10="","",SUM(PT!H15,PT!H16))</f>
        <v/>
      </c>
      <c r="H10" s="397" t="str">
        <f>IF($A10="","",SUM(PT!I15,PT!I16))</f>
        <v/>
      </c>
      <c r="I10" s="397" t="str">
        <f>IF($A10="","",SUM(PT!J15,PT!J16))</f>
        <v/>
      </c>
      <c r="J10" s="397" t="str">
        <f>IF($A10="","",SUM(PT!K15,PT!K16))</f>
        <v/>
      </c>
      <c r="K10" s="397" t="str">
        <f>IF($A10="","",SUM(PT!L15,PT!L16))</f>
        <v/>
      </c>
      <c r="L10" s="397" t="str">
        <f>IF($A10="","",SUM(PT!M15,PT!M16))</f>
        <v/>
      </c>
      <c r="M10" s="397" t="str">
        <f>IF($A10="","",SUM(PT!N15,PT!N16))</f>
        <v/>
      </c>
      <c r="N10" s="397" t="str">
        <f>IF($A10="","",SUM(PT!O15,PT!O16))</f>
        <v/>
      </c>
      <c r="O10" s="397" t="str">
        <f>IF($A10="","",SUM(PT!P15,PT!P16))</f>
        <v/>
      </c>
      <c r="P10" s="397" t="str">
        <f>IF($A10="","",SUM(PT!Q15,PT!Q16))</f>
        <v/>
      </c>
      <c r="Q10" s="397" t="str">
        <f>IF($A10="","",SUM(PT!R15,PT!R16))</f>
        <v/>
      </c>
      <c r="R10" s="397"/>
      <c r="S10" s="398"/>
      <c r="T10" s="399" t="str">
        <f t="shared" si="1"/>
        <v/>
      </c>
      <c r="U10" s="400" t="str">
        <f>IF($A10="","",SUM(PT!U15,PT!U16))</f>
        <v/>
      </c>
      <c r="V10" s="401" t="str">
        <f>IF($A10="","",PT!AJ16)</f>
        <v/>
      </c>
      <c r="W10" s="402" t="str">
        <f>'Game Summary'!F12</f>
        <v/>
      </c>
      <c r="X10" s="403" t="str">
        <f t="shared" si="0"/>
        <v/>
      </c>
      <c r="Y10" s="394"/>
      <c r="Z10" s="394"/>
      <c r="AA10" s="394"/>
      <c r="AB10" s="394"/>
      <c r="AC10" s="381"/>
    </row>
    <row r="11" spans="1:29" ht="25.15" customHeight="1" x14ac:dyDescent="0.2">
      <c r="A11" s="404" t="str">
        <f>IF(IGRF!B21="","",IGRF!B21)</f>
        <v/>
      </c>
      <c r="B11" s="1293" t="str">
        <f>IF(IGRF!C21="","",IGRF!C21)</f>
        <v/>
      </c>
      <c r="C11" s="1294"/>
      <c r="D11" s="405" t="str">
        <f>IF($A11="","",SUM(PT!E17,PT!E18))</f>
        <v/>
      </c>
      <c r="E11" s="406" t="str">
        <f>IF($A11="","",SUM(PT!F17,PT!F18))</f>
        <v/>
      </c>
      <c r="F11" s="407" t="str">
        <f>IF($A11="","",SUM(PT!G17,PT!G18))</f>
        <v/>
      </c>
      <c r="G11" s="408" t="str">
        <f>IF($A11="","",SUM(PT!H17,PT!H18))</f>
        <v/>
      </c>
      <c r="H11" s="408" t="str">
        <f>IF($A11="","",SUM(PT!I17,PT!I18))</f>
        <v/>
      </c>
      <c r="I11" s="408" t="str">
        <f>IF($A11="","",SUM(PT!J17,PT!J18))</f>
        <v/>
      </c>
      <c r="J11" s="408" t="str">
        <f>IF($A11="","",SUM(PT!K17,PT!K18))</f>
        <v/>
      </c>
      <c r="K11" s="408" t="str">
        <f>IF($A11="","",SUM(PT!L17,PT!L18))</f>
        <v/>
      </c>
      <c r="L11" s="408" t="str">
        <f>IF($A11="","",SUM(PT!M17,PT!M18))</f>
        <v/>
      </c>
      <c r="M11" s="408" t="str">
        <f>IF($A11="","",SUM(PT!N17,PT!N18))</f>
        <v/>
      </c>
      <c r="N11" s="408" t="str">
        <f>IF($A11="","",SUM(PT!O17,PT!O18))</f>
        <v/>
      </c>
      <c r="O11" s="408" t="str">
        <f>IF($A11="","",SUM(PT!P17,PT!P18))</f>
        <v/>
      </c>
      <c r="P11" s="408" t="str">
        <f>IF($A11="","",SUM(PT!Q17,PT!Q18))</f>
        <v/>
      </c>
      <c r="Q11" s="408" t="str">
        <f>IF($A11="","",SUM(PT!R17,PT!R18))</f>
        <v/>
      </c>
      <c r="R11" s="408"/>
      <c r="S11" s="408"/>
      <c r="T11" s="409" t="str">
        <f t="shared" si="1"/>
        <v/>
      </c>
      <c r="U11" s="410" t="str">
        <f>IF($A11="","",SUM(PT!U17,PT!U18))</f>
        <v/>
      </c>
      <c r="V11" s="411" t="str">
        <f>IF($A11="","",PT!AJ18)</f>
        <v/>
      </c>
      <c r="W11" s="412" t="str">
        <f>'Game Summary'!F13</f>
        <v/>
      </c>
      <c r="X11" s="413" t="str">
        <f t="shared" si="0"/>
        <v/>
      </c>
      <c r="Y11" s="394"/>
      <c r="Z11" s="394"/>
      <c r="AA11" s="394"/>
      <c r="AB11" s="394"/>
      <c r="AC11" s="381"/>
    </row>
    <row r="12" spans="1:29" ht="25.15" customHeight="1" x14ac:dyDescent="0.2">
      <c r="A12" s="395" t="str">
        <f>IF(IGRF!B22="","",IGRF!B22)</f>
        <v/>
      </c>
      <c r="B12" s="1295" t="str">
        <f>IF(IGRF!C22="","",IGRF!C22)</f>
        <v/>
      </c>
      <c r="C12" s="1296"/>
      <c r="D12" s="396" t="str">
        <f>IF($A12="","",SUM(PT!E19,PT!E20))</f>
        <v/>
      </c>
      <c r="E12" s="397" t="str">
        <f>IF($A12="","",SUM(PT!F19,PT!F20))</f>
        <v/>
      </c>
      <c r="F12" s="397" t="str">
        <f>IF($A12="","",SUM(PT!G19,PT!G20))</f>
        <v/>
      </c>
      <c r="G12" s="397" t="str">
        <f>IF($A12="","",SUM(PT!H19,PT!H20))</f>
        <v/>
      </c>
      <c r="H12" s="397" t="str">
        <f>IF($A12="","",SUM(PT!I19,PT!I20))</f>
        <v/>
      </c>
      <c r="I12" s="397" t="str">
        <f>IF($A12="","",SUM(PT!J19,PT!J20))</f>
        <v/>
      </c>
      <c r="J12" s="397" t="str">
        <f>IF($A12="","",SUM(PT!K19,PT!K20))</f>
        <v/>
      </c>
      <c r="K12" s="397" t="str">
        <f>IF($A12="","",SUM(PT!L19,PT!L20))</f>
        <v/>
      </c>
      <c r="L12" s="397" t="str">
        <f>IF($A12="","",SUM(PT!M19,PT!M20))</f>
        <v/>
      </c>
      <c r="M12" s="397" t="str">
        <f>IF($A12="","",SUM(PT!N19,PT!N20))</f>
        <v/>
      </c>
      <c r="N12" s="397" t="str">
        <f>IF($A12="","",SUM(PT!O19,PT!O20))</f>
        <v/>
      </c>
      <c r="O12" s="397" t="str">
        <f>IF($A12="","",SUM(PT!P19,PT!P20))</f>
        <v/>
      </c>
      <c r="P12" s="397" t="str">
        <f>IF($A12="","",SUM(PT!Q19,PT!Q20))</f>
        <v/>
      </c>
      <c r="Q12" s="397" t="str">
        <f>IF($A12="","",SUM(PT!R19,PT!R20))</f>
        <v/>
      </c>
      <c r="R12" s="397"/>
      <c r="S12" s="398"/>
      <c r="T12" s="399" t="str">
        <f t="shared" si="1"/>
        <v/>
      </c>
      <c r="U12" s="400" t="str">
        <f>IF($A12="","",SUM(PT!U19,PT!U20))</f>
        <v/>
      </c>
      <c r="V12" s="401" t="str">
        <f>IF($A12="","",PT!AJ20)</f>
        <v/>
      </c>
      <c r="W12" s="402" t="str">
        <f>'Game Summary'!F14</f>
        <v/>
      </c>
      <c r="X12" s="403" t="str">
        <f t="shared" si="0"/>
        <v/>
      </c>
      <c r="Y12" s="394"/>
      <c r="Z12" s="394"/>
      <c r="AA12" s="394"/>
      <c r="AB12" s="394"/>
      <c r="AC12" s="381"/>
    </row>
    <row r="13" spans="1:29" ht="25.15" customHeight="1" x14ac:dyDescent="0.2">
      <c r="A13" s="404" t="str">
        <f>IF(IGRF!B23="","",IGRF!B23)</f>
        <v/>
      </c>
      <c r="B13" s="1293" t="str">
        <f>IF(IGRF!C23="","",IGRF!C23)</f>
        <v/>
      </c>
      <c r="C13" s="1294"/>
      <c r="D13" s="405" t="str">
        <f>IF($A13="","",SUM(PT!E21,PT!E22))</f>
        <v/>
      </c>
      <c r="E13" s="406" t="str">
        <f>IF($A13="","",SUM(PT!F21,PT!F22))</f>
        <v/>
      </c>
      <c r="F13" s="407" t="str">
        <f>IF($A13="","",SUM(PT!G21,PT!G22))</f>
        <v/>
      </c>
      <c r="G13" s="408" t="str">
        <f>IF($A13="","",SUM(PT!H21,PT!H22))</f>
        <v/>
      </c>
      <c r="H13" s="408" t="str">
        <f>IF($A13="","",SUM(PT!I21,PT!I22))</f>
        <v/>
      </c>
      <c r="I13" s="408" t="str">
        <f>IF($A13="","",SUM(PT!J21,PT!J22))</f>
        <v/>
      </c>
      <c r="J13" s="408" t="str">
        <f>IF($A13="","",SUM(PT!K21,PT!K22))</f>
        <v/>
      </c>
      <c r="K13" s="408" t="str">
        <f>IF($A13="","",SUM(PT!L21,PT!L22))</f>
        <v/>
      </c>
      <c r="L13" s="408" t="str">
        <f>IF($A13="","",SUM(PT!M21,PT!M22))</f>
        <v/>
      </c>
      <c r="M13" s="408" t="str">
        <f>IF($A13="","",SUM(PT!N21,PT!N22))</f>
        <v/>
      </c>
      <c r="N13" s="408" t="str">
        <f>IF($A13="","",SUM(PT!O21,PT!O22))</f>
        <v/>
      </c>
      <c r="O13" s="408" t="str">
        <f>IF($A13="","",SUM(PT!P21,PT!P22))</f>
        <v/>
      </c>
      <c r="P13" s="408" t="str">
        <f>IF($A13="","",SUM(PT!Q21,PT!Q22))</f>
        <v/>
      </c>
      <c r="Q13" s="408" t="str">
        <f>IF($A13="","",SUM(PT!R21,PT!R22))</f>
        <v/>
      </c>
      <c r="R13" s="408"/>
      <c r="S13" s="408"/>
      <c r="T13" s="409" t="str">
        <f t="shared" si="1"/>
        <v/>
      </c>
      <c r="U13" s="410" t="str">
        <f>IF($A13="","",SUM(PT!U21,PT!U22))</f>
        <v/>
      </c>
      <c r="V13" s="411" t="str">
        <f>IF($A13="","",PT!AJ22)</f>
        <v/>
      </c>
      <c r="W13" s="412" t="str">
        <f>'Game Summary'!F15</f>
        <v/>
      </c>
      <c r="X13" s="413" t="str">
        <f t="shared" si="0"/>
        <v/>
      </c>
      <c r="Y13" s="394"/>
      <c r="Z13" s="394"/>
      <c r="AA13" s="394"/>
      <c r="AB13" s="394"/>
      <c r="AC13" s="381"/>
    </row>
    <row r="14" spans="1:29" ht="25.15" customHeight="1" x14ac:dyDescent="0.2">
      <c r="A14" s="395" t="str">
        <f>IF(IGRF!B24="","",IGRF!B24)</f>
        <v/>
      </c>
      <c r="B14" s="1295" t="str">
        <f>IF(IGRF!C24="","",IGRF!C24)</f>
        <v/>
      </c>
      <c r="C14" s="1296"/>
      <c r="D14" s="396" t="str">
        <f>IF($A14="","",SUM(PT!E23,PT!E24))</f>
        <v/>
      </c>
      <c r="E14" s="397" t="str">
        <f>IF($A14="","",SUM(PT!F23,PT!F24))</f>
        <v/>
      </c>
      <c r="F14" s="397" t="str">
        <f>IF($A14="","",SUM(PT!G23,PT!G24))</f>
        <v/>
      </c>
      <c r="G14" s="397" t="str">
        <f>IF($A14="","",SUM(PT!H23,PT!H24))</f>
        <v/>
      </c>
      <c r="H14" s="397" t="str">
        <f>IF($A14="","",SUM(PT!I23,PT!I24))</f>
        <v/>
      </c>
      <c r="I14" s="397" t="str">
        <f>IF($A14="","",SUM(PT!J23,PT!J24))</f>
        <v/>
      </c>
      <c r="J14" s="397" t="str">
        <f>IF($A14="","",SUM(PT!K23,PT!K24))</f>
        <v/>
      </c>
      <c r="K14" s="397" t="str">
        <f>IF($A14="","",SUM(PT!L23,PT!L24))</f>
        <v/>
      </c>
      <c r="L14" s="397" t="str">
        <f>IF($A14="","",SUM(PT!M23,PT!M24))</f>
        <v/>
      </c>
      <c r="M14" s="397" t="str">
        <f>IF($A14="","",SUM(PT!N23,PT!N24))</f>
        <v/>
      </c>
      <c r="N14" s="397" t="str">
        <f>IF($A14="","",SUM(PT!O23,PT!O24))</f>
        <v/>
      </c>
      <c r="O14" s="397" t="str">
        <f>IF($A14="","",SUM(PT!P23,PT!P24))</f>
        <v/>
      </c>
      <c r="P14" s="397" t="str">
        <f>IF($A14="","",SUM(PT!Q23,PT!Q24))</f>
        <v/>
      </c>
      <c r="Q14" s="397" t="str">
        <f>IF($A14="","",SUM(PT!R23,PT!R24))</f>
        <v/>
      </c>
      <c r="R14" s="397"/>
      <c r="S14" s="398"/>
      <c r="T14" s="399" t="str">
        <f t="shared" si="1"/>
        <v/>
      </c>
      <c r="U14" s="400" t="str">
        <f>IF($A14="","",SUM(PT!U23,PT!U24))</f>
        <v/>
      </c>
      <c r="V14" s="401" t="str">
        <f>IF($A14="","",PT!AJ24)</f>
        <v/>
      </c>
      <c r="W14" s="402" t="str">
        <f>'Game Summary'!F16</f>
        <v/>
      </c>
      <c r="X14" s="403" t="str">
        <f t="shared" si="0"/>
        <v/>
      </c>
      <c r="Y14" s="394"/>
      <c r="Z14" s="394"/>
      <c r="AA14" s="394"/>
      <c r="AB14" s="394"/>
      <c r="AC14" s="381"/>
    </row>
    <row r="15" spans="1:29" ht="25.15" customHeight="1" x14ac:dyDescent="0.2">
      <c r="A15" s="404" t="str">
        <f>IF(IGRF!B25="","",IGRF!B25)</f>
        <v/>
      </c>
      <c r="B15" s="1293" t="str">
        <f>IF(IGRF!C25="","",IGRF!C25)</f>
        <v/>
      </c>
      <c r="C15" s="1294"/>
      <c r="D15" s="405" t="str">
        <f>IF($A15="","",SUM(PT!E25,PT!E26))</f>
        <v/>
      </c>
      <c r="E15" s="406" t="str">
        <f>IF($A15="","",SUM(PT!F25,PT!F26))</f>
        <v/>
      </c>
      <c r="F15" s="407" t="str">
        <f>IF($A15="","",SUM(PT!G25,PT!G26))</f>
        <v/>
      </c>
      <c r="G15" s="408" t="str">
        <f>IF($A15="","",SUM(PT!H25,PT!H26))</f>
        <v/>
      </c>
      <c r="H15" s="408" t="str">
        <f>IF($A15="","",SUM(PT!I25,PT!I26))</f>
        <v/>
      </c>
      <c r="I15" s="408" t="str">
        <f>IF($A15="","",SUM(PT!J25,PT!J26))</f>
        <v/>
      </c>
      <c r="J15" s="408" t="str">
        <f>IF($A15="","",SUM(PT!K25,PT!K26))</f>
        <v/>
      </c>
      <c r="K15" s="408" t="str">
        <f>IF($A15="","",SUM(PT!L25,PT!L26))</f>
        <v/>
      </c>
      <c r="L15" s="408" t="str">
        <f>IF($A15="","",SUM(PT!M25,PT!M26))</f>
        <v/>
      </c>
      <c r="M15" s="408" t="str">
        <f>IF($A15="","",SUM(PT!N25,PT!N26))</f>
        <v/>
      </c>
      <c r="N15" s="408" t="str">
        <f>IF($A15="","",SUM(PT!O25,PT!O26))</f>
        <v/>
      </c>
      <c r="O15" s="408" t="str">
        <f>IF($A15="","",SUM(PT!P25,PT!P26))</f>
        <v/>
      </c>
      <c r="P15" s="408" t="str">
        <f>IF($A15="","",SUM(PT!Q25,PT!Q26))</f>
        <v/>
      </c>
      <c r="Q15" s="408" t="str">
        <f>IF($A15="","",SUM(PT!R25,PT!R26))</f>
        <v/>
      </c>
      <c r="R15" s="408"/>
      <c r="S15" s="408"/>
      <c r="T15" s="409" t="str">
        <f t="shared" si="1"/>
        <v/>
      </c>
      <c r="U15" s="410" t="str">
        <f>IF($A15="","",SUM(PT!U25,PT!U26))</f>
        <v/>
      </c>
      <c r="V15" s="411" t="str">
        <f>IF($A15="","",PT!AJ26)</f>
        <v/>
      </c>
      <c r="W15" s="412" t="str">
        <f>'Game Summary'!F17</f>
        <v/>
      </c>
      <c r="X15" s="413" t="str">
        <f t="shared" si="0"/>
        <v/>
      </c>
      <c r="Y15" s="394"/>
      <c r="Z15" s="394"/>
      <c r="AA15" s="394"/>
      <c r="AB15" s="394"/>
      <c r="AC15" s="381"/>
    </row>
    <row r="16" spans="1:29" ht="25.15" customHeight="1" x14ac:dyDescent="0.2">
      <c r="A16" s="395" t="str">
        <f>IF(IGRF!B26="","",IGRF!B26)</f>
        <v/>
      </c>
      <c r="B16" s="1295" t="str">
        <f>IF(IGRF!C26="","",IGRF!C26)</f>
        <v/>
      </c>
      <c r="C16" s="1296"/>
      <c r="D16" s="396" t="str">
        <f>IF($A16="","",SUM(PT!E27,PT!E28))</f>
        <v/>
      </c>
      <c r="E16" s="397" t="str">
        <f>IF($A16="","",SUM(PT!F27,PT!F28))</f>
        <v/>
      </c>
      <c r="F16" s="397" t="str">
        <f>IF($A16="","",SUM(PT!G27,PT!G28))</f>
        <v/>
      </c>
      <c r="G16" s="397" t="str">
        <f>IF($A16="","",SUM(PT!H27,PT!H28))</f>
        <v/>
      </c>
      <c r="H16" s="397" t="str">
        <f>IF($A16="","",SUM(PT!I27,PT!I28))</f>
        <v/>
      </c>
      <c r="I16" s="397" t="str">
        <f>IF($A16="","",SUM(PT!J27,PT!J28))</f>
        <v/>
      </c>
      <c r="J16" s="397" t="str">
        <f>IF($A16="","",SUM(PT!K27,PT!K28))</f>
        <v/>
      </c>
      <c r="K16" s="397" t="str">
        <f>IF($A16="","",SUM(PT!L27,PT!L28))</f>
        <v/>
      </c>
      <c r="L16" s="397" t="str">
        <f>IF($A16="","",SUM(PT!M27,PT!M28))</f>
        <v/>
      </c>
      <c r="M16" s="397" t="str">
        <f>IF($A16="","",SUM(PT!N27,PT!N28))</f>
        <v/>
      </c>
      <c r="N16" s="397" t="str">
        <f>IF($A16="","",SUM(PT!O27,PT!O28))</f>
        <v/>
      </c>
      <c r="O16" s="397" t="str">
        <f>IF($A16="","",SUM(PT!P27,PT!P28))</f>
        <v/>
      </c>
      <c r="P16" s="397" t="str">
        <f>IF($A16="","",SUM(PT!Q27,PT!Q28))</f>
        <v/>
      </c>
      <c r="Q16" s="397" t="str">
        <f>IF($A16="","",SUM(PT!R27,PT!R28))</f>
        <v/>
      </c>
      <c r="R16" s="397"/>
      <c r="S16" s="398"/>
      <c r="T16" s="399" t="str">
        <f t="shared" si="1"/>
        <v/>
      </c>
      <c r="U16" s="400" t="str">
        <f>IF($A16="","",SUM(PT!U27,PT!U28))</f>
        <v/>
      </c>
      <c r="V16" s="401" t="str">
        <f>IF($A16="","",PT!AJ28)</f>
        <v/>
      </c>
      <c r="W16" s="402" t="str">
        <f>'Game Summary'!F18</f>
        <v/>
      </c>
      <c r="X16" s="403" t="str">
        <f t="shared" si="0"/>
        <v/>
      </c>
      <c r="Y16" s="394"/>
      <c r="Z16" s="394"/>
      <c r="AA16" s="394"/>
      <c r="AB16" s="394"/>
      <c r="AC16" s="381"/>
    </row>
    <row r="17" spans="1:29" ht="25.15" customHeight="1" x14ac:dyDescent="0.2">
      <c r="A17" s="404" t="str">
        <f>IF(IGRF!B27="","",IGRF!B27)</f>
        <v/>
      </c>
      <c r="B17" s="1293" t="str">
        <f>IF(IGRF!C27="","",IGRF!C27)</f>
        <v/>
      </c>
      <c r="C17" s="1294"/>
      <c r="D17" s="405" t="str">
        <f>IF($A17="","",SUM(PT!E29,PT!E30))</f>
        <v/>
      </c>
      <c r="E17" s="406" t="str">
        <f>IF($A17="","",SUM(PT!F29,PT!F30))</f>
        <v/>
      </c>
      <c r="F17" s="407" t="str">
        <f>IF($A17="","",SUM(PT!G29,PT!G30))</f>
        <v/>
      </c>
      <c r="G17" s="408" t="str">
        <f>IF($A17="","",SUM(PT!H29,PT!H30))</f>
        <v/>
      </c>
      <c r="H17" s="408" t="str">
        <f>IF($A17="","",SUM(PT!I29,PT!I30))</f>
        <v/>
      </c>
      <c r="I17" s="408" t="str">
        <f>IF($A17="","",SUM(PT!J29,PT!J30))</f>
        <v/>
      </c>
      <c r="J17" s="408" t="str">
        <f>IF($A17="","",SUM(PT!K29,PT!K30))</f>
        <v/>
      </c>
      <c r="K17" s="408" t="str">
        <f>IF($A17="","",SUM(PT!L29,PT!L30))</f>
        <v/>
      </c>
      <c r="L17" s="408" t="str">
        <f>IF($A17="","",SUM(PT!M29,PT!M30))</f>
        <v/>
      </c>
      <c r="M17" s="408" t="str">
        <f>IF($A17="","",SUM(PT!N29,PT!N30))</f>
        <v/>
      </c>
      <c r="N17" s="408" t="str">
        <f>IF($A17="","",SUM(PT!O29,PT!O30))</f>
        <v/>
      </c>
      <c r="O17" s="408" t="str">
        <f>IF($A17="","",SUM(PT!P29,PT!P30))</f>
        <v/>
      </c>
      <c r="P17" s="408" t="str">
        <f>IF($A17="","",SUM(PT!Q29,PT!Q30))</f>
        <v/>
      </c>
      <c r="Q17" s="408" t="str">
        <f>IF($A17="","",SUM(PT!R29,PT!R30))</f>
        <v/>
      </c>
      <c r="R17" s="408"/>
      <c r="S17" s="408"/>
      <c r="T17" s="409" t="str">
        <f t="shared" si="1"/>
        <v/>
      </c>
      <c r="U17" s="410" t="str">
        <f>IF($A17="","",SUM(PT!U29,PT!U30))</f>
        <v/>
      </c>
      <c r="V17" s="411" t="str">
        <f>IF($A17="","",PT!AJ30)</f>
        <v/>
      </c>
      <c r="W17" s="412" t="str">
        <f>'Game Summary'!F19</f>
        <v/>
      </c>
      <c r="X17" s="413" t="str">
        <f t="shared" si="0"/>
        <v/>
      </c>
      <c r="Y17" s="394"/>
      <c r="Z17" s="394"/>
      <c r="AA17" s="394"/>
      <c r="AB17" s="394"/>
      <c r="AC17" s="381"/>
    </row>
    <row r="18" spans="1:29" ht="25.15" customHeight="1" x14ac:dyDescent="0.2">
      <c r="A18" s="395" t="str">
        <f>IF(IGRF!B28="","",IGRF!B28)</f>
        <v/>
      </c>
      <c r="B18" s="1295" t="str">
        <f>IF(IGRF!C28="","",IGRF!C28)</f>
        <v/>
      </c>
      <c r="C18" s="1296"/>
      <c r="D18" s="396" t="str">
        <f>IF($A18="","",SUM(PT!E31,PT!E32))</f>
        <v/>
      </c>
      <c r="E18" s="397" t="str">
        <f>IF($A18="","",SUM(PT!F31,PT!F32))</f>
        <v/>
      </c>
      <c r="F18" s="397" t="str">
        <f>IF($A18="","",SUM(PT!G31,PT!G32))</f>
        <v/>
      </c>
      <c r="G18" s="397" t="str">
        <f>IF($A18="","",SUM(PT!H31,PT!H32))</f>
        <v/>
      </c>
      <c r="H18" s="397" t="str">
        <f>IF($A18="","",SUM(PT!I31,PT!I32))</f>
        <v/>
      </c>
      <c r="I18" s="397" t="str">
        <f>IF($A18="","",SUM(PT!J31,PT!J32))</f>
        <v/>
      </c>
      <c r="J18" s="397" t="str">
        <f>IF($A18="","",SUM(PT!K31,PT!K32))</f>
        <v/>
      </c>
      <c r="K18" s="397" t="str">
        <f>IF($A18="","",SUM(PT!L31,PT!L32))</f>
        <v/>
      </c>
      <c r="L18" s="397" t="str">
        <f>IF($A18="","",SUM(PT!M31,PT!M32))</f>
        <v/>
      </c>
      <c r="M18" s="397" t="str">
        <f>IF($A18="","",SUM(PT!N31,PT!N32))</f>
        <v/>
      </c>
      <c r="N18" s="397" t="str">
        <f>IF($A18="","",SUM(PT!O31,PT!O32))</f>
        <v/>
      </c>
      <c r="O18" s="397" t="str">
        <f>IF($A18="","",SUM(PT!P31,PT!P32))</f>
        <v/>
      </c>
      <c r="P18" s="397" t="str">
        <f>IF($A18="","",SUM(PT!Q31,PT!Q32))</f>
        <v/>
      </c>
      <c r="Q18" s="397" t="str">
        <f>IF($A18="","",SUM(PT!R31,PT!R32))</f>
        <v/>
      </c>
      <c r="R18" s="397"/>
      <c r="S18" s="398"/>
      <c r="T18" s="399" t="str">
        <f t="shared" si="1"/>
        <v/>
      </c>
      <c r="U18" s="400" t="str">
        <f>IF($A18="","",SUM(PT!U31,PT!U32))</f>
        <v/>
      </c>
      <c r="V18" s="401" t="str">
        <f>IF($A18="","",PT!AJ32)</f>
        <v/>
      </c>
      <c r="W18" s="402" t="str">
        <f>'Game Summary'!F20</f>
        <v/>
      </c>
      <c r="X18" s="403" t="str">
        <f t="shared" si="0"/>
        <v/>
      </c>
      <c r="Y18" s="394"/>
      <c r="Z18" s="394"/>
      <c r="AA18" s="394"/>
      <c r="AB18" s="394"/>
      <c r="AC18" s="381"/>
    </row>
    <row r="19" spans="1:29" ht="25.15" customHeight="1" x14ac:dyDescent="0.2">
      <c r="A19" s="404" t="str">
        <f>IF(IGRF!B29="","",IGRF!B29)</f>
        <v/>
      </c>
      <c r="B19" s="1293" t="str">
        <f>IF(IGRF!C29="","",IGRF!C29)</f>
        <v/>
      </c>
      <c r="C19" s="1294"/>
      <c r="D19" s="405" t="str">
        <f>IF($A19="","",SUM(PT!E33,PT!E34))</f>
        <v/>
      </c>
      <c r="E19" s="406" t="str">
        <f>IF($A19="","",SUM(PT!F33,PT!F34))</f>
        <v/>
      </c>
      <c r="F19" s="407" t="str">
        <f>IF($A19="","",SUM(PT!G33,PT!G34))</f>
        <v/>
      </c>
      <c r="G19" s="408" t="str">
        <f>IF($A19="","",SUM(PT!H33,PT!H34))</f>
        <v/>
      </c>
      <c r="H19" s="408" t="str">
        <f>IF($A19="","",SUM(PT!I33,PT!I34))</f>
        <v/>
      </c>
      <c r="I19" s="408" t="str">
        <f>IF($A19="","",SUM(PT!J33,PT!J34))</f>
        <v/>
      </c>
      <c r="J19" s="408" t="str">
        <f>IF($A19="","",SUM(PT!K33,PT!K34))</f>
        <v/>
      </c>
      <c r="K19" s="408" t="str">
        <f>IF($A19="","",SUM(PT!L33,PT!L34))</f>
        <v/>
      </c>
      <c r="L19" s="408" t="str">
        <f>IF($A19="","",SUM(PT!M33,PT!M34))</f>
        <v/>
      </c>
      <c r="M19" s="408" t="str">
        <f>IF($A19="","",SUM(PT!N33,PT!N34))</f>
        <v/>
      </c>
      <c r="N19" s="408" t="str">
        <f>IF($A19="","",SUM(PT!O33,PT!O34))</f>
        <v/>
      </c>
      <c r="O19" s="408" t="str">
        <f>IF($A19="","",SUM(PT!P33,PT!P34))</f>
        <v/>
      </c>
      <c r="P19" s="408" t="str">
        <f>IF($A19="","",SUM(PT!Q33,PT!Q34))</f>
        <v/>
      </c>
      <c r="Q19" s="408" t="str">
        <f>IF($A19="","",SUM(PT!R33,PT!R34))</f>
        <v/>
      </c>
      <c r="R19" s="408"/>
      <c r="S19" s="408"/>
      <c r="T19" s="409" t="str">
        <f t="shared" si="1"/>
        <v/>
      </c>
      <c r="U19" s="410" t="str">
        <f>IF($A19="","",SUM(PT!U33,PT!U34))</f>
        <v/>
      </c>
      <c r="V19" s="411" t="str">
        <f>IF($A19="","",PT!AJ34)</f>
        <v/>
      </c>
      <c r="W19" s="412" t="str">
        <f>'Game Summary'!F21</f>
        <v/>
      </c>
      <c r="X19" s="413" t="str">
        <f t="shared" si="0"/>
        <v/>
      </c>
      <c r="Y19" s="394"/>
      <c r="Z19" s="394"/>
      <c r="AA19" s="394"/>
      <c r="AB19" s="394"/>
      <c r="AC19" s="381"/>
    </row>
    <row r="20" spans="1:29" s="414" customFormat="1" ht="25.15" customHeight="1" x14ac:dyDescent="0.2">
      <c r="A20" s="395" t="str">
        <f>IF(IGRF!B30="","",IGRF!B30)</f>
        <v/>
      </c>
      <c r="B20" s="1295" t="str">
        <f>IF(IGRF!C30="","",IGRF!C30)</f>
        <v/>
      </c>
      <c r="C20" s="1296"/>
      <c r="D20" s="396" t="str">
        <f>IF($A20="","",SUM(PT!E35,PT!E36))</f>
        <v/>
      </c>
      <c r="E20" s="397" t="str">
        <f>IF($A20="","",SUM(PT!F35,PT!F36))</f>
        <v/>
      </c>
      <c r="F20" s="397" t="str">
        <f>IF($A20="","",SUM(PT!G35,PT!G36))</f>
        <v/>
      </c>
      <c r="G20" s="397" t="str">
        <f>IF($A20="","",SUM(PT!H35,PT!H36))</f>
        <v/>
      </c>
      <c r="H20" s="397" t="str">
        <f>IF($A20="","",SUM(PT!I35,PT!I36))</f>
        <v/>
      </c>
      <c r="I20" s="397" t="str">
        <f>IF($A20="","",SUM(PT!J35,PT!J36))</f>
        <v/>
      </c>
      <c r="J20" s="397" t="str">
        <f>IF($A20="","",SUM(PT!K35,PT!K36))</f>
        <v/>
      </c>
      <c r="K20" s="397" t="str">
        <f>IF($A20="","",SUM(PT!L35,PT!L36))</f>
        <v/>
      </c>
      <c r="L20" s="397" t="str">
        <f>IF($A20="","",SUM(PT!M35,PT!M36))</f>
        <v/>
      </c>
      <c r="M20" s="397" t="str">
        <f>IF($A20="","",SUM(PT!N35,PT!N36))</f>
        <v/>
      </c>
      <c r="N20" s="397" t="str">
        <f>IF($A20="","",SUM(PT!O35,PT!O36))</f>
        <v/>
      </c>
      <c r="O20" s="397" t="str">
        <f>IF($A20="","",SUM(PT!P35,PT!P36))</f>
        <v/>
      </c>
      <c r="P20" s="397" t="str">
        <f>IF($A20="","",SUM(PT!Q35,PT!Q36))</f>
        <v/>
      </c>
      <c r="Q20" s="397" t="str">
        <f>IF($A20="","",SUM(PT!R35,PT!R36))</f>
        <v/>
      </c>
      <c r="R20" s="397"/>
      <c r="S20" s="398"/>
      <c r="T20" s="399" t="str">
        <f t="shared" si="1"/>
        <v/>
      </c>
      <c r="U20" s="400" t="str">
        <f>IF($A20="","",SUM(PT!U35,PT!U36))</f>
        <v/>
      </c>
      <c r="V20" s="401" t="str">
        <f>IF($A20="","",PT!AJ36)</f>
        <v/>
      </c>
      <c r="W20" s="402" t="str">
        <f>'Game Summary'!F22</f>
        <v/>
      </c>
      <c r="X20" s="403" t="str">
        <f t="shared" si="0"/>
        <v/>
      </c>
    </row>
    <row r="21" spans="1:29" ht="25.15" customHeight="1" x14ac:dyDescent="0.2">
      <c r="A21" s="404" t="str">
        <f>IF(IGRF!B31="","",IGRF!B31)</f>
        <v/>
      </c>
      <c r="B21" s="1293" t="str">
        <f>IF(IGRF!C31="","",IGRF!C31)</f>
        <v/>
      </c>
      <c r="C21" s="1294"/>
      <c r="D21" s="405" t="str">
        <f>IF($A21="","",SUM(PT!E37,PT!E38))</f>
        <v/>
      </c>
      <c r="E21" s="406" t="str">
        <f>IF($A21="","",SUM(PT!F37,PT!F38))</f>
        <v/>
      </c>
      <c r="F21" s="407" t="str">
        <f>IF($A21="","",SUM(PT!G37,PT!G38))</f>
        <v/>
      </c>
      <c r="G21" s="408" t="str">
        <f>IF($A21="","",SUM(PT!H37,PT!H38))</f>
        <v/>
      </c>
      <c r="H21" s="408" t="str">
        <f>IF($A21="","",SUM(PT!I37,PT!I38))</f>
        <v/>
      </c>
      <c r="I21" s="408" t="str">
        <f>IF($A21="","",SUM(PT!J37,PT!J38))</f>
        <v/>
      </c>
      <c r="J21" s="408" t="str">
        <f>IF($A21="","",SUM(PT!K37,PT!K38))</f>
        <v/>
      </c>
      <c r="K21" s="408" t="str">
        <f>IF($A21="","",SUM(PT!L37,PT!L38))</f>
        <v/>
      </c>
      <c r="L21" s="408" t="str">
        <f>IF($A21="","",SUM(PT!M37,PT!M38))</f>
        <v/>
      </c>
      <c r="M21" s="408" t="str">
        <f>IF($A21="","",SUM(PT!N37,PT!N38))</f>
        <v/>
      </c>
      <c r="N21" s="408" t="str">
        <f>IF($A21="","",SUM(PT!O37,PT!O38))</f>
        <v/>
      </c>
      <c r="O21" s="408" t="str">
        <f>IF($A21="","",SUM(PT!P37,PT!P38))</f>
        <v/>
      </c>
      <c r="P21" s="408" t="str">
        <f>IF($A21="","",SUM(PT!Q37,PT!Q38))</f>
        <v/>
      </c>
      <c r="Q21" s="408" t="str">
        <f>IF($A21="","",SUM(PT!R37,PT!R38))</f>
        <v/>
      </c>
      <c r="R21" s="408"/>
      <c r="S21" s="408"/>
      <c r="T21" s="409" t="str">
        <f t="shared" si="1"/>
        <v/>
      </c>
      <c r="U21" s="410" t="str">
        <f>IF($A21="","",SUM(PT!U37,PT!U38))</f>
        <v/>
      </c>
      <c r="V21" s="411" t="str">
        <f>IF($A21="","",PT!AJ38)</f>
        <v/>
      </c>
      <c r="W21" s="412" t="str">
        <f>'Game Summary'!F23</f>
        <v/>
      </c>
      <c r="X21" s="413" t="str">
        <f t="shared" si="0"/>
        <v/>
      </c>
      <c r="Y21" s="383"/>
      <c r="Z21" s="383"/>
      <c r="AA21" s="383"/>
      <c r="AB21" s="383"/>
      <c r="AC21" s="381"/>
    </row>
    <row r="22" spans="1:29" ht="25.15" customHeight="1" x14ac:dyDescent="0.2">
      <c r="A22" s="395" t="str">
        <f>IF(IGRF!B32="","",IGRF!B32)</f>
        <v/>
      </c>
      <c r="B22" s="1295" t="str">
        <f>IF(IGRF!C32="","",IGRF!C32)</f>
        <v/>
      </c>
      <c r="C22" s="1296"/>
      <c r="D22" s="396" t="str">
        <f>IF($A22="","",SUM(PT!E39,PT!E40))</f>
        <v/>
      </c>
      <c r="E22" s="397" t="str">
        <f>IF($A22="","",SUM(PT!F39,PT!F40))</f>
        <v/>
      </c>
      <c r="F22" s="397" t="str">
        <f>IF($A22="","",SUM(PT!G39,PT!G40))</f>
        <v/>
      </c>
      <c r="G22" s="397" t="str">
        <f>IF($A22="","",SUM(PT!H39,PT!H40))</f>
        <v/>
      </c>
      <c r="H22" s="397" t="str">
        <f>IF($A22="","",SUM(PT!I39,PT!I40))</f>
        <v/>
      </c>
      <c r="I22" s="397" t="str">
        <f>IF($A22="","",SUM(PT!J39,PT!J40))</f>
        <v/>
      </c>
      <c r="J22" s="397" t="str">
        <f>IF($A22="","",SUM(PT!K39,PT!K40))</f>
        <v/>
      </c>
      <c r="K22" s="397" t="str">
        <f>IF($A22="","",SUM(PT!L39,PT!L40))</f>
        <v/>
      </c>
      <c r="L22" s="397" t="str">
        <f>IF($A22="","",SUM(PT!M39,PT!M40))</f>
        <v/>
      </c>
      <c r="M22" s="397" t="str">
        <f>IF($A22="","",SUM(PT!N39,PT!N40))</f>
        <v/>
      </c>
      <c r="N22" s="397" t="str">
        <f>IF($A22="","",SUM(PT!O39,PT!O40))</f>
        <v/>
      </c>
      <c r="O22" s="397" t="str">
        <f>IF($A22="","",SUM(PT!P39,PT!P40))</f>
        <v/>
      </c>
      <c r="P22" s="397" t="str">
        <f>IF($A22="","",SUM(PT!Q39,PT!Q40))</f>
        <v/>
      </c>
      <c r="Q22" s="397" t="str">
        <f>IF($A22="","",SUM(PT!R39,PT!R40))</f>
        <v/>
      </c>
      <c r="R22" s="397"/>
      <c r="S22" s="398"/>
      <c r="T22" s="399" t="str">
        <f t="shared" si="1"/>
        <v/>
      </c>
      <c r="U22" s="400" t="str">
        <f>IF($A22="","",SUM(PT!U39,PT!U40))</f>
        <v/>
      </c>
      <c r="V22" s="401" t="str">
        <f>IF($A22="","",PT!AJ40)</f>
        <v/>
      </c>
      <c r="W22" s="402" t="str">
        <f>'Game Summary'!F24</f>
        <v/>
      </c>
      <c r="X22" s="403" t="str">
        <f t="shared" si="0"/>
        <v/>
      </c>
      <c r="Y22" s="394"/>
      <c r="Z22" s="394"/>
      <c r="AA22" s="394"/>
      <c r="AB22" s="394"/>
      <c r="AC22" s="381"/>
    </row>
    <row r="23" spans="1:29" ht="25.15" customHeight="1" thickBot="1" x14ac:dyDescent="0.25">
      <c r="A23" s="404" t="str">
        <f>IF(IGRF!B33="","",IGRF!B33)</f>
        <v/>
      </c>
      <c r="B23" s="1293" t="str">
        <f>IF(IGRF!C33="","",IGRF!C33)</f>
        <v/>
      </c>
      <c r="C23" s="1299"/>
      <c r="D23" s="405" t="str">
        <f>IF($A23="","",SUM(PT!E41,PT!E42))</f>
        <v/>
      </c>
      <c r="E23" s="406" t="str">
        <f>IF($A23="","",SUM(PT!F41,PT!F42))</f>
        <v/>
      </c>
      <c r="F23" s="407" t="str">
        <f>IF($A23="","",SUM(PT!G41,PT!G42))</f>
        <v/>
      </c>
      <c r="G23" s="408" t="str">
        <f>IF($A23="","",SUM(PT!H41,PT!H42))</f>
        <v/>
      </c>
      <c r="H23" s="408" t="str">
        <f>IF($A23="","",SUM(PT!I41,PT!I42))</f>
        <v/>
      </c>
      <c r="I23" s="408" t="str">
        <f>IF($A23="","",SUM(PT!J41,PT!J42))</f>
        <v/>
      </c>
      <c r="J23" s="408" t="str">
        <f>IF($A23="","",SUM(PT!K41,PT!K42))</f>
        <v/>
      </c>
      <c r="K23" s="408" t="str">
        <f>IF($A23="","",SUM(PT!L41,PT!L42))</f>
        <v/>
      </c>
      <c r="L23" s="408" t="str">
        <f>IF($A23="","",SUM(PT!M41,PT!M42))</f>
        <v/>
      </c>
      <c r="M23" s="408" t="str">
        <f>IF($A23="","",SUM(PT!N41,PT!N42))</f>
        <v/>
      </c>
      <c r="N23" s="408" t="str">
        <f>IF($A23="","",SUM(PT!O41,PT!O42))</f>
        <v/>
      </c>
      <c r="O23" s="408" t="str">
        <f>IF($A23="","",SUM(PT!P41,PT!P42))</f>
        <v/>
      </c>
      <c r="P23" s="408" t="str">
        <f>IF($A23="","",SUM(PT!Q41,PT!Q42))</f>
        <v/>
      </c>
      <c r="Q23" s="408" t="str">
        <f>IF($A23="","",SUM(PT!R41,PT!R42))</f>
        <v/>
      </c>
      <c r="R23" s="408"/>
      <c r="S23" s="408"/>
      <c r="T23" s="409" t="str">
        <f t="shared" si="1"/>
        <v/>
      </c>
      <c r="U23" s="410" t="str">
        <f>IF($A23="","",SUM(PT!U41,PT!U42))</f>
        <v/>
      </c>
      <c r="V23" s="411" t="str">
        <f>IF($A23="","",PT!AJ42)</f>
        <v/>
      </c>
      <c r="W23" s="412" t="str">
        <f>'Game Summary'!F25</f>
        <v/>
      </c>
      <c r="X23" s="413" t="str">
        <f t="shared" si="0"/>
        <v/>
      </c>
      <c r="Y23" s="394"/>
      <c r="Z23" s="394"/>
      <c r="AA23" s="394"/>
      <c r="AB23" s="394"/>
      <c r="AC23" s="381"/>
    </row>
    <row r="24" spans="1:29" ht="21.75" customHeight="1" x14ac:dyDescent="0.2">
      <c r="A24" s="1300" t="s">
        <v>279</v>
      </c>
      <c r="B24" s="1301"/>
      <c r="C24" s="415" t="str">
        <f>PT!AJ44</f>
        <v/>
      </c>
      <c r="D24" s="1302" t="str">
        <f t="shared" ref="D24:Q24" si="2">D3</f>
        <v>Misconduct</v>
      </c>
      <c r="E24" s="1302" t="str">
        <f t="shared" si="2"/>
        <v>High Block</v>
      </c>
      <c r="F24" s="1302" t="str">
        <f t="shared" si="2"/>
        <v>Back Block</v>
      </c>
      <c r="G24" s="1302" t="str">
        <f t="shared" si="2"/>
        <v>Low Block</v>
      </c>
      <c r="H24" s="1302" t="str">
        <f t="shared" si="2"/>
        <v>Leg Block</v>
      </c>
      <c r="I24" s="1302" t="str">
        <f t="shared" si="2"/>
        <v>Forearms</v>
      </c>
      <c r="J24" s="1302" t="str">
        <f t="shared" si="2"/>
        <v>Head Block</v>
      </c>
      <c r="K24" s="1302" t="str">
        <f t="shared" si="2"/>
        <v>Multiplayer</v>
      </c>
      <c r="L24" s="1302" t="str">
        <f t="shared" si="2"/>
        <v>Illegal Contact</v>
      </c>
      <c r="M24" s="1302" t="str">
        <f t="shared" si="2"/>
        <v>Direction</v>
      </c>
      <c r="N24" s="1302" t="str">
        <f t="shared" si="2"/>
        <v>Illegal Position</v>
      </c>
      <c r="O24" s="1302" t="str">
        <f t="shared" si="2"/>
        <v>Cut</v>
      </c>
      <c r="P24" s="1302" t="str">
        <f t="shared" si="2"/>
        <v>Interference</v>
      </c>
      <c r="Q24" s="1302" t="str">
        <f t="shared" si="2"/>
        <v>Illegal Procedure</v>
      </c>
      <c r="R24" s="1302"/>
      <c r="S24" s="1302"/>
      <c r="T24" s="1305" t="s">
        <v>59</v>
      </c>
      <c r="U24" s="416"/>
      <c r="V24" s="417">
        <f>SUM(PT!X49:AI49,C24,C25)</f>
        <v>0</v>
      </c>
      <c r="W24" s="418" t="str">
        <f>IF(COUNT(W4:W23)=0,"-",SUM(W4:W23)/COUNT(W4:W23))</f>
        <v>-</v>
      </c>
      <c r="X24" s="419" t="str">
        <f>IF(COUNT(X4:X23)=0,"-",SUM(X4:X23)/COUNT(X4:X23))</f>
        <v>-</v>
      </c>
      <c r="Y24" s="394"/>
      <c r="Z24" s="394"/>
      <c r="AA24" s="394"/>
      <c r="AB24" s="394"/>
      <c r="AC24" s="381"/>
    </row>
    <row r="25" spans="1:29" ht="20.25" customHeight="1" thickBot="1" x14ac:dyDescent="0.25">
      <c r="A25" s="1308" t="s">
        <v>279</v>
      </c>
      <c r="B25" s="1309"/>
      <c r="C25" s="420" t="str">
        <f>PT!AJ46</f>
        <v/>
      </c>
      <c r="D25" s="1303"/>
      <c r="E25" s="1303"/>
      <c r="F25" s="1303"/>
      <c r="G25" s="1303"/>
      <c r="H25" s="1303"/>
      <c r="I25" s="1303"/>
      <c r="J25" s="1303"/>
      <c r="K25" s="1303"/>
      <c r="L25" s="1303"/>
      <c r="M25" s="1303"/>
      <c r="N25" s="1303"/>
      <c r="O25" s="1303"/>
      <c r="P25" s="1303"/>
      <c r="Q25" s="1303"/>
      <c r="R25" s="1303"/>
      <c r="S25" s="1303"/>
      <c r="T25" s="1306"/>
      <c r="U25" s="421"/>
      <c r="V25" s="1310" t="s">
        <v>61</v>
      </c>
      <c r="W25" s="1312"/>
      <c r="X25" s="1312"/>
      <c r="Y25" s="394"/>
      <c r="Z25" s="394"/>
      <c r="AA25" s="394"/>
      <c r="AB25" s="394"/>
      <c r="AC25" s="381"/>
    </row>
    <row r="26" spans="1:29" ht="19.899999999999999" customHeight="1" thickBot="1" x14ac:dyDescent="0.25">
      <c r="A26" s="1313"/>
      <c r="B26" s="1314"/>
      <c r="C26" s="1314"/>
      <c r="D26" s="1304"/>
      <c r="E26" s="1304"/>
      <c r="F26" s="1304"/>
      <c r="G26" s="1304"/>
      <c r="H26" s="1304"/>
      <c r="I26" s="1304"/>
      <c r="J26" s="1304"/>
      <c r="K26" s="1304"/>
      <c r="L26" s="1304"/>
      <c r="M26" s="1304"/>
      <c r="N26" s="1304"/>
      <c r="O26" s="1304"/>
      <c r="P26" s="1304"/>
      <c r="Q26" s="1304"/>
      <c r="R26" s="1304"/>
      <c r="S26" s="1304"/>
      <c r="T26" s="1307"/>
      <c r="U26" s="421"/>
      <c r="V26" s="1311"/>
      <c r="W26" s="1312"/>
      <c r="X26" s="1312"/>
      <c r="Y26" s="394"/>
      <c r="Z26" s="394"/>
      <c r="AA26" s="394"/>
      <c r="AB26" s="394"/>
      <c r="AC26" s="381"/>
    </row>
    <row r="27" spans="1:29" ht="12.75" customHeight="1" thickBot="1" x14ac:dyDescent="0.25">
      <c r="A27" s="1313" t="s">
        <v>280</v>
      </c>
      <c r="B27" s="1313"/>
      <c r="C27" s="1313"/>
      <c r="D27" s="422">
        <f>SUM(D4:D23)</f>
        <v>0</v>
      </c>
      <c r="E27" s="422">
        <f t="shared" ref="E27:Q27" si="3">SUM(E4:E23)</f>
        <v>0</v>
      </c>
      <c r="F27" s="422">
        <f t="shared" si="3"/>
        <v>0</v>
      </c>
      <c r="G27" s="422">
        <f t="shared" si="3"/>
        <v>0</v>
      </c>
      <c r="H27" s="422">
        <f t="shared" si="3"/>
        <v>0</v>
      </c>
      <c r="I27" s="422">
        <f t="shared" si="3"/>
        <v>0</v>
      </c>
      <c r="J27" s="422">
        <f t="shared" si="3"/>
        <v>0</v>
      </c>
      <c r="K27" s="422">
        <f t="shared" si="3"/>
        <v>0</v>
      </c>
      <c r="L27" s="422">
        <f t="shared" si="3"/>
        <v>0</v>
      </c>
      <c r="M27" s="422">
        <f t="shared" si="3"/>
        <v>0</v>
      </c>
      <c r="N27" s="422">
        <f t="shared" si="3"/>
        <v>0</v>
      </c>
      <c r="O27" s="422">
        <f t="shared" si="3"/>
        <v>0</v>
      </c>
      <c r="P27" s="422">
        <f t="shared" si="3"/>
        <v>0</v>
      </c>
      <c r="Q27" s="422">
        <f t="shared" si="3"/>
        <v>0</v>
      </c>
      <c r="R27" s="422"/>
      <c r="S27" s="422"/>
      <c r="T27" s="423">
        <f>SUM(T4:T23)</f>
        <v>0</v>
      </c>
      <c r="U27" s="421">
        <f>SUM(U4:U23,C24,C25)</f>
        <v>0</v>
      </c>
      <c r="V27" s="1315" t="s">
        <v>305</v>
      </c>
      <c r="W27" s="1315"/>
      <c r="X27" s="1316"/>
      <c r="Y27" s="394"/>
      <c r="Z27" s="394"/>
      <c r="AA27" s="394"/>
      <c r="AB27" s="394"/>
      <c r="AC27" s="381"/>
    </row>
    <row r="28" spans="1:29" ht="12.75" customHeight="1" thickBot="1" x14ac:dyDescent="0.25">
      <c r="A28" s="1313"/>
      <c r="B28" s="1313"/>
      <c r="C28" s="1313"/>
      <c r="D28" s="1317" t="s">
        <v>281</v>
      </c>
      <c r="E28" s="1317"/>
      <c r="F28" s="1317"/>
      <c r="G28" s="1317"/>
      <c r="H28" s="1317"/>
      <c r="I28" s="1317"/>
      <c r="J28" s="1318" t="str">
        <f>IF(OR(LU!D3=0,LU!D102=0),"",T27/(LU!D3+LU!D102))</f>
        <v/>
      </c>
      <c r="K28" s="1318"/>
      <c r="L28" s="1319" t="s">
        <v>307</v>
      </c>
      <c r="M28" s="1319"/>
      <c r="N28" s="1319"/>
      <c r="O28" s="1319"/>
      <c r="P28" s="1319"/>
      <c r="Q28" s="424"/>
      <c r="R28" s="1320" t="str">
        <f>IF(T27+T56=0,"",T27/(T27+T56))</f>
        <v/>
      </c>
      <c r="S28" s="1320"/>
      <c r="T28" s="1328" t="str">
        <f>IF(T27+T56=0,"",T27/(T27+T56))</f>
        <v/>
      </c>
      <c r="U28" s="1321" t="str">
        <f>IF(U27+U56=0,"",U27/(U27+U56))</f>
        <v/>
      </c>
      <c r="V28" s="1322" t="s">
        <v>306</v>
      </c>
      <c r="W28" s="1322"/>
      <c r="X28" s="1323"/>
      <c r="Y28" s="394"/>
      <c r="Z28" s="394"/>
      <c r="AA28" s="394"/>
      <c r="AB28" s="394"/>
      <c r="AC28" s="381"/>
    </row>
    <row r="29" spans="1:29" ht="12.75" customHeight="1" thickBot="1" x14ac:dyDescent="0.25">
      <c r="A29" s="1313"/>
      <c r="B29" s="1313"/>
      <c r="C29" s="1313"/>
      <c r="D29" s="1326" t="s">
        <v>62</v>
      </c>
      <c r="E29" s="1326"/>
      <c r="F29" s="1326"/>
      <c r="G29" s="1326"/>
      <c r="H29" s="1326"/>
      <c r="I29" s="1326"/>
      <c r="J29" s="1327" t="str">
        <f>IF(OR(J28="",J57=""),"",J28-J57)</f>
        <v/>
      </c>
      <c r="K29" s="1327"/>
      <c r="L29" s="1319"/>
      <c r="M29" s="1319"/>
      <c r="N29" s="1319"/>
      <c r="O29" s="1319"/>
      <c r="P29" s="1319"/>
      <c r="Q29" s="424"/>
      <c r="R29" s="1320"/>
      <c r="S29" s="1320"/>
      <c r="T29" s="1329"/>
      <c r="U29" s="1321"/>
      <c r="V29" s="1324"/>
      <c r="W29" s="1324"/>
      <c r="X29" s="1325"/>
      <c r="Y29" s="394"/>
      <c r="Z29" s="394"/>
      <c r="AA29" s="394"/>
      <c r="AB29" s="394"/>
      <c r="AC29" s="381"/>
    </row>
    <row r="30" spans="1:29" ht="20.25" customHeight="1" thickBot="1" x14ac:dyDescent="0.25">
      <c r="A30" s="1284" t="str">
        <f>IF(IGRF!$B$7="","",IGRF!$B$7)</f>
        <v/>
      </c>
      <c r="B30" s="1284"/>
      <c r="C30" s="1284"/>
      <c r="D30" s="1285" t="s">
        <v>99</v>
      </c>
      <c r="E30" s="1285"/>
      <c r="F30" s="1285"/>
      <c r="G30" s="1285"/>
      <c r="H30" s="1285"/>
      <c r="I30" s="1285"/>
      <c r="J30" s="1285"/>
      <c r="K30" s="1285"/>
      <c r="L30" s="1285"/>
      <c r="M30" s="1285"/>
      <c r="N30" s="1285"/>
      <c r="O30" s="1285"/>
      <c r="P30" s="1285"/>
      <c r="Q30" s="1285"/>
      <c r="R30" s="1285"/>
      <c r="S30" s="1285"/>
      <c r="T30" s="1285"/>
      <c r="U30" s="1285"/>
      <c r="V30" s="1285"/>
      <c r="W30" s="1286"/>
      <c r="X30" s="1286"/>
      <c r="Y30" s="394"/>
      <c r="Z30" s="394"/>
      <c r="AA30" s="394"/>
      <c r="AB30" s="394"/>
      <c r="AC30" s="381"/>
    </row>
    <row r="31" spans="1:29" ht="66" customHeight="1" thickBot="1" x14ac:dyDescent="0.25">
      <c r="A31" s="1287" t="str">
        <f>Score!$T$1</f>
        <v>Away Team</v>
      </c>
      <c r="B31" s="1287"/>
      <c r="C31" s="1287"/>
      <c r="D31" s="1288" t="str">
        <f>D2</f>
        <v>Penalties by Skaters</v>
      </c>
      <c r="E31" s="1289"/>
      <c r="F31" s="1289"/>
      <c r="G31" s="1289"/>
      <c r="H31" s="1289"/>
      <c r="I31" s="1289"/>
      <c r="J31" s="1289"/>
      <c r="K31" s="1289"/>
      <c r="L31" s="1289"/>
      <c r="M31" s="1289"/>
      <c r="N31" s="1289"/>
      <c r="O31" s="1289"/>
      <c r="P31" s="1289"/>
      <c r="Q31" s="1289"/>
      <c r="R31" s="1289"/>
      <c r="S31" s="1289"/>
      <c r="T31" s="1290"/>
      <c r="U31" s="382"/>
      <c r="V31" s="382"/>
      <c r="W31" s="1291" t="str">
        <f>W2</f>
        <v>EXTRAPOLATED</v>
      </c>
      <c r="X31" s="1292"/>
      <c r="Y31" s="394"/>
      <c r="Z31" s="394"/>
      <c r="AA31" s="394"/>
      <c r="AB31" s="394"/>
      <c r="AC31" s="381"/>
    </row>
    <row r="32" spans="1:29" ht="62.25" customHeight="1" x14ac:dyDescent="0.25">
      <c r="A32" s="384" t="s">
        <v>111</v>
      </c>
      <c r="B32" s="1297" t="s">
        <v>101</v>
      </c>
      <c r="C32" s="1298"/>
      <c r="D32" s="385" t="str">
        <f t="shared" ref="D32:P32" si="4">D3</f>
        <v>Misconduct</v>
      </c>
      <c r="E32" s="386" t="str">
        <f t="shared" si="4"/>
        <v>High Block</v>
      </c>
      <c r="F32" s="387" t="str">
        <f t="shared" si="4"/>
        <v>Back Block</v>
      </c>
      <c r="G32" s="387" t="str">
        <f t="shared" si="4"/>
        <v>Low Block</v>
      </c>
      <c r="H32" s="387" t="str">
        <f t="shared" si="4"/>
        <v>Leg Block</v>
      </c>
      <c r="I32" s="387" t="str">
        <f t="shared" si="4"/>
        <v>Forearms</v>
      </c>
      <c r="J32" s="387" t="str">
        <f t="shared" si="4"/>
        <v>Head Block</v>
      </c>
      <c r="K32" s="387" t="str">
        <f t="shared" si="4"/>
        <v>Multiplayer</v>
      </c>
      <c r="L32" s="387" t="str">
        <f t="shared" si="4"/>
        <v>Illegal Contact</v>
      </c>
      <c r="M32" s="387" t="str">
        <f t="shared" si="4"/>
        <v>Direction</v>
      </c>
      <c r="N32" s="387" t="str">
        <f t="shared" si="4"/>
        <v>Illegal Position</v>
      </c>
      <c r="O32" s="387" t="str">
        <f t="shared" si="4"/>
        <v>Cut</v>
      </c>
      <c r="P32" s="387" t="str">
        <f t="shared" si="4"/>
        <v>Interference</v>
      </c>
      <c r="Q32" s="388" t="str">
        <f>Q3</f>
        <v>Illegal Procedure</v>
      </c>
      <c r="R32" s="388"/>
      <c r="S32" s="388"/>
      <c r="T32" s="389" t="s">
        <v>59</v>
      </c>
      <c r="U32" s="390" t="s">
        <v>308</v>
      </c>
      <c r="V32" s="391" t="s">
        <v>128</v>
      </c>
      <c r="W32" s="392" t="s">
        <v>60</v>
      </c>
      <c r="X32" s="393" t="s">
        <v>309</v>
      </c>
      <c r="Y32" s="394"/>
      <c r="Z32" s="394"/>
      <c r="AA32" s="394"/>
      <c r="AB32" s="394"/>
      <c r="AC32" s="381"/>
    </row>
    <row r="33" spans="1:29" ht="25.15" customHeight="1" x14ac:dyDescent="0.2">
      <c r="A33" s="395" t="str">
        <f>IF(IGRF!I14="","",IGRF!I14)</f>
        <v/>
      </c>
      <c r="B33" s="1295" t="str">
        <f>IF(IGRF!J14="","",IGRF!J14)</f>
        <v/>
      </c>
      <c r="C33" s="1296"/>
      <c r="D33" s="396" t="str">
        <f>IF($A33="","",SUM(PT!E56,PT!E57))</f>
        <v/>
      </c>
      <c r="E33" s="397" t="str">
        <f>IF($A33="","",SUM(PT!F56,PT!F57))</f>
        <v/>
      </c>
      <c r="F33" s="397" t="str">
        <f>IF($A33="","",SUM(PT!G56,PT!G57))</f>
        <v/>
      </c>
      <c r="G33" s="397" t="str">
        <f>IF($A33="","",SUM(PT!H56,PT!H57))</f>
        <v/>
      </c>
      <c r="H33" s="397" t="str">
        <f>IF($A33="","",SUM(PT!I56,PT!I57))</f>
        <v/>
      </c>
      <c r="I33" s="397" t="str">
        <f>IF($A33="","",SUM(PT!J56,PT!J57))</f>
        <v/>
      </c>
      <c r="J33" s="397" t="str">
        <f>IF($A33="","",SUM(PT!K56,PT!K57))</f>
        <v/>
      </c>
      <c r="K33" s="397" t="str">
        <f>IF($A33="","",SUM(PT!L56,PT!L57))</f>
        <v/>
      </c>
      <c r="L33" s="397" t="str">
        <f>IF($A33="","",SUM(PT!M56,PT!M57))</f>
        <v/>
      </c>
      <c r="M33" s="397" t="str">
        <f>IF($A33="","",SUM(PT!N56,PT!N57))</f>
        <v/>
      </c>
      <c r="N33" s="397" t="str">
        <f>IF($A33="","",SUM(PT!O56,PT!O57))</f>
        <v/>
      </c>
      <c r="O33" s="397" t="str">
        <f>IF($A33="","",SUM(PT!P56,PT!P57))</f>
        <v/>
      </c>
      <c r="P33" s="397" t="str">
        <f>IF($A33="","",SUM(PT!Q56,PT!Q57))</f>
        <v/>
      </c>
      <c r="Q33" s="397" t="str">
        <f>IF($A33="","",SUM(PT!R56,PT!R57))</f>
        <v/>
      </c>
      <c r="R33" s="397"/>
      <c r="S33" s="398"/>
      <c r="T33" s="399" t="str">
        <f>IF($A33="","",SUM(D33:S33))</f>
        <v/>
      </c>
      <c r="U33" s="400" t="str">
        <f>IF($A33="","",SUM(PT!U56,PT!U57))</f>
        <v/>
      </c>
      <c r="V33" s="401" t="str">
        <f>IF($A33="","",PT!AJ57)</f>
        <v/>
      </c>
      <c r="W33" s="402" t="str">
        <f>'Game Summary'!F28</f>
        <v/>
      </c>
      <c r="X33" s="403" t="str">
        <f t="shared" ref="X33:X52" si="5">IF(OR(W33="",W33=0),"",U33/W33)</f>
        <v/>
      </c>
      <c r="Y33" s="394"/>
      <c r="Z33" s="394"/>
      <c r="AA33" s="394"/>
      <c r="AB33" s="394"/>
      <c r="AC33" s="381"/>
    </row>
    <row r="34" spans="1:29" ht="25.15" customHeight="1" x14ac:dyDescent="0.2">
      <c r="A34" s="404" t="str">
        <f>IF(IGRF!I15="","",IGRF!I15)</f>
        <v/>
      </c>
      <c r="B34" s="1293" t="str">
        <f>IF(IGRF!J15="","",IGRF!J15)</f>
        <v/>
      </c>
      <c r="C34" s="1294"/>
      <c r="D34" s="405" t="str">
        <f>IF($A34="","",SUM(PT!E58,PT!E59))</f>
        <v/>
      </c>
      <c r="E34" s="406" t="str">
        <f>IF($A34="","",SUM(PT!F58,PT!F59))</f>
        <v/>
      </c>
      <c r="F34" s="407" t="str">
        <f>IF($A34="","",SUM(PT!G58,PT!G59))</f>
        <v/>
      </c>
      <c r="G34" s="408" t="str">
        <f>IF($A34="","",SUM(PT!H58,PT!H59))</f>
        <v/>
      </c>
      <c r="H34" s="408" t="str">
        <f>IF($A34="","",SUM(PT!I58,PT!I59))</f>
        <v/>
      </c>
      <c r="I34" s="408" t="str">
        <f>IF($A34="","",SUM(PT!J58,PT!J59))</f>
        <v/>
      </c>
      <c r="J34" s="408" t="str">
        <f>IF($A34="","",SUM(PT!K58,PT!K59))</f>
        <v/>
      </c>
      <c r="K34" s="408" t="str">
        <f>IF($A34="","",SUM(PT!L58,PT!L59))</f>
        <v/>
      </c>
      <c r="L34" s="408" t="str">
        <f>IF($A34="","",SUM(PT!M58,PT!M59))</f>
        <v/>
      </c>
      <c r="M34" s="408" t="str">
        <f>IF($A34="","",SUM(PT!N58,PT!N59))</f>
        <v/>
      </c>
      <c r="N34" s="408" t="str">
        <f>IF($A34="","",SUM(PT!O58,PT!O59))</f>
        <v/>
      </c>
      <c r="O34" s="408" t="str">
        <f>IF($A34="","",SUM(PT!P58,PT!P59))</f>
        <v/>
      </c>
      <c r="P34" s="408" t="str">
        <f>IF($A34="","",SUM(PT!Q58,PT!Q59))</f>
        <v/>
      </c>
      <c r="Q34" s="408" t="str">
        <f>IF($A34="","",SUM(PT!R58,PT!R59))</f>
        <v/>
      </c>
      <c r="R34" s="408"/>
      <c r="S34" s="408"/>
      <c r="T34" s="409" t="str">
        <f t="shared" ref="T34:T52" si="6">IF($A34="","",SUM(D34:S34))</f>
        <v/>
      </c>
      <c r="U34" s="410" t="str">
        <f>IF($A34="","",SUM(PT!U58,PT!U59))</f>
        <v/>
      </c>
      <c r="V34" s="411" t="str">
        <f>IF($A34="","",PT!AJ59)</f>
        <v/>
      </c>
      <c r="W34" s="412" t="str">
        <f>'Game Summary'!F29</f>
        <v/>
      </c>
      <c r="X34" s="413" t="str">
        <f t="shared" si="5"/>
        <v/>
      </c>
      <c r="Y34" s="394"/>
      <c r="Z34" s="394"/>
      <c r="AA34" s="394"/>
      <c r="AB34" s="394"/>
      <c r="AC34" s="381"/>
    </row>
    <row r="35" spans="1:29" ht="25.15" customHeight="1" x14ac:dyDescent="0.2">
      <c r="A35" s="395" t="str">
        <f>IF(IGRF!I16="","",IGRF!I16)</f>
        <v/>
      </c>
      <c r="B35" s="1295" t="str">
        <f>IF(IGRF!J16="","",IGRF!J16)</f>
        <v/>
      </c>
      <c r="C35" s="1296"/>
      <c r="D35" s="396" t="str">
        <f>IF($A35="","",SUM(PT!E60,PT!E61))</f>
        <v/>
      </c>
      <c r="E35" s="397" t="str">
        <f>IF($A35="","",SUM(PT!F60,PT!F61))</f>
        <v/>
      </c>
      <c r="F35" s="397" t="str">
        <f>IF($A35="","",SUM(PT!G60,PT!G61))</f>
        <v/>
      </c>
      <c r="G35" s="397" t="str">
        <f>IF($A35="","",SUM(PT!H60,PT!H61))</f>
        <v/>
      </c>
      <c r="H35" s="397" t="str">
        <f>IF($A35="","",SUM(PT!I60,PT!I61))</f>
        <v/>
      </c>
      <c r="I35" s="397" t="str">
        <f>IF($A35="","",SUM(PT!J60,PT!J61))</f>
        <v/>
      </c>
      <c r="J35" s="397" t="str">
        <f>IF($A35="","",SUM(PT!K60,PT!K61))</f>
        <v/>
      </c>
      <c r="K35" s="397" t="str">
        <f>IF($A35="","",SUM(PT!L60,PT!L61))</f>
        <v/>
      </c>
      <c r="L35" s="397" t="str">
        <f>IF($A35="","",SUM(PT!M60,PT!M61))</f>
        <v/>
      </c>
      <c r="M35" s="397" t="str">
        <f>IF($A35="","",SUM(PT!N60,PT!N61))</f>
        <v/>
      </c>
      <c r="N35" s="397" t="str">
        <f>IF($A35="","",SUM(PT!O60,PT!O61))</f>
        <v/>
      </c>
      <c r="O35" s="397" t="str">
        <f>IF($A35="","",SUM(PT!P60,PT!P61))</f>
        <v/>
      </c>
      <c r="P35" s="397" t="str">
        <f>IF($A35="","",SUM(PT!Q60,PT!Q61))</f>
        <v/>
      </c>
      <c r="Q35" s="397" t="str">
        <f>IF($A35="","",SUM(PT!R60,PT!R61))</f>
        <v/>
      </c>
      <c r="R35" s="397"/>
      <c r="S35" s="398"/>
      <c r="T35" s="399" t="str">
        <f t="shared" si="6"/>
        <v/>
      </c>
      <c r="U35" s="400" t="str">
        <f>IF($A35="","",SUM(PT!U60,PT!U61))</f>
        <v/>
      </c>
      <c r="V35" s="401" t="str">
        <f>IF($A35="","",PT!AJ61)</f>
        <v/>
      </c>
      <c r="W35" s="402" t="str">
        <f>'Game Summary'!F30</f>
        <v/>
      </c>
      <c r="X35" s="403" t="str">
        <f t="shared" si="5"/>
        <v/>
      </c>
      <c r="Y35" s="394"/>
      <c r="Z35" s="394"/>
      <c r="AA35" s="394"/>
      <c r="AB35" s="394"/>
      <c r="AC35" s="381"/>
    </row>
    <row r="36" spans="1:29" ht="25.15" customHeight="1" x14ac:dyDescent="0.2">
      <c r="A36" s="404" t="str">
        <f>IF(IGRF!I17="","",IGRF!I17)</f>
        <v/>
      </c>
      <c r="B36" s="1293" t="str">
        <f>IF(IGRF!J17="","",IGRF!J17)</f>
        <v/>
      </c>
      <c r="C36" s="1294"/>
      <c r="D36" s="405" t="str">
        <f>IF($A36="","",SUM(PT!E62,PT!E63))</f>
        <v/>
      </c>
      <c r="E36" s="406" t="str">
        <f>IF($A36="","",SUM(PT!F62,PT!F63))</f>
        <v/>
      </c>
      <c r="F36" s="407" t="str">
        <f>IF($A36="","",SUM(PT!G62,PT!G63))</f>
        <v/>
      </c>
      <c r="G36" s="408" t="str">
        <f>IF($A36="","",SUM(PT!H62,PT!H63))</f>
        <v/>
      </c>
      <c r="H36" s="408" t="str">
        <f>IF($A36="","",SUM(PT!I62,PT!I63))</f>
        <v/>
      </c>
      <c r="I36" s="408" t="str">
        <f>IF($A36="","",SUM(PT!J62,PT!J63))</f>
        <v/>
      </c>
      <c r="J36" s="408" t="str">
        <f>IF($A36="","",SUM(PT!K62,PT!K63))</f>
        <v/>
      </c>
      <c r="K36" s="408" t="str">
        <f>IF($A36="","",SUM(PT!L62,PT!L63))</f>
        <v/>
      </c>
      <c r="L36" s="408" t="str">
        <f>IF($A36="","",SUM(PT!M62,PT!M63))</f>
        <v/>
      </c>
      <c r="M36" s="408" t="str">
        <f>IF($A36="","",SUM(PT!N62,PT!N63))</f>
        <v/>
      </c>
      <c r="N36" s="408" t="str">
        <f>IF($A36="","",SUM(PT!O62,PT!O63))</f>
        <v/>
      </c>
      <c r="O36" s="408" t="str">
        <f>IF($A36="","",SUM(PT!P62,PT!P63))</f>
        <v/>
      </c>
      <c r="P36" s="408" t="str">
        <f>IF($A36="","",SUM(PT!Q62,PT!Q63))</f>
        <v/>
      </c>
      <c r="Q36" s="408" t="str">
        <f>IF($A36="","",SUM(PT!R62,PT!R63))</f>
        <v/>
      </c>
      <c r="R36" s="408"/>
      <c r="S36" s="408"/>
      <c r="T36" s="409" t="str">
        <f t="shared" si="6"/>
        <v/>
      </c>
      <c r="U36" s="410" t="str">
        <f>IF($A36="","",SUM(PT!U62,PT!U63))</f>
        <v/>
      </c>
      <c r="V36" s="411" t="str">
        <f>IF($A36="","",PT!AJ63)</f>
        <v/>
      </c>
      <c r="W36" s="412" t="str">
        <f>'Game Summary'!F31</f>
        <v/>
      </c>
      <c r="X36" s="413" t="str">
        <f t="shared" si="5"/>
        <v/>
      </c>
      <c r="Y36" s="394"/>
      <c r="Z36" s="394"/>
      <c r="AA36" s="394"/>
      <c r="AB36" s="394"/>
      <c r="AC36" s="381"/>
    </row>
    <row r="37" spans="1:29" ht="25.15" customHeight="1" x14ac:dyDescent="0.2">
      <c r="A37" s="395" t="str">
        <f>IF(IGRF!I18="","",IGRF!I18)</f>
        <v/>
      </c>
      <c r="B37" s="1295" t="str">
        <f>IF(IGRF!J18="","",IGRF!J18)</f>
        <v/>
      </c>
      <c r="C37" s="1296"/>
      <c r="D37" s="396" t="str">
        <f>IF($A37="","",SUM(PT!E64,PT!E65))</f>
        <v/>
      </c>
      <c r="E37" s="397" t="str">
        <f>IF($A37="","",SUM(PT!F64,PT!F65))</f>
        <v/>
      </c>
      <c r="F37" s="397" t="str">
        <f>IF($A37="","",SUM(PT!G64,PT!G65))</f>
        <v/>
      </c>
      <c r="G37" s="397" t="str">
        <f>IF($A37="","",SUM(PT!H64,PT!H65))</f>
        <v/>
      </c>
      <c r="H37" s="397" t="str">
        <f>IF($A37="","",SUM(PT!I64,PT!I65))</f>
        <v/>
      </c>
      <c r="I37" s="397" t="str">
        <f>IF($A37="","",SUM(PT!J64,PT!J65))</f>
        <v/>
      </c>
      <c r="J37" s="397" t="str">
        <f>IF($A37="","",SUM(PT!K64,PT!K65))</f>
        <v/>
      </c>
      <c r="K37" s="397" t="str">
        <f>IF($A37="","",SUM(PT!L64,PT!L65))</f>
        <v/>
      </c>
      <c r="L37" s="397" t="str">
        <f>IF($A37="","",SUM(PT!M64,PT!M65))</f>
        <v/>
      </c>
      <c r="M37" s="397" t="str">
        <f>IF($A37="","",SUM(PT!N64,PT!N65))</f>
        <v/>
      </c>
      <c r="N37" s="397" t="str">
        <f>IF($A37="","",SUM(PT!O64,PT!O65))</f>
        <v/>
      </c>
      <c r="O37" s="397" t="str">
        <f>IF($A37="","",SUM(PT!P64,PT!P65))</f>
        <v/>
      </c>
      <c r="P37" s="397" t="str">
        <f>IF($A37="","",SUM(PT!Q64,PT!Q65))</f>
        <v/>
      </c>
      <c r="Q37" s="397" t="str">
        <f>IF($A37="","",SUM(PT!R64,PT!R65))</f>
        <v/>
      </c>
      <c r="R37" s="397"/>
      <c r="S37" s="398"/>
      <c r="T37" s="399" t="str">
        <f t="shared" si="6"/>
        <v/>
      </c>
      <c r="U37" s="400" t="str">
        <f>IF($A37="","",SUM(PT!U64,PT!U65))</f>
        <v/>
      </c>
      <c r="V37" s="401" t="str">
        <f>IF($A37="","",PT!AJ65)</f>
        <v/>
      </c>
      <c r="W37" s="402" t="str">
        <f>'Game Summary'!F32</f>
        <v/>
      </c>
      <c r="X37" s="403" t="str">
        <f t="shared" si="5"/>
        <v/>
      </c>
      <c r="Y37" s="394"/>
      <c r="Z37" s="394"/>
      <c r="AA37" s="394"/>
      <c r="AB37" s="394"/>
      <c r="AC37" s="381"/>
    </row>
    <row r="38" spans="1:29" ht="25.15" customHeight="1" x14ac:dyDescent="0.2">
      <c r="A38" s="404" t="str">
        <f>IF(IGRF!I19="","",IGRF!I19)</f>
        <v/>
      </c>
      <c r="B38" s="1293" t="str">
        <f>IF(IGRF!J19="","",IGRF!J19)</f>
        <v/>
      </c>
      <c r="C38" s="1294"/>
      <c r="D38" s="405" t="str">
        <f>IF($A38="","",SUM(PT!E66,PT!E67))</f>
        <v/>
      </c>
      <c r="E38" s="406" t="str">
        <f>IF($A38="","",SUM(PT!F66,PT!F67))</f>
        <v/>
      </c>
      <c r="F38" s="407" t="str">
        <f>IF($A38="","",SUM(PT!G66,PT!G67))</f>
        <v/>
      </c>
      <c r="G38" s="408" t="str">
        <f>IF($A38="","",SUM(PT!H66,PT!H67))</f>
        <v/>
      </c>
      <c r="H38" s="408" t="str">
        <f>IF($A38="","",SUM(PT!I66,PT!I67))</f>
        <v/>
      </c>
      <c r="I38" s="408" t="str">
        <f>IF($A38="","",SUM(PT!J66,PT!J67))</f>
        <v/>
      </c>
      <c r="J38" s="408" t="str">
        <f>IF($A38="","",SUM(PT!K66,PT!K67))</f>
        <v/>
      </c>
      <c r="K38" s="408" t="str">
        <f>IF($A38="","",SUM(PT!L66,PT!L67))</f>
        <v/>
      </c>
      <c r="L38" s="408" t="str">
        <f>IF($A38="","",SUM(PT!M66,PT!M67))</f>
        <v/>
      </c>
      <c r="M38" s="408" t="str">
        <f>IF($A38="","",SUM(PT!N66,PT!N67))</f>
        <v/>
      </c>
      <c r="N38" s="408" t="str">
        <f>IF($A38="","",SUM(PT!O66,PT!O67))</f>
        <v/>
      </c>
      <c r="O38" s="408" t="str">
        <f>IF($A38="","",SUM(PT!P66,PT!P67))</f>
        <v/>
      </c>
      <c r="P38" s="408" t="str">
        <f>IF($A38="","",SUM(PT!Q66,PT!Q67))</f>
        <v/>
      </c>
      <c r="Q38" s="408" t="str">
        <f>IF($A38="","",SUM(PT!R66,PT!R67))</f>
        <v/>
      </c>
      <c r="R38" s="408"/>
      <c r="S38" s="408"/>
      <c r="T38" s="409" t="str">
        <f t="shared" si="6"/>
        <v/>
      </c>
      <c r="U38" s="410" t="str">
        <f>IF($A38="","",SUM(PT!U66,PT!U67))</f>
        <v/>
      </c>
      <c r="V38" s="411" t="str">
        <f>IF($A38="","",PT!AJ67)</f>
        <v/>
      </c>
      <c r="W38" s="412" t="str">
        <f>'Game Summary'!F33</f>
        <v/>
      </c>
      <c r="X38" s="413" t="str">
        <f t="shared" si="5"/>
        <v/>
      </c>
      <c r="Y38" s="394"/>
      <c r="Z38" s="394"/>
      <c r="AA38" s="394"/>
      <c r="AB38" s="394"/>
      <c r="AC38" s="381"/>
    </row>
    <row r="39" spans="1:29" ht="25.15" customHeight="1" x14ac:dyDescent="0.2">
      <c r="A39" s="395" t="str">
        <f>IF(IGRF!I20="","",IGRF!I20)</f>
        <v/>
      </c>
      <c r="B39" s="1295" t="str">
        <f>IF(IGRF!J20="","",IGRF!J20)</f>
        <v/>
      </c>
      <c r="C39" s="1296"/>
      <c r="D39" s="396" t="str">
        <f>IF($A39="","",SUM(PT!E68,PT!E69))</f>
        <v/>
      </c>
      <c r="E39" s="397" t="str">
        <f>IF($A39="","",SUM(PT!F68,PT!F69))</f>
        <v/>
      </c>
      <c r="F39" s="397" t="str">
        <f>IF($A39="","",SUM(PT!G68,PT!G69))</f>
        <v/>
      </c>
      <c r="G39" s="397" t="str">
        <f>IF($A39="","",SUM(PT!H68,PT!H69))</f>
        <v/>
      </c>
      <c r="H39" s="397" t="str">
        <f>IF($A39="","",SUM(PT!I68,PT!I69))</f>
        <v/>
      </c>
      <c r="I39" s="397" t="str">
        <f>IF($A39="","",SUM(PT!J68,PT!J69))</f>
        <v/>
      </c>
      <c r="J39" s="397" t="str">
        <f>IF($A39="","",SUM(PT!K68,PT!K69))</f>
        <v/>
      </c>
      <c r="K39" s="397" t="str">
        <f>IF($A39="","",SUM(PT!L68,PT!L69))</f>
        <v/>
      </c>
      <c r="L39" s="397" t="str">
        <f>IF($A39="","",SUM(PT!M68,PT!M69))</f>
        <v/>
      </c>
      <c r="M39" s="397" t="str">
        <f>IF($A39="","",SUM(PT!N68,PT!N69))</f>
        <v/>
      </c>
      <c r="N39" s="397" t="str">
        <f>IF($A39="","",SUM(PT!O68,PT!O69))</f>
        <v/>
      </c>
      <c r="O39" s="397" t="str">
        <f>IF($A39="","",SUM(PT!P68,PT!P69))</f>
        <v/>
      </c>
      <c r="P39" s="397" t="str">
        <f>IF($A39="","",SUM(PT!Q68,PT!Q69))</f>
        <v/>
      </c>
      <c r="Q39" s="397" t="str">
        <f>IF($A39="","",SUM(PT!R68,PT!R69))</f>
        <v/>
      </c>
      <c r="R39" s="397"/>
      <c r="S39" s="398"/>
      <c r="T39" s="399" t="str">
        <f t="shared" si="6"/>
        <v/>
      </c>
      <c r="U39" s="400" t="str">
        <f>IF($A39="","",SUM(PT!U68,PT!U69))</f>
        <v/>
      </c>
      <c r="V39" s="401" t="str">
        <f>IF($A39="","",PT!AJ69)</f>
        <v/>
      </c>
      <c r="W39" s="402" t="str">
        <f>'Game Summary'!F34</f>
        <v/>
      </c>
      <c r="X39" s="403" t="str">
        <f t="shared" si="5"/>
        <v/>
      </c>
      <c r="Y39" s="394"/>
      <c r="Z39" s="394"/>
      <c r="AA39" s="394"/>
      <c r="AB39" s="394"/>
      <c r="AC39" s="381"/>
    </row>
    <row r="40" spans="1:29" ht="25.15" customHeight="1" x14ac:dyDescent="0.2">
      <c r="A40" s="404" t="str">
        <f>IF(IGRF!I21="","",IGRF!I21)</f>
        <v/>
      </c>
      <c r="B40" s="1293" t="str">
        <f>IF(IGRF!J21="","",IGRF!J21)</f>
        <v/>
      </c>
      <c r="C40" s="1294"/>
      <c r="D40" s="405" t="str">
        <f>IF($A40="","",SUM(PT!E70,PT!E71))</f>
        <v/>
      </c>
      <c r="E40" s="406" t="str">
        <f>IF($A40="","",SUM(PT!F70,PT!F71))</f>
        <v/>
      </c>
      <c r="F40" s="407" t="str">
        <f>IF($A40="","",SUM(PT!G70,PT!G71))</f>
        <v/>
      </c>
      <c r="G40" s="408" t="str">
        <f>IF($A40="","",SUM(PT!H70,PT!H71))</f>
        <v/>
      </c>
      <c r="H40" s="408" t="str">
        <f>IF($A40="","",SUM(PT!I70,PT!I71))</f>
        <v/>
      </c>
      <c r="I40" s="408" t="str">
        <f>IF($A40="","",SUM(PT!J70,PT!J71))</f>
        <v/>
      </c>
      <c r="J40" s="408" t="str">
        <f>IF($A40="","",SUM(PT!K70,PT!K71))</f>
        <v/>
      </c>
      <c r="K40" s="408" t="str">
        <f>IF($A40="","",SUM(PT!L70,PT!L71))</f>
        <v/>
      </c>
      <c r="L40" s="408" t="str">
        <f>IF($A40="","",SUM(PT!M70,PT!M71))</f>
        <v/>
      </c>
      <c r="M40" s="408" t="str">
        <f>IF($A40="","",SUM(PT!N70,PT!N71))</f>
        <v/>
      </c>
      <c r="N40" s="408" t="str">
        <f>IF($A40="","",SUM(PT!O70,PT!O71))</f>
        <v/>
      </c>
      <c r="O40" s="408" t="str">
        <f>IF($A40="","",SUM(PT!P70,PT!P71))</f>
        <v/>
      </c>
      <c r="P40" s="408" t="str">
        <f>IF($A40="","",SUM(PT!Q70,PT!Q71))</f>
        <v/>
      </c>
      <c r="Q40" s="408" t="str">
        <f>IF($A40="","",SUM(PT!R70,PT!R71))</f>
        <v/>
      </c>
      <c r="R40" s="408"/>
      <c r="S40" s="408"/>
      <c r="T40" s="409" t="str">
        <f t="shared" si="6"/>
        <v/>
      </c>
      <c r="U40" s="410" t="str">
        <f>IF($A40="","",SUM(PT!U70,PT!U71))</f>
        <v/>
      </c>
      <c r="V40" s="411" t="str">
        <f>IF($A40="","",PT!AJ71)</f>
        <v/>
      </c>
      <c r="W40" s="412" t="str">
        <f>'Game Summary'!F35</f>
        <v/>
      </c>
      <c r="X40" s="413" t="str">
        <f t="shared" si="5"/>
        <v/>
      </c>
      <c r="Y40" s="394"/>
      <c r="Z40" s="394"/>
      <c r="AA40" s="394"/>
      <c r="AB40" s="394"/>
      <c r="AC40" s="381"/>
    </row>
    <row r="41" spans="1:29" ht="25.15" customHeight="1" x14ac:dyDescent="0.2">
      <c r="A41" s="395" t="str">
        <f>IF(IGRF!I22="","",IGRF!I22)</f>
        <v/>
      </c>
      <c r="B41" s="1295" t="str">
        <f>IF(IGRF!J22="","",IGRF!J22)</f>
        <v/>
      </c>
      <c r="C41" s="1296"/>
      <c r="D41" s="396" t="str">
        <f>IF($A41="","",SUM(PT!E72,PT!E73))</f>
        <v/>
      </c>
      <c r="E41" s="397" t="str">
        <f>IF($A41="","",SUM(PT!F72,PT!F73))</f>
        <v/>
      </c>
      <c r="F41" s="397" t="str">
        <f>IF($A41="","",SUM(PT!G72,PT!G73))</f>
        <v/>
      </c>
      <c r="G41" s="397" t="str">
        <f>IF($A41="","",SUM(PT!H72,PT!H73))</f>
        <v/>
      </c>
      <c r="H41" s="397" t="str">
        <f>IF($A41="","",SUM(PT!I72,PT!I73))</f>
        <v/>
      </c>
      <c r="I41" s="397" t="str">
        <f>IF($A41="","",SUM(PT!J72,PT!J73))</f>
        <v/>
      </c>
      <c r="J41" s="397" t="str">
        <f>IF($A41="","",SUM(PT!K72,PT!K73))</f>
        <v/>
      </c>
      <c r="K41" s="397" t="str">
        <f>IF($A41="","",SUM(PT!L72,PT!L73))</f>
        <v/>
      </c>
      <c r="L41" s="397" t="str">
        <f>IF($A41="","",SUM(PT!M72,PT!M73))</f>
        <v/>
      </c>
      <c r="M41" s="397" t="str">
        <f>IF($A41="","",SUM(PT!N72,PT!N73))</f>
        <v/>
      </c>
      <c r="N41" s="397" t="str">
        <f>IF($A41="","",SUM(PT!O72,PT!O73))</f>
        <v/>
      </c>
      <c r="O41" s="397" t="str">
        <f>IF($A41="","",SUM(PT!P72,PT!P73))</f>
        <v/>
      </c>
      <c r="P41" s="397" t="str">
        <f>IF($A41="","",SUM(PT!Q72,PT!Q73))</f>
        <v/>
      </c>
      <c r="Q41" s="397" t="str">
        <f>IF($A41="","",SUM(PT!R72,PT!R73))</f>
        <v/>
      </c>
      <c r="R41" s="397"/>
      <c r="S41" s="398"/>
      <c r="T41" s="399" t="str">
        <f t="shared" si="6"/>
        <v/>
      </c>
      <c r="U41" s="400" t="str">
        <f>IF($A41="","",SUM(PT!U72,PT!U73))</f>
        <v/>
      </c>
      <c r="V41" s="401" t="str">
        <f>IF($A41="","",PT!AJ73)</f>
        <v/>
      </c>
      <c r="W41" s="402" t="str">
        <f>'Game Summary'!F36</f>
        <v/>
      </c>
      <c r="X41" s="403" t="str">
        <f t="shared" si="5"/>
        <v/>
      </c>
      <c r="Y41" s="394"/>
      <c r="Z41" s="394"/>
      <c r="AA41" s="394"/>
      <c r="AB41" s="394"/>
      <c r="AC41" s="381"/>
    </row>
    <row r="42" spans="1:29" ht="25.15" customHeight="1" x14ac:dyDescent="0.2">
      <c r="A42" s="404" t="str">
        <f>IF(IGRF!I23="","",IGRF!I23)</f>
        <v/>
      </c>
      <c r="B42" s="1293" t="str">
        <f>IF(IGRF!J23="","",IGRF!J23)</f>
        <v/>
      </c>
      <c r="C42" s="1294"/>
      <c r="D42" s="405" t="str">
        <f>IF($A42="","",SUM(PT!E74,PT!E75))</f>
        <v/>
      </c>
      <c r="E42" s="406" t="str">
        <f>IF($A42="","",SUM(PT!F74,PT!F75))</f>
        <v/>
      </c>
      <c r="F42" s="407" t="str">
        <f>IF($A42="","",SUM(PT!G74,PT!G75))</f>
        <v/>
      </c>
      <c r="G42" s="408" t="str">
        <f>IF($A42="","",SUM(PT!H74,PT!H75))</f>
        <v/>
      </c>
      <c r="H42" s="408" t="str">
        <f>IF($A42="","",SUM(PT!I74,PT!I75))</f>
        <v/>
      </c>
      <c r="I42" s="408" t="str">
        <f>IF($A42="","",SUM(PT!J74,PT!J75))</f>
        <v/>
      </c>
      <c r="J42" s="408" t="str">
        <f>IF($A42="","",SUM(PT!K74,PT!K75))</f>
        <v/>
      </c>
      <c r="K42" s="408" t="str">
        <f>IF($A42="","",SUM(PT!L74,PT!L75))</f>
        <v/>
      </c>
      <c r="L42" s="408" t="str">
        <f>IF($A42="","",SUM(PT!M74,PT!M75))</f>
        <v/>
      </c>
      <c r="M42" s="408" t="str">
        <f>IF($A42="","",SUM(PT!N74,PT!N75))</f>
        <v/>
      </c>
      <c r="N42" s="408" t="str">
        <f>IF($A42="","",SUM(PT!O74,PT!O75))</f>
        <v/>
      </c>
      <c r="O42" s="408" t="str">
        <f>IF($A42="","",SUM(PT!P74,PT!P75))</f>
        <v/>
      </c>
      <c r="P42" s="408" t="str">
        <f>IF($A42="","",SUM(PT!Q74,PT!Q75))</f>
        <v/>
      </c>
      <c r="Q42" s="408" t="str">
        <f>IF($A42="","",SUM(PT!R74,PT!R75))</f>
        <v/>
      </c>
      <c r="R42" s="408"/>
      <c r="S42" s="408"/>
      <c r="T42" s="409" t="str">
        <f t="shared" si="6"/>
        <v/>
      </c>
      <c r="U42" s="410" t="str">
        <f>IF($A42="","",SUM(PT!U74,PT!U75))</f>
        <v/>
      </c>
      <c r="V42" s="411" t="str">
        <f>IF($A42="","",PT!AJ75)</f>
        <v/>
      </c>
      <c r="W42" s="412" t="str">
        <f>'Game Summary'!F37</f>
        <v/>
      </c>
      <c r="X42" s="413" t="str">
        <f t="shared" si="5"/>
        <v/>
      </c>
    </row>
    <row r="43" spans="1:29" ht="25.15" customHeight="1" x14ac:dyDescent="0.2">
      <c r="A43" s="395" t="str">
        <f>IF(IGRF!I24="","",IGRF!I24)</f>
        <v/>
      </c>
      <c r="B43" s="1295" t="str">
        <f>IF(IGRF!J24="","",IGRF!J24)</f>
        <v/>
      </c>
      <c r="C43" s="1296"/>
      <c r="D43" s="396" t="str">
        <f>IF($A43="","",SUM(PT!E76,PT!E77))</f>
        <v/>
      </c>
      <c r="E43" s="397" t="str">
        <f>IF($A43="","",SUM(PT!F76,PT!F77))</f>
        <v/>
      </c>
      <c r="F43" s="397" t="str">
        <f>IF($A43="","",SUM(PT!G76,PT!G77))</f>
        <v/>
      </c>
      <c r="G43" s="397" t="str">
        <f>IF($A43="","",SUM(PT!H76,PT!H77))</f>
        <v/>
      </c>
      <c r="H43" s="397" t="str">
        <f>IF($A43="","",SUM(PT!I76,PT!I77))</f>
        <v/>
      </c>
      <c r="I43" s="397" t="str">
        <f>IF($A43="","",SUM(PT!J76,PT!J77))</f>
        <v/>
      </c>
      <c r="J43" s="397" t="str">
        <f>IF($A43="","",SUM(PT!K76,PT!K77))</f>
        <v/>
      </c>
      <c r="K43" s="397" t="str">
        <f>IF($A43="","",SUM(PT!L76,PT!L77))</f>
        <v/>
      </c>
      <c r="L43" s="397" t="str">
        <f>IF($A43="","",SUM(PT!M76,PT!M77))</f>
        <v/>
      </c>
      <c r="M43" s="397" t="str">
        <f>IF($A43="","",SUM(PT!N76,PT!N77))</f>
        <v/>
      </c>
      <c r="N43" s="397" t="str">
        <f>IF($A43="","",SUM(PT!O76,PT!O77))</f>
        <v/>
      </c>
      <c r="O43" s="397" t="str">
        <f>IF($A43="","",SUM(PT!P76,PT!P77))</f>
        <v/>
      </c>
      <c r="P43" s="397" t="str">
        <f>IF($A43="","",SUM(PT!Q76,PT!Q77))</f>
        <v/>
      </c>
      <c r="Q43" s="397" t="str">
        <f>IF($A43="","",SUM(PT!R76,PT!R77))</f>
        <v/>
      </c>
      <c r="R43" s="397"/>
      <c r="S43" s="398"/>
      <c r="T43" s="399" t="str">
        <f t="shared" si="6"/>
        <v/>
      </c>
      <c r="U43" s="400" t="str">
        <f>IF($A43="","",SUM(PT!U76,PT!U77))</f>
        <v/>
      </c>
      <c r="V43" s="401" t="str">
        <f>IF($A43="","",PT!AJ77)</f>
        <v/>
      </c>
      <c r="W43" s="402" t="str">
        <f>'Game Summary'!F38</f>
        <v/>
      </c>
      <c r="X43" s="403" t="str">
        <f t="shared" si="5"/>
        <v/>
      </c>
    </row>
    <row r="44" spans="1:29" ht="25.15" customHeight="1" x14ac:dyDescent="0.2">
      <c r="A44" s="404" t="str">
        <f>IF(IGRF!I25="","",IGRF!I25)</f>
        <v/>
      </c>
      <c r="B44" s="1293" t="str">
        <f>IF(IGRF!J25="","",IGRF!J25)</f>
        <v/>
      </c>
      <c r="C44" s="1294"/>
      <c r="D44" s="405" t="str">
        <f>IF($A44="","",SUM(PT!E78,PT!E79))</f>
        <v/>
      </c>
      <c r="E44" s="406" t="str">
        <f>IF($A44="","",SUM(PT!F78,PT!F79))</f>
        <v/>
      </c>
      <c r="F44" s="407" t="str">
        <f>IF($A44="","",SUM(PT!G78,PT!G79))</f>
        <v/>
      </c>
      <c r="G44" s="408" t="str">
        <f>IF($A44="","",SUM(PT!H78,PT!H79))</f>
        <v/>
      </c>
      <c r="H44" s="408" t="str">
        <f>IF($A44="","",SUM(PT!I78,PT!I79))</f>
        <v/>
      </c>
      <c r="I44" s="408" t="str">
        <f>IF($A44="","",SUM(PT!J78,PT!J79))</f>
        <v/>
      </c>
      <c r="J44" s="408" t="str">
        <f>IF($A44="","",SUM(PT!K78,PT!K79))</f>
        <v/>
      </c>
      <c r="K44" s="408" t="str">
        <f>IF($A44="","",SUM(PT!L78,PT!L79))</f>
        <v/>
      </c>
      <c r="L44" s="408" t="str">
        <f>IF($A44="","",SUM(PT!M78,PT!M79))</f>
        <v/>
      </c>
      <c r="M44" s="408" t="str">
        <f>IF($A44="","",SUM(PT!N78,PT!N79))</f>
        <v/>
      </c>
      <c r="N44" s="408" t="str">
        <f>IF($A44="","",SUM(PT!O78,PT!O79))</f>
        <v/>
      </c>
      <c r="O44" s="408" t="str">
        <f>IF($A44="","",SUM(PT!P78,PT!P79))</f>
        <v/>
      </c>
      <c r="P44" s="408" t="str">
        <f>IF($A44="","",SUM(PT!Q78,PT!Q79))</f>
        <v/>
      </c>
      <c r="Q44" s="408" t="str">
        <f>IF($A44="","",SUM(PT!R78,PT!R79))</f>
        <v/>
      </c>
      <c r="R44" s="408"/>
      <c r="S44" s="408"/>
      <c r="T44" s="409" t="str">
        <f t="shared" si="6"/>
        <v/>
      </c>
      <c r="U44" s="410" t="str">
        <f>IF($A44="","",SUM(PT!U78,PT!U79))</f>
        <v/>
      </c>
      <c r="V44" s="411" t="str">
        <f>IF($A44="","",PT!AJ79)</f>
        <v/>
      </c>
      <c r="W44" s="412" t="str">
        <f>'Game Summary'!F39</f>
        <v/>
      </c>
      <c r="X44" s="413" t="str">
        <f t="shared" si="5"/>
        <v/>
      </c>
    </row>
    <row r="45" spans="1:29" ht="25.15" customHeight="1" x14ac:dyDescent="0.2">
      <c r="A45" s="395" t="str">
        <f>IF(IGRF!I26="","",IGRF!I26)</f>
        <v/>
      </c>
      <c r="B45" s="1295" t="str">
        <f>IF(IGRF!J26="","",IGRF!J26)</f>
        <v/>
      </c>
      <c r="C45" s="1296"/>
      <c r="D45" s="396" t="str">
        <f>IF($A45="","",SUM(PT!E80,PT!E81))</f>
        <v/>
      </c>
      <c r="E45" s="397" t="str">
        <f>IF($A45="","",SUM(PT!F80,PT!F81))</f>
        <v/>
      </c>
      <c r="F45" s="397" t="str">
        <f>IF($A45="","",SUM(PT!G80,PT!G81))</f>
        <v/>
      </c>
      <c r="G45" s="397" t="str">
        <f>IF($A45="","",SUM(PT!H80,PT!H81))</f>
        <v/>
      </c>
      <c r="H45" s="397" t="str">
        <f>IF($A45="","",SUM(PT!I80,PT!I81))</f>
        <v/>
      </c>
      <c r="I45" s="397" t="str">
        <f>IF($A45="","",SUM(PT!J80,PT!J81))</f>
        <v/>
      </c>
      <c r="J45" s="397" t="str">
        <f>IF($A45="","",SUM(PT!K80,PT!K81))</f>
        <v/>
      </c>
      <c r="K45" s="397" t="str">
        <f>IF($A45="","",SUM(PT!L80,PT!L81))</f>
        <v/>
      </c>
      <c r="L45" s="397" t="str">
        <f>IF($A45="","",SUM(PT!M80,PT!M81))</f>
        <v/>
      </c>
      <c r="M45" s="397" t="str">
        <f>IF($A45="","",SUM(PT!N80,PT!N81))</f>
        <v/>
      </c>
      <c r="N45" s="397" t="str">
        <f>IF($A45="","",SUM(PT!O80,PT!O81))</f>
        <v/>
      </c>
      <c r="O45" s="397" t="str">
        <f>IF($A45="","",SUM(PT!P80,PT!P81))</f>
        <v/>
      </c>
      <c r="P45" s="397" t="str">
        <f>IF($A45="","",SUM(PT!Q80,PT!Q81))</f>
        <v/>
      </c>
      <c r="Q45" s="397" t="str">
        <f>IF($A45="","",SUM(PT!R80,PT!R81))</f>
        <v/>
      </c>
      <c r="R45" s="397"/>
      <c r="S45" s="398"/>
      <c r="T45" s="399" t="str">
        <f t="shared" si="6"/>
        <v/>
      </c>
      <c r="U45" s="400" t="str">
        <f>IF($A45="","",SUM(PT!U80,PT!U81))</f>
        <v/>
      </c>
      <c r="V45" s="401" t="str">
        <f>IF($A45="","",PT!AJ81)</f>
        <v/>
      </c>
      <c r="W45" s="402" t="str">
        <f>'Game Summary'!F40</f>
        <v/>
      </c>
      <c r="X45" s="403" t="str">
        <f t="shared" si="5"/>
        <v/>
      </c>
    </row>
    <row r="46" spans="1:29" ht="25.15" customHeight="1" x14ac:dyDescent="0.2">
      <c r="A46" s="404" t="str">
        <f>IF(IGRF!I27="","",IGRF!I27)</f>
        <v/>
      </c>
      <c r="B46" s="1293" t="str">
        <f>IF(IGRF!J27="","",IGRF!J27)</f>
        <v/>
      </c>
      <c r="C46" s="1294"/>
      <c r="D46" s="405" t="str">
        <f>IF($A46="","",SUM(PT!E82,PT!E83))</f>
        <v/>
      </c>
      <c r="E46" s="406" t="str">
        <f>IF($A46="","",SUM(PT!F82,PT!F83))</f>
        <v/>
      </c>
      <c r="F46" s="407" t="str">
        <f>IF($A46="","",SUM(PT!G82,PT!G83))</f>
        <v/>
      </c>
      <c r="G46" s="408" t="str">
        <f>IF($A46="","",SUM(PT!H82,PT!H83))</f>
        <v/>
      </c>
      <c r="H46" s="408" t="str">
        <f>IF($A46="","",SUM(PT!I82,PT!I83))</f>
        <v/>
      </c>
      <c r="I46" s="408" t="str">
        <f>IF($A46="","",SUM(PT!J82,PT!J83))</f>
        <v/>
      </c>
      <c r="J46" s="408" t="str">
        <f>IF($A46="","",SUM(PT!K82,PT!K83))</f>
        <v/>
      </c>
      <c r="K46" s="408" t="str">
        <f>IF($A46="","",SUM(PT!L82,PT!L83))</f>
        <v/>
      </c>
      <c r="L46" s="408" t="str">
        <f>IF($A46="","",SUM(PT!M82,PT!M83))</f>
        <v/>
      </c>
      <c r="M46" s="408" t="str">
        <f>IF($A46="","",SUM(PT!N82,PT!N83))</f>
        <v/>
      </c>
      <c r="N46" s="408" t="str">
        <f>IF($A46="","",SUM(PT!O82,PT!O83))</f>
        <v/>
      </c>
      <c r="O46" s="408" t="str">
        <f>IF($A46="","",SUM(PT!P82,PT!P83))</f>
        <v/>
      </c>
      <c r="P46" s="408" t="str">
        <f>IF($A46="","",SUM(PT!Q82,PT!Q83))</f>
        <v/>
      </c>
      <c r="Q46" s="408" t="str">
        <f>IF($A46="","",SUM(PT!R82,PT!R83))</f>
        <v/>
      </c>
      <c r="R46" s="408"/>
      <c r="S46" s="408"/>
      <c r="T46" s="409" t="str">
        <f t="shared" si="6"/>
        <v/>
      </c>
      <c r="U46" s="410" t="str">
        <f>IF($A46="","",SUM(PT!U82,PT!U83))</f>
        <v/>
      </c>
      <c r="V46" s="411" t="str">
        <f>IF($A46="","",PT!AJ83)</f>
        <v/>
      </c>
      <c r="W46" s="412" t="str">
        <f>'Game Summary'!F41</f>
        <v/>
      </c>
      <c r="X46" s="413" t="str">
        <f t="shared" si="5"/>
        <v/>
      </c>
    </row>
    <row r="47" spans="1:29" ht="25.15" customHeight="1" x14ac:dyDescent="0.2">
      <c r="A47" s="395" t="str">
        <f>IF(IGRF!I28="","",IGRF!I28)</f>
        <v/>
      </c>
      <c r="B47" s="1295" t="str">
        <f>IF(IGRF!J28="","",IGRF!J28)</f>
        <v/>
      </c>
      <c r="C47" s="1296"/>
      <c r="D47" s="396" t="str">
        <f>IF($A47="","",SUM(PT!E84,PT!E85))</f>
        <v/>
      </c>
      <c r="E47" s="397" t="str">
        <f>IF($A47="","",SUM(PT!F84,PT!F85))</f>
        <v/>
      </c>
      <c r="F47" s="397" t="str">
        <f>IF($A47="","",SUM(PT!G84,PT!G85))</f>
        <v/>
      </c>
      <c r="G47" s="397" t="str">
        <f>IF($A47="","",SUM(PT!H84,PT!H85))</f>
        <v/>
      </c>
      <c r="H47" s="397" t="str">
        <f>IF($A47="","",SUM(PT!I84,PT!I85))</f>
        <v/>
      </c>
      <c r="I47" s="397" t="str">
        <f>IF($A47="","",SUM(PT!J84,PT!J85))</f>
        <v/>
      </c>
      <c r="J47" s="397" t="str">
        <f>IF($A47="","",SUM(PT!K84,PT!K85))</f>
        <v/>
      </c>
      <c r="K47" s="397" t="str">
        <f>IF($A47="","",SUM(PT!L84,PT!L85))</f>
        <v/>
      </c>
      <c r="L47" s="397" t="str">
        <f>IF($A47="","",SUM(PT!M84,PT!M85))</f>
        <v/>
      </c>
      <c r="M47" s="397" t="str">
        <f>IF($A47="","",SUM(PT!N84,PT!N85))</f>
        <v/>
      </c>
      <c r="N47" s="397" t="str">
        <f>IF($A47="","",SUM(PT!O84,PT!O85))</f>
        <v/>
      </c>
      <c r="O47" s="397" t="str">
        <f>IF($A47="","",SUM(PT!P84,PT!P85))</f>
        <v/>
      </c>
      <c r="P47" s="397" t="str">
        <f>IF($A47="","",SUM(PT!Q84,PT!Q85))</f>
        <v/>
      </c>
      <c r="Q47" s="397" t="str">
        <f>IF($A47="","",SUM(PT!R84,PT!R85))</f>
        <v/>
      </c>
      <c r="R47" s="397"/>
      <c r="S47" s="398"/>
      <c r="T47" s="399" t="str">
        <f t="shared" si="6"/>
        <v/>
      </c>
      <c r="U47" s="400" t="str">
        <f>IF($A47="","",SUM(PT!U84,PT!U85))</f>
        <v/>
      </c>
      <c r="V47" s="401" t="str">
        <f>IF($A47="","",PT!AJ85)</f>
        <v/>
      </c>
      <c r="W47" s="402" t="str">
        <f>'Game Summary'!F42</f>
        <v/>
      </c>
      <c r="X47" s="403" t="str">
        <f t="shared" si="5"/>
        <v/>
      </c>
    </row>
    <row r="48" spans="1:29" ht="25.15" customHeight="1" x14ac:dyDescent="0.2">
      <c r="A48" s="404" t="str">
        <f>IF(IGRF!I29="","",IGRF!I29)</f>
        <v/>
      </c>
      <c r="B48" s="1293" t="str">
        <f>IF(IGRF!J29="","",IGRF!J29)</f>
        <v/>
      </c>
      <c r="C48" s="1294"/>
      <c r="D48" s="405" t="str">
        <f>IF($A48="","",SUM(PT!E86,PT!E87))</f>
        <v/>
      </c>
      <c r="E48" s="406" t="str">
        <f>IF($A48="","",SUM(PT!F86,PT!F87))</f>
        <v/>
      </c>
      <c r="F48" s="407" t="str">
        <f>IF($A48="","",SUM(PT!G86,PT!G87))</f>
        <v/>
      </c>
      <c r="G48" s="408" t="str">
        <f>IF($A48="","",SUM(PT!H86,PT!H87))</f>
        <v/>
      </c>
      <c r="H48" s="408" t="str">
        <f>IF($A48="","",SUM(PT!I86,PT!I87))</f>
        <v/>
      </c>
      <c r="I48" s="408" t="str">
        <f>IF($A48="","",SUM(PT!J86,PT!J87))</f>
        <v/>
      </c>
      <c r="J48" s="408" t="str">
        <f>IF($A48="","",SUM(PT!K86,PT!K87))</f>
        <v/>
      </c>
      <c r="K48" s="408" t="str">
        <f>IF($A48="","",SUM(PT!L86,PT!L87))</f>
        <v/>
      </c>
      <c r="L48" s="408" t="str">
        <f>IF($A48="","",SUM(PT!M86,PT!M87))</f>
        <v/>
      </c>
      <c r="M48" s="408" t="str">
        <f>IF($A48="","",SUM(PT!N86,PT!N87))</f>
        <v/>
      </c>
      <c r="N48" s="408" t="str">
        <f>IF($A48="","",SUM(PT!O86,PT!O87))</f>
        <v/>
      </c>
      <c r="O48" s="408" t="str">
        <f>IF($A48="","",SUM(PT!P86,PT!P87))</f>
        <v/>
      </c>
      <c r="P48" s="408" t="str">
        <f>IF($A48="","",SUM(PT!Q86,PT!Q87))</f>
        <v/>
      </c>
      <c r="Q48" s="408" t="str">
        <f>IF($A48="","",SUM(PT!R86,PT!R87))</f>
        <v/>
      </c>
      <c r="R48" s="408"/>
      <c r="S48" s="408"/>
      <c r="T48" s="409" t="str">
        <f t="shared" si="6"/>
        <v/>
      </c>
      <c r="U48" s="410" t="str">
        <f>IF($A48="","",SUM(PT!U86,PT!U87))</f>
        <v/>
      </c>
      <c r="V48" s="411" t="str">
        <f>IF($A48="","",PT!AJ87)</f>
        <v/>
      </c>
      <c r="W48" s="412" t="str">
        <f>'Game Summary'!F43</f>
        <v/>
      </c>
      <c r="X48" s="413" t="str">
        <f t="shared" si="5"/>
        <v/>
      </c>
    </row>
    <row r="49" spans="1:24" ht="25.15" customHeight="1" x14ac:dyDescent="0.2">
      <c r="A49" s="395" t="str">
        <f>IF(IGRF!I30="","",IGRF!I30)</f>
        <v/>
      </c>
      <c r="B49" s="1295" t="str">
        <f>IF(IGRF!J30="","",IGRF!J30)</f>
        <v/>
      </c>
      <c r="C49" s="1296"/>
      <c r="D49" s="396" t="str">
        <f>IF($A49="","",SUM(PT!E88,PT!E89))</f>
        <v/>
      </c>
      <c r="E49" s="397" t="str">
        <f>IF($A49="","",SUM(PT!F88,PT!F89))</f>
        <v/>
      </c>
      <c r="F49" s="397" t="str">
        <f>IF($A49="","",SUM(PT!G88,PT!G89))</f>
        <v/>
      </c>
      <c r="G49" s="397" t="str">
        <f>IF($A49="","",SUM(PT!H88,PT!H89))</f>
        <v/>
      </c>
      <c r="H49" s="397" t="str">
        <f>IF($A49="","",SUM(PT!I88,PT!I89))</f>
        <v/>
      </c>
      <c r="I49" s="397" t="str">
        <f>IF($A49="","",SUM(PT!J88,PT!J89))</f>
        <v/>
      </c>
      <c r="J49" s="397" t="str">
        <f>IF($A49="","",SUM(PT!K88,PT!K89))</f>
        <v/>
      </c>
      <c r="K49" s="397" t="str">
        <f>IF($A49="","",SUM(PT!L88,PT!L89))</f>
        <v/>
      </c>
      <c r="L49" s="397" t="str">
        <f>IF($A49="","",SUM(PT!M88,PT!M89))</f>
        <v/>
      </c>
      <c r="M49" s="397" t="str">
        <f>IF($A49="","",SUM(PT!N88,PT!N89))</f>
        <v/>
      </c>
      <c r="N49" s="397" t="str">
        <f>IF($A49="","",SUM(PT!O88,PT!O89))</f>
        <v/>
      </c>
      <c r="O49" s="397" t="str">
        <f>IF($A49="","",SUM(PT!P88,PT!P89))</f>
        <v/>
      </c>
      <c r="P49" s="397" t="str">
        <f>IF($A49="","",SUM(PT!Q88,PT!Q89))</f>
        <v/>
      </c>
      <c r="Q49" s="397" t="str">
        <f>IF($A49="","",SUM(PT!R88,PT!R89))</f>
        <v/>
      </c>
      <c r="R49" s="397"/>
      <c r="S49" s="398"/>
      <c r="T49" s="399" t="str">
        <f t="shared" si="6"/>
        <v/>
      </c>
      <c r="U49" s="400" t="str">
        <f>IF($A49="","",SUM(PT!U88,PT!U89))</f>
        <v/>
      </c>
      <c r="V49" s="401" t="str">
        <f>IF($A49="","",PT!AJ89)</f>
        <v/>
      </c>
      <c r="W49" s="402" t="str">
        <f>'Game Summary'!F44</f>
        <v/>
      </c>
      <c r="X49" s="403" t="str">
        <f t="shared" si="5"/>
        <v/>
      </c>
    </row>
    <row r="50" spans="1:24" ht="25.15" customHeight="1" x14ac:dyDescent="0.2">
      <c r="A50" s="404" t="str">
        <f>IF(IGRF!I31="","",IGRF!I31)</f>
        <v/>
      </c>
      <c r="B50" s="1293" t="str">
        <f>IF(IGRF!J31="","",IGRF!J31)</f>
        <v/>
      </c>
      <c r="C50" s="1294"/>
      <c r="D50" s="405" t="str">
        <f>IF($A50="","",SUM(PT!E90,PT!E91))</f>
        <v/>
      </c>
      <c r="E50" s="406" t="str">
        <f>IF($A50="","",SUM(PT!F90,PT!F91))</f>
        <v/>
      </c>
      <c r="F50" s="407" t="str">
        <f>IF($A50="","",SUM(PT!G90,PT!G91))</f>
        <v/>
      </c>
      <c r="G50" s="408" t="str">
        <f>IF($A50="","",SUM(PT!H90,PT!H91))</f>
        <v/>
      </c>
      <c r="H50" s="408" t="str">
        <f>IF($A50="","",SUM(PT!I90,PT!I91))</f>
        <v/>
      </c>
      <c r="I50" s="408" t="str">
        <f>IF($A50="","",SUM(PT!J90,PT!J91))</f>
        <v/>
      </c>
      <c r="J50" s="408" t="str">
        <f>IF($A50="","",SUM(PT!K90,PT!K91))</f>
        <v/>
      </c>
      <c r="K50" s="408" t="str">
        <f>IF($A50="","",SUM(PT!L90,PT!L91))</f>
        <v/>
      </c>
      <c r="L50" s="408" t="str">
        <f>IF($A50="","",SUM(PT!M90,PT!M91))</f>
        <v/>
      </c>
      <c r="M50" s="408" t="str">
        <f>IF($A50="","",SUM(PT!N90,PT!N91))</f>
        <v/>
      </c>
      <c r="N50" s="408" t="str">
        <f>IF($A50="","",SUM(PT!O90,PT!O91))</f>
        <v/>
      </c>
      <c r="O50" s="408" t="str">
        <f>IF($A50="","",SUM(PT!P90,PT!P91))</f>
        <v/>
      </c>
      <c r="P50" s="408" t="str">
        <f>IF($A50="","",SUM(PT!Q90,PT!Q91))</f>
        <v/>
      </c>
      <c r="Q50" s="408" t="str">
        <f>IF($A50="","",SUM(PT!R90,PT!R91))</f>
        <v/>
      </c>
      <c r="R50" s="408"/>
      <c r="S50" s="408"/>
      <c r="T50" s="409" t="str">
        <f t="shared" si="6"/>
        <v/>
      </c>
      <c r="U50" s="410" t="str">
        <f>IF($A50="","",SUM(PT!U90,PT!U91))</f>
        <v/>
      </c>
      <c r="V50" s="411" t="str">
        <f>IF($A50="","",PT!AJ91)</f>
        <v/>
      </c>
      <c r="W50" s="412" t="str">
        <f>'Game Summary'!F45</f>
        <v/>
      </c>
      <c r="X50" s="413" t="str">
        <f t="shared" si="5"/>
        <v/>
      </c>
    </row>
    <row r="51" spans="1:24" ht="25.15" customHeight="1" x14ac:dyDescent="0.2">
      <c r="A51" s="395" t="str">
        <f>IF(IGRF!I32="","",IGRF!I32)</f>
        <v/>
      </c>
      <c r="B51" s="1295" t="str">
        <f>IF(IGRF!J32="","",IGRF!J32)</f>
        <v/>
      </c>
      <c r="C51" s="1296"/>
      <c r="D51" s="396" t="str">
        <f>IF($A51="","",SUM(PT!E92,PT!E93))</f>
        <v/>
      </c>
      <c r="E51" s="397" t="str">
        <f>IF($A51="","",SUM(PT!F92,PT!F93))</f>
        <v/>
      </c>
      <c r="F51" s="397" t="str">
        <f>IF($A51="","",SUM(PT!G92,PT!G93))</f>
        <v/>
      </c>
      <c r="G51" s="397" t="str">
        <f>IF($A51="","",SUM(PT!H92,PT!H93))</f>
        <v/>
      </c>
      <c r="H51" s="397" t="str">
        <f>IF($A51="","",SUM(PT!I92,PT!I93))</f>
        <v/>
      </c>
      <c r="I51" s="397" t="str">
        <f>IF($A51="","",SUM(PT!J92,PT!J93))</f>
        <v/>
      </c>
      <c r="J51" s="397" t="str">
        <f>IF($A51="","",SUM(PT!K92,PT!K93))</f>
        <v/>
      </c>
      <c r="K51" s="397" t="str">
        <f>IF($A51="","",SUM(PT!L92,PT!L93))</f>
        <v/>
      </c>
      <c r="L51" s="397" t="str">
        <f>IF($A51="","",SUM(PT!M92,PT!M93))</f>
        <v/>
      </c>
      <c r="M51" s="397" t="str">
        <f>IF($A51="","",SUM(PT!N92,PT!N93))</f>
        <v/>
      </c>
      <c r="N51" s="397" t="str">
        <f>IF($A51="","",SUM(PT!O92,PT!O93))</f>
        <v/>
      </c>
      <c r="O51" s="397" t="str">
        <f>IF($A51="","",SUM(PT!P92,PT!P93))</f>
        <v/>
      </c>
      <c r="P51" s="397" t="str">
        <f>IF($A51="","",SUM(PT!Q92,PT!Q93))</f>
        <v/>
      </c>
      <c r="Q51" s="397" t="str">
        <f>IF($A51="","",SUM(PT!R92,PT!R93))</f>
        <v/>
      </c>
      <c r="R51" s="397"/>
      <c r="S51" s="398"/>
      <c r="T51" s="399" t="str">
        <f t="shared" si="6"/>
        <v/>
      </c>
      <c r="U51" s="400" t="str">
        <f>IF($A51="","",SUM(PT!U92,PT!U93))</f>
        <v/>
      </c>
      <c r="V51" s="401" t="str">
        <f>IF($A51="","",PT!AJ93)</f>
        <v/>
      </c>
      <c r="W51" s="402" t="str">
        <f>'Game Summary'!F46</f>
        <v/>
      </c>
      <c r="X51" s="403" t="str">
        <f t="shared" si="5"/>
        <v/>
      </c>
    </row>
    <row r="52" spans="1:24" ht="25.15" customHeight="1" thickBot="1" x14ac:dyDescent="0.25">
      <c r="A52" s="404" t="str">
        <f>IF(IGRF!I33="","",IGRF!I33)</f>
        <v/>
      </c>
      <c r="B52" s="1293" t="str">
        <f>IF(IGRF!J33="","",IGRF!J33)</f>
        <v/>
      </c>
      <c r="C52" s="1294"/>
      <c r="D52" s="405" t="str">
        <f>IF($A52="","",SUM(PT!E94,PT!E95))</f>
        <v/>
      </c>
      <c r="E52" s="406" t="str">
        <f>IF($A52="","",SUM(PT!F94,PT!F95))</f>
        <v/>
      </c>
      <c r="F52" s="407" t="str">
        <f>IF($A52="","",SUM(PT!G94,PT!G95))</f>
        <v/>
      </c>
      <c r="G52" s="408" t="str">
        <f>IF($A52="","",SUM(PT!H94,PT!H95))</f>
        <v/>
      </c>
      <c r="H52" s="408" t="str">
        <f>IF($A52="","",SUM(PT!I94,PT!I95))</f>
        <v/>
      </c>
      <c r="I52" s="408" t="str">
        <f>IF($A52="","",SUM(PT!J94,PT!J95))</f>
        <v/>
      </c>
      <c r="J52" s="408" t="str">
        <f>IF($A52="","",SUM(PT!K94,PT!K95))</f>
        <v/>
      </c>
      <c r="K52" s="408" t="str">
        <f>IF($A52="","",SUM(PT!L94,PT!L95))</f>
        <v/>
      </c>
      <c r="L52" s="408" t="str">
        <f>IF($A52="","",SUM(PT!M94,PT!M95))</f>
        <v/>
      </c>
      <c r="M52" s="408" t="str">
        <f>IF($A52="","",SUM(PT!N94,PT!N95))</f>
        <v/>
      </c>
      <c r="N52" s="408" t="str">
        <f>IF($A52="","",SUM(PT!O94,PT!O95))</f>
        <v/>
      </c>
      <c r="O52" s="408" t="str">
        <f>IF($A52="","",SUM(PT!P94,PT!P95))</f>
        <v/>
      </c>
      <c r="P52" s="408" t="str">
        <f>IF($A52="","",SUM(PT!Q94,PT!Q95))</f>
        <v/>
      </c>
      <c r="Q52" s="408" t="str">
        <f>IF($A52="","",SUM(PT!R94,PT!R95))</f>
        <v/>
      </c>
      <c r="R52" s="408"/>
      <c r="S52" s="408"/>
      <c r="T52" s="409" t="str">
        <f t="shared" si="6"/>
        <v/>
      </c>
      <c r="U52" s="410" t="str">
        <f>IF($A52="","",SUM(PT!U94,PT!U95))</f>
        <v/>
      </c>
      <c r="V52" s="411" t="str">
        <f>IF($A52="","",PT!AJ95)</f>
        <v/>
      </c>
      <c r="W52" s="412" t="str">
        <f>'Game Summary'!F47</f>
        <v/>
      </c>
      <c r="X52" s="413" t="str">
        <f t="shared" si="5"/>
        <v/>
      </c>
    </row>
    <row r="53" spans="1:24" ht="21.75" customHeight="1" x14ac:dyDescent="0.2">
      <c r="A53" s="1300" t="s">
        <v>279</v>
      </c>
      <c r="B53" s="1301"/>
      <c r="C53" s="415" t="str">
        <f>PT!AJ97</f>
        <v/>
      </c>
      <c r="D53" s="1302" t="str">
        <f t="shared" ref="D53:Q53" si="7">D3</f>
        <v>Misconduct</v>
      </c>
      <c r="E53" s="1302" t="str">
        <f t="shared" si="7"/>
        <v>High Block</v>
      </c>
      <c r="F53" s="1302" t="str">
        <f t="shared" si="7"/>
        <v>Back Block</v>
      </c>
      <c r="G53" s="1302" t="str">
        <f t="shared" si="7"/>
        <v>Low Block</v>
      </c>
      <c r="H53" s="1302" t="str">
        <f t="shared" si="7"/>
        <v>Leg Block</v>
      </c>
      <c r="I53" s="1302" t="str">
        <f t="shared" si="7"/>
        <v>Forearms</v>
      </c>
      <c r="J53" s="1302" t="str">
        <f t="shared" si="7"/>
        <v>Head Block</v>
      </c>
      <c r="K53" s="1302" t="str">
        <f t="shared" si="7"/>
        <v>Multiplayer</v>
      </c>
      <c r="L53" s="1302" t="str">
        <f t="shared" si="7"/>
        <v>Illegal Contact</v>
      </c>
      <c r="M53" s="1302" t="str">
        <f t="shared" si="7"/>
        <v>Direction</v>
      </c>
      <c r="N53" s="1302" t="str">
        <f t="shared" si="7"/>
        <v>Illegal Position</v>
      </c>
      <c r="O53" s="1302" t="str">
        <f t="shared" si="7"/>
        <v>Cut</v>
      </c>
      <c r="P53" s="1302" t="str">
        <f t="shared" si="7"/>
        <v>Interference</v>
      </c>
      <c r="Q53" s="1302" t="str">
        <f t="shared" si="7"/>
        <v>Illegal Procedure</v>
      </c>
      <c r="R53" s="1302"/>
      <c r="S53" s="1302"/>
      <c r="T53" s="1305" t="s">
        <v>59</v>
      </c>
      <c r="U53" s="416"/>
      <c r="V53" s="417">
        <f>SUM(PT!X102:AI102,C53,C54)</f>
        <v>0</v>
      </c>
      <c r="W53" s="418" t="str">
        <f>IF(COUNT(W33:W52)=0,"-",SUM(W33:W52)/COUNT(W33:W52))</f>
        <v>-</v>
      </c>
      <c r="X53" s="419" t="str">
        <f>IF(COUNT(X33:X52)=0,"-",SUM(X33:X52)/COUNT(X33:X52))</f>
        <v>-</v>
      </c>
    </row>
    <row r="54" spans="1:24" ht="21" customHeight="1" thickBot="1" x14ac:dyDescent="0.25">
      <c r="A54" s="1308" t="s">
        <v>279</v>
      </c>
      <c r="B54" s="1309"/>
      <c r="C54" s="420" t="str">
        <f>PT!AJ99</f>
        <v/>
      </c>
      <c r="D54" s="1303"/>
      <c r="E54" s="1303"/>
      <c r="F54" s="1303"/>
      <c r="G54" s="1303"/>
      <c r="H54" s="1303"/>
      <c r="I54" s="1303"/>
      <c r="J54" s="1303"/>
      <c r="K54" s="1303"/>
      <c r="L54" s="1303"/>
      <c r="M54" s="1303"/>
      <c r="N54" s="1303"/>
      <c r="O54" s="1303"/>
      <c r="P54" s="1303"/>
      <c r="Q54" s="1303"/>
      <c r="R54" s="1303"/>
      <c r="S54" s="1303"/>
      <c r="T54" s="1306"/>
      <c r="U54" s="421"/>
      <c r="V54" s="1310" t="s">
        <v>61</v>
      </c>
      <c r="W54" s="1312"/>
      <c r="X54" s="1312"/>
    </row>
    <row r="55" spans="1:24" ht="19.899999999999999" customHeight="1" thickBot="1" x14ac:dyDescent="0.25">
      <c r="A55" s="1313"/>
      <c r="B55" s="1314"/>
      <c r="C55" s="1314"/>
      <c r="D55" s="1304"/>
      <c r="E55" s="1304"/>
      <c r="F55" s="1304"/>
      <c r="G55" s="1304"/>
      <c r="H55" s="1304"/>
      <c r="I55" s="1304"/>
      <c r="J55" s="1304"/>
      <c r="K55" s="1304"/>
      <c r="L55" s="1304"/>
      <c r="M55" s="1304"/>
      <c r="N55" s="1304"/>
      <c r="O55" s="1304"/>
      <c r="P55" s="1304"/>
      <c r="Q55" s="1304"/>
      <c r="R55" s="1304"/>
      <c r="S55" s="1304"/>
      <c r="T55" s="1307"/>
      <c r="U55" s="421"/>
      <c r="V55" s="1311"/>
      <c r="W55" s="1312"/>
      <c r="X55" s="1312"/>
    </row>
    <row r="56" spans="1:24" ht="12.75" customHeight="1" thickBot="1" x14ac:dyDescent="0.25">
      <c r="A56" s="1313" t="s">
        <v>280</v>
      </c>
      <c r="B56" s="1313"/>
      <c r="C56" s="1313"/>
      <c r="D56" s="422">
        <f>SUM(D33:D52)</f>
        <v>0</v>
      </c>
      <c r="E56" s="422">
        <f t="shared" ref="E56:T56" si="8">SUM(E33:E52)</f>
        <v>0</v>
      </c>
      <c r="F56" s="422">
        <f t="shared" si="8"/>
        <v>0</v>
      </c>
      <c r="G56" s="422">
        <f t="shared" si="8"/>
        <v>0</v>
      </c>
      <c r="H56" s="422">
        <f t="shared" si="8"/>
        <v>0</v>
      </c>
      <c r="I56" s="422">
        <f t="shared" si="8"/>
        <v>0</v>
      </c>
      <c r="J56" s="422">
        <f t="shared" si="8"/>
        <v>0</v>
      </c>
      <c r="K56" s="422">
        <f t="shared" si="8"/>
        <v>0</v>
      </c>
      <c r="L56" s="422">
        <f t="shared" si="8"/>
        <v>0</v>
      </c>
      <c r="M56" s="422">
        <f t="shared" si="8"/>
        <v>0</v>
      </c>
      <c r="N56" s="422">
        <f t="shared" si="8"/>
        <v>0</v>
      </c>
      <c r="O56" s="422">
        <f t="shared" si="8"/>
        <v>0</v>
      </c>
      <c r="P56" s="422">
        <f t="shared" si="8"/>
        <v>0</v>
      </c>
      <c r="Q56" s="422">
        <f t="shared" si="8"/>
        <v>0</v>
      </c>
      <c r="R56" s="422"/>
      <c r="S56" s="422"/>
      <c r="T56" s="422">
        <f t="shared" si="8"/>
        <v>0</v>
      </c>
      <c r="U56" s="421">
        <f>SUM(U33:U52,C53,C54)</f>
        <v>0</v>
      </c>
      <c r="V56" s="1315" t="s">
        <v>305</v>
      </c>
      <c r="W56" s="1315"/>
      <c r="X56" s="1316"/>
    </row>
    <row r="57" spans="1:24" ht="12.75" customHeight="1" thickBot="1" x14ac:dyDescent="0.25">
      <c r="A57" s="1313"/>
      <c r="B57" s="1313"/>
      <c r="C57" s="1313"/>
      <c r="D57" s="1317" t="s">
        <v>281</v>
      </c>
      <c r="E57" s="1317"/>
      <c r="F57" s="1317"/>
      <c r="G57" s="1317"/>
      <c r="H57" s="1317"/>
      <c r="I57" s="1317"/>
      <c r="J57" s="1318" t="str">
        <f>IF(OR(LU!W3=0,LU!W102=0),"",T56/(LU!W3+LU!W102))</f>
        <v/>
      </c>
      <c r="K57" s="1318"/>
      <c r="L57" s="1319" t="s">
        <v>307</v>
      </c>
      <c r="M57" s="1319"/>
      <c r="N57" s="1319"/>
      <c r="O57" s="1319"/>
      <c r="P57" s="1319"/>
      <c r="Q57" s="424"/>
      <c r="R57" s="1320" t="str">
        <f>IF(T27+T56=0,"",T56/(T27+T56))</f>
        <v/>
      </c>
      <c r="S57" s="1320"/>
      <c r="T57" s="1328" t="str">
        <f>IF(T27+T56=0,"",T56/(T27+T56))</f>
        <v/>
      </c>
      <c r="U57" s="1321" t="str">
        <f>IF(U27+U56=0,"",U56/(U27+U56))</f>
        <v/>
      </c>
      <c r="V57" s="1322" t="s">
        <v>306</v>
      </c>
      <c r="W57" s="1322"/>
      <c r="X57" s="1323"/>
    </row>
    <row r="58" spans="1:24" ht="13.5" customHeight="1" thickBot="1" x14ac:dyDescent="0.25">
      <c r="A58" s="1313"/>
      <c r="B58" s="1313"/>
      <c r="C58" s="1313"/>
      <c r="D58" s="1326" t="s">
        <v>62</v>
      </c>
      <c r="E58" s="1326"/>
      <c r="F58" s="1326"/>
      <c r="G58" s="1326"/>
      <c r="H58" s="1326"/>
      <c r="I58" s="1326"/>
      <c r="J58" s="1327" t="str">
        <f>IF(OR(J28="",J57=""),"",J57-J28)</f>
        <v/>
      </c>
      <c r="K58" s="1327"/>
      <c r="L58" s="1319"/>
      <c r="M58" s="1319"/>
      <c r="N58" s="1319"/>
      <c r="O58" s="1319"/>
      <c r="P58" s="1319"/>
      <c r="Q58" s="424"/>
      <c r="R58" s="1320"/>
      <c r="S58" s="1320"/>
      <c r="T58" s="1329"/>
      <c r="U58" s="1321"/>
      <c r="V58" s="1324"/>
      <c r="W58" s="1324"/>
      <c r="X58" s="1325"/>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rintOptions horizontalCentered="1" verticalCentered="1"/>
  <pageMargins left="0.25" right="0.25" top="0.25" bottom="0.25" header="0.31" footer="0.32"/>
  <pageSetup scale="77" firstPageNumber="0" fitToWidth="0" fitToHeight="0" orientation="landscape"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8.7109375" defaultRowHeight="12.75" x14ac:dyDescent="0.2"/>
  <cols>
    <col min="1" max="1" customWidth="true" width="8.7109375" collapsed="false"/>
    <col min="2" max="2" customWidth="true" width="26.7109375" collapsed="false"/>
    <col min="3" max="3" customWidth="true" width="47.4257812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47.42578125" collapsed="false"/>
    <col min="11" max="11" customWidth="true" width="12.7109375" collapsed="false"/>
  </cols>
  <sheetData>
    <row r="1" spans="1:11" ht="12.75" customHeight="1" x14ac:dyDescent="0.25">
      <c r="A1" s="1330" t="str">
        <f>Score!$A$1</f>
        <v>Home Team</v>
      </c>
      <c r="B1" s="1331"/>
      <c r="C1" s="548" t="str">
        <f>IF(ISBLANK(IGRF!$B$7), "", IGRF!$B$7)</f>
        <v/>
      </c>
      <c r="D1" s="1337">
        <v>1</v>
      </c>
      <c r="H1" s="1330" t="str">
        <f>Score!$T$1</f>
        <v>Away Team</v>
      </c>
      <c r="I1" s="1331"/>
      <c r="J1" s="548" t="str">
        <f>IF(ISBLANK(IGRF!$B$7), "", IGRF!$B$7)</f>
        <v/>
      </c>
      <c r="K1" s="1337">
        <v>1</v>
      </c>
    </row>
    <row r="2" spans="1:11" ht="13.5" customHeight="1" thickBot="1" x14ac:dyDescent="0.25">
      <c r="A2" s="1332"/>
      <c r="B2" s="1132"/>
      <c r="C2" s="11" t="s">
        <v>190</v>
      </c>
      <c r="D2" s="1338"/>
      <c r="H2" s="1332"/>
      <c r="I2" s="1132"/>
      <c r="J2" s="11" t="s">
        <v>190</v>
      </c>
      <c r="K2" s="1338"/>
    </row>
    <row r="3" spans="1:11" ht="13.9" customHeight="1" thickBot="1" x14ac:dyDescent="0.25">
      <c r="A3" s="542" t="s">
        <v>265</v>
      </c>
      <c r="B3" s="535" t="s">
        <v>332</v>
      </c>
      <c r="C3" s="536" t="s">
        <v>331</v>
      </c>
      <c r="D3" s="541" t="str">
        <f>IF(ISBLANK(IGRF!$L$3), "", "GAME " &amp; IGRF!$L$3)</f>
        <v/>
      </c>
      <c r="H3" s="542" t="s">
        <v>265</v>
      </c>
      <c r="I3" s="535" t="s">
        <v>332</v>
      </c>
      <c r="J3" s="536" t="s">
        <v>331</v>
      </c>
      <c r="K3" s="541" t="str">
        <f>IF(ISBLANK(IGRF!$L$3), "", "GAME " &amp; IGRF!$L$3)</f>
        <v/>
      </c>
    </row>
    <row r="4" spans="1:11" ht="23.25" x14ac:dyDescent="0.35">
      <c r="A4" s="537" t="str">
        <f>IF(Score!A4="", "",Score!A4 )</f>
        <v/>
      </c>
      <c r="B4" s="544"/>
      <c r="C4" s="1335"/>
      <c r="D4" s="1336"/>
      <c r="H4" s="537" t="str">
        <f>IF(Score!T4="", "",Score!T4 )</f>
        <v/>
      </c>
      <c r="I4" s="544"/>
      <c r="J4" s="1335"/>
      <c r="K4" s="1336"/>
    </row>
    <row r="5" spans="1:11" ht="23.25" x14ac:dyDescent="0.35">
      <c r="A5" s="538" t="str">
        <f>IF(Score!A5="", "",Score!A5 )</f>
        <v/>
      </c>
      <c r="B5" s="545"/>
      <c r="C5" s="1333"/>
      <c r="D5" s="1334"/>
      <c r="H5" s="538" t="str">
        <f>IF(Score!T5="", "",Score!T5 )</f>
        <v/>
      </c>
      <c r="I5" s="545"/>
      <c r="J5" s="1333"/>
      <c r="K5" s="1334"/>
    </row>
    <row r="6" spans="1:11" ht="23.25" x14ac:dyDescent="0.35">
      <c r="A6" s="539" t="str">
        <f>IF(Score!A6="", "",Score!A6 )</f>
        <v/>
      </c>
      <c r="B6" s="544"/>
      <c r="C6" s="1335"/>
      <c r="D6" s="1336"/>
      <c r="H6" s="539" t="str">
        <f>IF(Score!T6="", "",Score!T6 )</f>
        <v/>
      </c>
      <c r="I6" s="544"/>
      <c r="J6" s="1335"/>
      <c r="K6" s="1336"/>
    </row>
    <row r="7" spans="1:11" ht="23.25" x14ac:dyDescent="0.35">
      <c r="A7" s="538" t="str">
        <f>IF(Score!A7="", "",Score!A7 )</f>
        <v/>
      </c>
      <c r="B7" s="545"/>
      <c r="C7" s="1333"/>
      <c r="D7" s="1334"/>
      <c r="H7" s="538" t="str">
        <f>IF(Score!T7="", "",Score!T7 )</f>
        <v/>
      </c>
      <c r="I7" s="545"/>
      <c r="J7" s="1333"/>
      <c r="K7" s="1334"/>
    </row>
    <row r="8" spans="1:11" ht="23.25" x14ac:dyDescent="0.35">
      <c r="A8" s="539" t="str">
        <f>IF(Score!A8="", "",Score!A8 )</f>
        <v/>
      </c>
      <c r="B8" s="544"/>
      <c r="C8" s="1335"/>
      <c r="D8" s="1336"/>
      <c r="H8" s="539" t="str">
        <f>IF(Score!T8="", "",Score!T8 )</f>
        <v/>
      </c>
      <c r="I8" s="544"/>
      <c r="J8" s="1335"/>
      <c r="K8" s="1336"/>
    </row>
    <row r="9" spans="1:11" ht="23.25" x14ac:dyDescent="0.35">
      <c r="A9" s="538" t="str">
        <f>IF(Score!A9="", "",Score!A9 )</f>
        <v/>
      </c>
      <c r="B9" s="545"/>
      <c r="C9" s="1333"/>
      <c r="D9" s="1334"/>
      <c r="H9" s="538" t="str">
        <f>IF(Score!T9="", "",Score!T9 )</f>
        <v/>
      </c>
      <c r="I9" s="545"/>
      <c r="J9" s="1333"/>
      <c r="K9" s="1334"/>
    </row>
    <row r="10" spans="1:11" ht="23.25" x14ac:dyDescent="0.35">
      <c r="A10" s="539" t="str">
        <f>IF(Score!A10="", "",Score!A10 )</f>
        <v/>
      </c>
      <c r="B10" s="544"/>
      <c r="C10" s="1335"/>
      <c r="D10" s="1336"/>
      <c r="H10" s="539" t="str">
        <f>IF(Score!T10="", "",Score!T10 )</f>
        <v/>
      </c>
      <c r="I10" s="544"/>
      <c r="J10" s="1335"/>
      <c r="K10" s="1336"/>
    </row>
    <row r="11" spans="1:11" ht="23.25" x14ac:dyDescent="0.35">
      <c r="A11" s="538" t="str">
        <f>IF(Score!A11="", "",Score!A11 )</f>
        <v/>
      </c>
      <c r="B11" s="545"/>
      <c r="C11" s="1333"/>
      <c r="D11" s="1334"/>
      <c r="H11" s="538" t="str">
        <f>IF(Score!T11="", "",Score!T11 )</f>
        <v/>
      </c>
      <c r="I11" s="545"/>
      <c r="J11" s="1333"/>
      <c r="K11" s="1334"/>
    </row>
    <row r="12" spans="1:11" ht="23.25" x14ac:dyDescent="0.35">
      <c r="A12" s="539" t="str">
        <f>IF(Score!A12="", "",Score!A12 )</f>
        <v/>
      </c>
      <c r="B12" s="544"/>
      <c r="C12" s="1335"/>
      <c r="D12" s="1336"/>
      <c r="H12" s="539" t="str">
        <f>IF(Score!T12="", "",Score!T12 )</f>
        <v/>
      </c>
      <c r="I12" s="544"/>
      <c r="J12" s="1335"/>
      <c r="K12" s="1336"/>
    </row>
    <row r="13" spans="1:11" ht="23.25" x14ac:dyDescent="0.35">
      <c r="A13" s="538" t="str">
        <f>IF(Score!A13="", "",Score!A13 )</f>
        <v/>
      </c>
      <c r="B13" s="545"/>
      <c r="C13" s="1333"/>
      <c r="D13" s="1334"/>
      <c r="H13" s="538" t="str">
        <f>IF(Score!T13="", "",Score!T13 )</f>
        <v/>
      </c>
      <c r="I13" s="545"/>
      <c r="J13" s="1333"/>
      <c r="K13" s="1334"/>
    </row>
    <row r="14" spans="1:11" ht="23.25" x14ac:dyDescent="0.35">
      <c r="A14" s="539" t="str">
        <f>IF(Score!A14="", "",Score!A14 )</f>
        <v/>
      </c>
      <c r="B14" s="544"/>
      <c r="C14" s="1335"/>
      <c r="D14" s="1336"/>
      <c r="H14" s="539" t="str">
        <f>IF(Score!T14="", "",Score!T14 )</f>
        <v/>
      </c>
      <c r="I14" s="544"/>
      <c r="J14" s="1335"/>
      <c r="K14" s="1336"/>
    </row>
    <row r="15" spans="1:11" ht="23.25" x14ac:dyDescent="0.35">
      <c r="A15" s="538" t="str">
        <f>IF(Score!A15="", "",Score!A15 )</f>
        <v/>
      </c>
      <c r="B15" s="545"/>
      <c r="C15" s="1333"/>
      <c r="D15" s="1334"/>
      <c r="H15" s="538" t="str">
        <f>IF(Score!T15="", "",Score!T15 )</f>
        <v/>
      </c>
      <c r="I15" s="545"/>
      <c r="J15" s="1333"/>
      <c r="K15" s="1334"/>
    </row>
    <row r="16" spans="1:11" ht="23.25" x14ac:dyDescent="0.35">
      <c r="A16" s="539" t="str">
        <f>IF(Score!A16="", "",Score!A16 )</f>
        <v/>
      </c>
      <c r="B16" s="544"/>
      <c r="C16" s="1335"/>
      <c r="D16" s="1336"/>
      <c r="H16" s="539" t="str">
        <f>IF(Score!T16="", "",Score!T16 )</f>
        <v/>
      </c>
      <c r="I16" s="544"/>
      <c r="J16" s="1335"/>
      <c r="K16" s="1336"/>
    </row>
    <row r="17" spans="1:11" ht="23.25" x14ac:dyDescent="0.35">
      <c r="A17" s="538" t="str">
        <f>IF(Score!A17="", "",Score!A17 )</f>
        <v/>
      </c>
      <c r="B17" s="545"/>
      <c r="C17" s="1333"/>
      <c r="D17" s="1334"/>
      <c r="H17" s="538" t="str">
        <f>IF(Score!T17="", "",Score!T17 )</f>
        <v/>
      </c>
      <c r="I17" s="545"/>
      <c r="J17" s="1333"/>
      <c r="K17" s="1334"/>
    </row>
    <row r="18" spans="1:11" ht="23.25" x14ac:dyDescent="0.35">
      <c r="A18" s="539" t="str">
        <f>IF(Score!A18="", "",Score!A18 )</f>
        <v/>
      </c>
      <c r="B18" s="544"/>
      <c r="C18" s="1335"/>
      <c r="D18" s="1336"/>
      <c r="H18" s="539" t="str">
        <f>IF(Score!T18="", "",Score!T18 )</f>
        <v/>
      </c>
      <c r="I18" s="544"/>
      <c r="J18" s="1335"/>
      <c r="K18" s="1336"/>
    </row>
    <row r="19" spans="1:11" ht="23.25" x14ac:dyDescent="0.35">
      <c r="A19" s="538" t="str">
        <f>IF(Score!A19="", "",Score!A19 )</f>
        <v/>
      </c>
      <c r="B19" s="545"/>
      <c r="C19" s="1333"/>
      <c r="D19" s="1334"/>
      <c r="H19" s="538" t="str">
        <f>IF(Score!T19="", "",Score!T19 )</f>
        <v/>
      </c>
      <c r="I19" s="545"/>
      <c r="J19" s="1333"/>
      <c r="K19" s="1334"/>
    </row>
    <row r="20" spans="1:11" ht="23.25" x14ac:dyDescent="0.35">
      <c r="A20" s="539" t="str">
        <f>IF(Score!A20="", "",Score!A20 )</f>
        <v/>
      </c>
      <c r="B20" s="544"/>
      <c r="C20" s="1335"/>
      <c r="D20" s="1336"/>
      <c r="H20" s="539" t="str">
        <f>IF(Score!T20="", "",Score!T20 )</f>
        <v/>
      </c>
      <c r="I20" s="544"/>
      <c r="J20" s="1335"/>
      <c r="K20" s="1336"/>
    </row>
    <row r="21" spans="1:11" ht="23.25" x14ac:dyDescent="0.35">
      <c r="A21" s="538" t="str">
        <f>IF(Score!A21="", "",Score!A21 )</f>
        <v/>
      </c>
      <c r="B21" s="545"/>
      <c r="C21" s="1333"/>
      <c r="D21" s="1334"/>
      <c r="H21" s="538" t="str">
        <f>IF(Score!T21="", "",Score!T21 )</f>
        <v/>
      </c>
      <c r="I21" s="545"/>
      <c r="J21" s="1333"/>
      <c r="K21" s="1334"/>
    </row>
    <row r="22" spans="1:11" ht="23.25" x14ac:dyDescent="0.35">
      <c r="A22" s="539" t="str">
        <f>IF(Score!A22="", "",Score!A22 )</f>
        <v/>
      </c>
      <c r="B22" s="544"/>
      <c r="C22" s="1335"/>
      <c r="D22" s="1336"/>
      <c r="H22" s="539" t="str">
        <f>IF(Score!T22="", "",Score!T22 )</f>
        <v/>
      </c>
      <c r="I22" s="544"/>
      <c r="J22" s="1335"/>
      <c r="K22" s="1336"/>
    </row>
    <row r="23" spans="1:11" ht="23.25" x14ac:dyDescent="0.35">
      <c r="A23" s="538" t="str">
        <f>IF(Score!A23="", "",Score!A23 )</f>
        <v/>
      </c>
      <c r="B23" s="545"/>
      <c r="C23" s="1333"/>
      <c r="D23" s="1334"/>
      <c r="H23" s="538" t="str">
        <f>IF(Score!T23="", "",Score!T23 )</f>
        <v/>
      </c>
      <c r="I23" s="545"/>
      <c r="J23" s="1333"/>
      <c r="K23" s="1334"/>
    </row>
    <row r="24" spans="1:11" ht="23.25" x14ac:dyDescent="0.35">
      <c r="A24" s="539" t="str">
        <f>IF(Score!A24="", "",Score!A24 )</f>
        <v/>
      </c>
      <c r="B24" s="544"/>
      <c r="C24" s="1335"/>
      <c r="D24" s="1336"/>
      <c r="H24" s="539" t="str">
        <f>IF(Score!T24="", "",Score!T24 )</f>
        <v/>
      </c>
      <c r="I24" s="544"/>
      <c r="J24" s="1335"/>
      <c r="K24" s="1336"/>
    </row>
    <row r="25" spans="1:11" ht="23.25" x14ac:dyDescent="0.35">
      <c r="A25" s="538" t="str">
        <f>IF(Score!A25="", "",Score!A25 )</f>
        <v/>
      </c>
      <c r="B25" s="545"/>
      <c r="C25" s="1333"/>
      <c r="D25" s="1334"/>
      <c r="H25" s="538" t="str">
        <f>IF(Score!T25="", "",Score!T25 )</f>
        <v/>
      </c>
      <c r="I25" s="545"/>
      <c r="J25" s="1333"/>
      <c r="K25" s="1334"/>
    </row>
    <row r="26" spans="1:11" ht="23.25" x14ac:dyDescent="0.35">
      <c r="A26" s="539" t="str">
        <f>IF(Score!A26="", "",Score!A26 )</f>
        <v/>
      </c>
      <c r="B26" s="544"/>
      <c r="C26" s="1335"/>
      <c r="D26" s="1336"/>
      <c r="H26" s="539" t="str">
        <f>IF(Score!T26="", "",Score!T26 )</f>
        <v/>
      </c>
      <c r="I26" s="544"/>
      <c r="J26" s="1335"/>
      <c r="K26" s="1336"/>
    </row>
    <row r="27" spans="1:11" ht="23.25" x14ac:dyDescent="0.35">
      <c r="A27" s="538" t="str">
        <f>IF(Score!A27="", "",Score!A27 )</f>
        <v/>
      </c>
      <c r="B27" s="545"/>
      <c r="C27" s="1333"/>
      <c r="D27" s="1334"/>
      <c r="H27" s="538" t="str">
        <f>IF(Score!T27="", "",Score!T27 )</f>
        <v/>
      </c>
      <c r="I27" s="545"/>
      <c r="J27" s="1333"/>
      <c r="K27" s="1334"/>
    </row>
    <row r="28" spans="1:11" ht="23.25" x14ac:dyDescent="0.35">
      <c r="A28" s="539" t="str">
        <f>IF(Score!A28="", "",Score!A28 )</f>
        <v/>
      </c>
      <c r="B28" s="544"/>
      <c r="C28" s="1335"/>
      <c r="D28" s="1336"/>
      <c r="H28" s="539" t="str">
        <f>IF(Score!T28="", "",Score!T28 )</f>
        <v/>
      </c>
      <c r="I28" s="544"/>
      <c r="J28" s="1335"/>
      <c r="K28" s="1336"/>
    </row>
    <row r="29" spans="1:11" ht="23.25" x14ac:dyDescent="0.35">
      <c r="A29" s="538" t="str">
        <f>IF(Score!A29="", "",Score!A29 )</f>
        <v/>
      </c>
      <c r="B29" s="545"/>
      <c r="C29" s="1333"/>
      <c r="D29" s="1334"/>
      <c r="H29" s="538" t="str">
        <f>IF(Score!T29="", "",Score!T29 )</f>
        <v/>
      </c>
      <c r="I29" s="545"/>
      <c r="J29" s="1333"/>
      <c r="K29" s="1334"/>
    </row>
    <row r="30" spans="1:11" ht="23.25" x14ac:dyDescent="0.35">
      <c r="A30" s="539" t="str">
        <f>IF(Score!A30="", "",Score!A30 )</f>
        <v/>
      </c>
      <c r="B30" s="544"/>
      <c r="C30" s="1335"/>
      <c r="D30" s="1336"/>
      <c r="H30" s="539" t="str">
        <f>IF(Score!T30="", "",Score!T30 )</f>
        <v/>
      </c>
      <c r="I30" s="544"/>
      <c r="J30" s="1335"/>
      <c r="K30" s="1336"/>
    </row>
    <row r="31" spans="1:11" ht="23.25" x14ac:dyDescent="0.35">
      <c r="A31" s="538" t="str">
        <f>IF(Score!A31="", "",Score!A31 )</f>
        <v/>
      </c>
      <c r="B31" s="545"/>
      <c r="C31" s="1333"/>
      <c r="D31" s="1334"/>
      <c r="H31" s="538" t="str">
        <f>IF(Score!T31="", "",Score!T31 )</f>
        <v/>
      </c>
      <c r="I31" s="545"/>
      <c r="J31" s="1333"/>
      <c r="K31" s="1334"/>
    </row>
    <row r="32" spans="1:11" ht="23.25" x14ac:dyDescent="0.35">
      <c r="A32" s="539" t="str">
        <f>IF(Score!A32="", "",Score!A32 )</f>
        <v/>
      </c>
      <c r="B32" s="544"/>
      <c r="C32" s="1335"/>
      <c r="D32" s="1336"/>
      <c r="H32" s="539" t="str">
        <f>IF(Score!T32="", "",Score!T32 )</f>
        <v/>
      </c>
      <c r="I32" s="544"/>
      <c r="J32" s="1335"/>
      <c r="K32" s="1336"/>
    </row>
    <row r="33" spans="1:11" ht="23.25" x14ac:dyDescent="0.35">
      <c r="A33" s="538" t="str">
        <f>IF(Score!A33="", "",Score!A33 )</f>
        <v/>
      </c>
      <c r="B33" s="545"/>
      <c r="C33" s="1333"/>
      <c r="D33" s="1334"/>
      <c r="H33" s="538" t="str">
        <f>IF(Score!T33="", "",Score!T33 )</f>
        <v/>
      </c>
      <c r="I33" s="545"/>
      <c r="J33" s="1333"/>
      <c r="K33" s="1334"/>
    </row>
    <row r="34" spans="1:11" ht="23.25" x14ac:dyDescent="0.35">
      <c r="A34" s="539" t="str">
        <f>IF(Score!A34="", "",Score!A34 )</f>
        <v/>
      </c>
      <c r="B34" s="544"/>
      <c r="C34" s="1335"/>
      <c r="D34" s="1336"/>
      <c r="H34" s="539" t="str">
        <f>IF(Score!T34="", "",Score!T34 )</f>
        <v/>
      </c>
      <c r="I34" s="544"/>
      <c r="J34" s="1335"/>
      <c r="K34" s="1336"/>
    </row>
    <row r="35" spans="1:11" ht="23.25" x14ac:dyDescent="0.35">
      <c r="A35" s="538" t="str">
        <f>IF(Score!A35="", "",Score!A35 )</f>
        <v/>
      </c>
      <c r="B35" s="545"/>
      <c r="C35" s="1333"/>
      <c r="D35" s="1334"/>
      <c r="H35" s="538" t="str">
        <f>IF(Score!T35="", "",Score!T35 )</f>
        <v/>
      </c>
      <c r="I35" s="545"/>
      <c r="J35" s="1333"/>
      <c r="K35" s="1334"/>
    </row>
    <row r="36" spans="1:11" ht="23.25" x14ac:dyDescent="0.35">
      <c r="A36" s="539" t="str">
        <f>IF(Score!A36="", "",Score!A36 )</f>
        <v/>
      </c>
      <c r="B36" s="544"/>
      <c r="C36" s="1335"/>
      <c r="D36" s="1336"/>
      <c r="H36" s="539" t="str">
        <f>IF(Score!T36="", "",Score!T36 )</f>
        <v/>
      </c>
      <c r="I36" s="544"/>
      <c r="J36" s="1335"/>
      <c r="K36" s="1336"/>
    </row>
    <row r="37" spans="1:11" ht="23.25" x14ac:dyDescent="0.35">
      <c r="A37" s="538" t="str">
        <f>IF(Score!A37="", "",Score!A37 )</f>
        <v/>
      </c>
      <c r="B37" s="545"/>
      <c r="C37" s="1333"/>
      <c r="D37" s="1334"/>
      <c r="H37" s="538" t="str">
        <f>IF(Score!T37="", "",Score!T37 )</f>
        <v/>
      </c>
      <c r="I37" s="545"/>
      <c r="J37" s="1333"/>
      <c r="K37" s="1334"/>
    </row>
    <row r="38" spans="1:11" ht="23.25" x14ac:dyDescent="0.35">
      <c r="A38" s="539" t="str">
        <f>IF(Score!A38="", "",Score!A38 )</f>
        <v/>
      </c>
      <c r="B38" s="544"/>
      <c r="C38" s="1335"/>
      <c r="D38" s="1336"/>
      <c r="H38" s="539" t="str">
        <f>IF(Score!T38="", "",Score!T38 )</f>
        <v/>
      </c>
      <c r="I38" s="544"/>
      <c r="J38" s="1335"/>
      <c r="K38" s="1336"/>
    </row>
    <row r="39" spans="1:11" ht="23.25" x14ac:dyDescent="0.35">
      <c r="A39" s="538" t="str">
        <f>IF(Score!A39="", "",Score!A39 )</f>
        <v/>
      </c>
      <c r="B39" s="545"/>
      <c r="C39" s="1333"/>
      <c r="D39" s="1334"/>
      <c r="H39" s="538" t="str">
        <f>IF(Score!T39="", "",Score!T39 )</f>
        <v/>
      </c>
      <c r="I39" s="545"/>
      <c r="J39" s="1333"/>
      <c r="K39" s="1334"/>
    </row>
    <row r="40" spans="1:11" ht="23.25" x14ac:dyDescent="0.35">
      <c r="A40" s="539" t="str">
        <f>IF(Score!A40="", "",Score!A40 )</f>
        <v/>
      </c>
      <c r="B40" s="544"/>
      <c r="C40" s="1335"/>
      <c r="D40" s="1336"/>
      <c r="H40" s="539" t="str">
        <f>IF(Score!T40="", "",Score!T40 )</f>
        <v/>
      </c>
      <c r="I40" s="544"/>
      <c r="J40" s="1335"/>
      <c r="K40" s="1336"/>
    </row>
    <row r="41" spans="1:11" ht="24" thickBot="1" x14ac:dyDescent="0.4">
      <c r="A41" s="540" t="str">
        <f>IF(Score!A41="", "",Score!A41 )</f>
        <v/>
      </c>
      <c r="B41" s="546"/>
      <c r="C41" s="1339"/>
      <c r="D41" s="1340"/>
      <c r="H41" s="540" t="str">
        <f>IF(Score!T41="", "",Score!T41 )</f>
        <v/>
      </c>
      <c r="I41" s="546"/>
      <c r="J41" s="1339"/>
      <c r="K41" s="1340"/>
    </row>
    <row r="42" spans="1:11" ht="28.15" customHeight="1" thickTop="1" thickBot="1" x14ac:dyDescent="0.25">
      <c r="A42" s="547" t="s">
        <v>333</v>
      </c>
      <c r="B42" s="543">
        <f>SUM(B4:B41)</f>
        <v>0</v>
      </c>
      <c r="C42" s="1341"/>
      <c r="D42" s="1342"/>
      <c r="H42" s="547" t="str">
        <f>A42</f>
        <v>Period Offset</v>
      </c>
      <c r="I42" s="543">
        <f>SUM(I4:I41)</f>
        <v>0</v>
      </c>
      <c r="J42" s="1341"/>
      <c r="K42" s="1342"/>
    </row>
    <row r="43" spans="1:11" ht="12.75" customHeight="1" x14ac:dyDescent="0.25">
      <c r="A43" s="1330" t="str">
        <f>A1</f>
        <v>Home Team</v>
      </c>
      <c r="B43" s="1331"/>
      <c r="C43" s="548" t="str">
        <f>IF(ISBLANK(IGRF!$B$7), "", IGRF!$B$7)</f>
        <v/>
      </c>
      <c r="D43" s="1337">
        <v>2</v>
      </c>
      <c r="H43" s="1330" t="str">
        <f>H1</f>
        <v>Away Team</v>
      </c>
      <c r="I43" s="1331"/>
      <c r="J43" s="548" t="str">
        <f>IF(ISBLANK(IGRF!$B$7), "", IGRF!$B$7)</f>
        <v/>
      </c>
      <c r="K43" s="1337">
        <v>2</v>
      </c>
    </row>
    <row r="44" spans="1:11" ht="13.5" customHeight="1" thickBot="1" x14ac:dyDescent="0.25">
      <c r="A44" s="1332"/>
      <c r="B44" s="1132"/>
      <c r="C44" s="11" t="s">
        <v>190</v>
      </c>
      <c r="D44" s="1338"/>
      <c r="H44" s="1332"/>
      <c r="I44" s="1132"/>
      <c r="J44" s="11" t="s">
        <v>190</v>
      </c>
      <c r="K44" s="1338"/>
    </row>
    <row r="45" spans="1:11" ht="13.9" customHeight="1" thickBot="1" x14ac:dyDescent="0.25">
      <c r="A45" s="542" t="s">
        <v>265</v>
      </c>
      <c r="B45" s="535" t="s">
        <v>332</v>
      </c>
      <c r="C45" s="536" t="s">
        <v>331</v>
      </c>
      <c r="D45" s="541" t="str">
        <f>IF(ISBLANK(IGRF!$L$3), "", "GAME " &amp; IGRF!$L$3)</f>
        <v/>
      </c>
      <c r="H45" s="542" t="s">
        <v>265</v>
      </c>
      <c r="I45" s="535" t="s">
        <v>332</v>
      </c>
      <c r="J45" s="536" t="s">
        <v>331</v>
      </c>
      <c r="K45" s="541" t="str">
        <f>IF(ISBLANK(IGRF!$L$3), "", "GAME " &amp; IGRF!$L$3)</f>
        <v/>
      </c>
    </row>
    <row r="46" spans="1:11" ht="23.25" x14ac:dyDescent="0.35">
      <c r="A46" s="537" t="str">
        <f>IF(Score!A46="", "",Score!A46 )</f>
        <v/>
      </c>
      <c r="B46" s="544"/>
      <c r="C46" s="1335"/>
      <c r="D46" s="1336"/>
      <c r="H46" s="537" t="str">
        <f>IF(Score!T46="", "",Score!T46 )</f>
        <v/>
      </c>
      <c r="I46" s="544"/>
      <c r="J46" s="1335"/>
      <c r="K46" s="1336"/>
    </row>
    <row r="47" spans="1:11" ht="23.25" x14ac:dyDescent="0.35">
      <c r="A47" s="538" t="str">
        <f>IF(Score!A47="", "",Score!A47 )</f>
        <v/>
      </c>
      <c r="B47" s="545"/>
      <c r="C47" s="1333"/>
      <c r="D47" s="1334"/>
      <c r="H47" s="538" t="str">
        <f>IF(Score!T47="", "",Score!T47 )</f>
        <v/>
      </c>
      <c r="I47" s="545"/>
      <c r="J47" s="1333"/>
      <c r="K47" s="1334"/>
    </row>
    <row r="48" spans="1:11" ht="23.25" x14ac:dyDescent="0.35">
      <c r="A48" s="539" t="str">
        <f>IF(Score!A48="", "",Score!A48 )</f>
        <v/>
      </c>
      <c r="B48" s="544"/>
      <c r="C48" s="1335"/>
      <c r="D48" s="1336"/>
      <c r="H48" s="539" t="str">
        <f>IF(Score!T48="", "",Score!T48 )</f>
        <v/>
      </c>
      <c r="I48" s="544"/>
      <c r="J48" s="1335"/>
      <c r="K48" s="1336"/>
    </row>
    <row r="49" spans="1:11" ht="23.25" x14ac:dyDescent="0.35">
      <c r="A49" s="538" t="str">
        <f>IF(Score!A49="", "",Score!A49 )</f>
        <v/>
      </c>
      <c r="B49" s="545"/>
      <c r="C49" s="1333"/>
      <c r="D49" s="1334"/>
      <c r="H49" s="538" t="str">
        <f>IF(Score!T49="", "",Score!T49 )</f>
        <v/>
      </c>
      <c r="I49" s="545"/>
      <c r="J49" s="1333"/>
      <c r="K49" s="1334"/>
    </row>
    <row r="50" spans="1:11" ht="23.25" x14ac:dyDescent="0.35">
      <c r="A50" s="539" t="str">
        <f>IF(Score!A50="", "",Score!A50 )</f>
        <v/>
      </c>
      <c r="B50" s="544"/>
      <c r="C50" s="1335"/>
      <c r="D50" s="1336"/>
      <c r="H50" s="539" t="str">
        <f>IF(Score!T50="", "",Score!T50 )</f>
        <v/>
      </c>
      <c r="I50" s="544"/>
      <c r="J50" s="1335"/>
      <c r="K50" s="1336"/>
    </row>
    <row r="51" spans="1:11" ht="23.25" x14ac:dyDescent="0.35">
      <c r="A51" s="538" t="str">
        <f>IF(Score!A51="", "",Score!A51 )</f>
        <v/>
      </c>
      <c r="B51" s="545"/>
      <c r="C51" s="1333"/>
      <c r="D51" s="1334"/>
      <c r="H51" s="538" t="str">
        <f>IF(Score!T51="", "",Score!T51 )</f>
        <v/>
      </c>
      <c r="I51" s="545"/>
      <c r="J51" s="1333"/>
      <c r="K51" s="1334"/>
    </row>
    <row r="52" spans="1:11" ht="23.25" x14ac:dyDescent="0.35">
      <c r="A52" s="539" t="str">
        <f>IF(Score!A52="", "",Score!A52 )</f>
        <v/>
      </c>
      <c r="B52" s="544"/>
      <c r="C52" s="1335"/>
      <c r="D52" s="1336"/>
      <c r="H52" s="539" t="str">
        <f>IF(Score!T52="", "",Score!T52 )</f>
        <v/>
      </c>
      <c r="I52" s="544"/>
      <c r="J52" s="1335"/>
      <c r="K52" s="1336"/>
    </row>
    <row r="53" spans="1:11" ht="23.25" x14ac:dyDescent="0.35">
      <c r="A53" s="538" t="str">
        <f>IF(Score!A53="", "",Score!A53 )</f>
        <v/>
      </c>
      <c r="B53" s="545"/>
      <c r="C53" s="1333"/>
      <c r="D53" s="1334"/>
      <c r="H53" s="538" t="str">
        <f>IF(Score!T53="", "",Score!T53 )</f>
        <v/>
      </c>
      <c r="I53" s="545"/>
      <c r="J53" s="1333"/>
      <c r="K53" s="1334"/>
    </row>
    <row r="54" spans="1:11" ht="23.25" x14ac:dyDescent="0.35">
      <c r="A54" s="539" t="str">
        <f>IF(Score!A54="", "",Score!A54 )</f>
        <v/>
      </c>
      <c r="B54" s="544"/>
      <c r="C54" s="1335"/>
      <c r="D54" s="1336"/>
      <c r="H54" s="539" t="str">
        <f>IF(Score!T54="", "",Score!T54 )</f>
        <v/>
      </c>
      <c r="I54" s="544"/>
      <c r="J54" s="1335"/>
      <c r="K54" s="1336"/>
    </row>
    <row r="55" spans="1:11" ht="23.25" x14ac:dyDescent="0.35">
      <c r="A55" s="538" t="str">
        <f>IF(Score!A55="", "",Score!A55 )</f>
        <v/>
      </c>
      <c r="B55" s="545"/>
      <c r="C55" s="1333"/>
      <c r="D55" s="1334"/>
      <c r="H55" s="538" t="str">
        <f>IF(Score!T55="", "",Score!T55 )</f>
        <v/>
      </c>
      <c r="I55" s="545"/>
      <c r="J55" s="1333"/>
      <c r="K55" s="1334"/>
    </row>
    <row r="56" spans="1:11" ht="23.25" x14ac:dyDescent="0.35">
      <c r="A56" s="539" t="str">
        <f>IF(Score!A56="", "",Score!A56 )</f>
        <v/>
      </c>
      <c r="B56" s="544"/>
      <c r="C56" s="1335"/>
      <c r="D56" s="1336"/>
      <c r="H56" s="539" t="str">
        <f>IF(Score!T56="", "",Score!T56 )</f>
        <v/>
      </c>
      <c r="I56" s="544"/>
      <c r="J56" s="1335"/>
      <c r="K56" s="1336"/>
    </row>
    <row r="57" spans="1:11" ht="23.25" x14ac:dyDescent="0.35">
      <c r="A57" s="538" t="str">
        <f>IF(Score!A57="", "",Score!A57 )</f>
        <v/>
      </c>
      <c r="B57" s="545"/>
      <c r="C57" s="1333"/>
      <c r="D57" s="1334"/>
      <c r="H57" s="538" t="str">
        <f>IF(Score!T57="", "",Score!T57 )</f>
        <v/>
      </c>
      <c r="I57" s="545"/>
      <c r="J57" s="1333"/>
      <c r="K57" s="1334"/>
    </row>
    <row r="58" spans="1:11" ht="23.25" x14ac:dyDescent="0.35">
      <c r="A58" s="539" t="str">
        <f>IF(Score!A58="", "",Score!A58 )</f>
        <v/>
      </c>
      <c r="B58" s="544"/>
      <c r="C58" s="1335"/>
      <c r="D58" s="1336"/>
      <c r="H58" s="539" t="str">
        <f>IF(Score!T58="", "",Score!T58 )</f>
        <v/>
      </c>
      <c r="I58" s="544"/>
      <c r="J58" s="1335"/>
      <c r="K58" s="1336"/>
    </row>
    <row r="59" spans="1:11" ht="23.25" x14ac:dyDescent="0.35">
      <c r="A59" s="538" t="str">
        <f>IF(Score!A59="", "",Score!A59 )</f>
        <v/>
      </c>
      <c r="B59" s="545"/>
      <c r="C59" s="1333"/>
      <c r="D59" s="1334"/>
      <c r="H59" s="538" t="str">
        <f>IF(Score!T59="", "",Score!T59 )</f>
        <v/>
      </c>
      <c r="I59" s="545"/>
      <c r="J59" s="1333"/>
      <c r="K59" s="1334"/>
    </row>
    <row r="60" spans="1:11" ht="23.25" x14ac:dyDescent="0.35">
      <c r="A60" s="539" t="str">
        <f>IF(Score!A60="", "",Score!A60 )</f>
        <v/>
      </c>
      <c r="B60" s="544"/>
      <c r="C60" s="1335"/>
      <c r="D60" s="1336"/>
      <c r="H60" s="539" t="str">
        <f>IF(Score!T60="", "",Score!T60 )</f>
        <v/>
      </c>
      <c r="I60" s="544"/>
      <c r="J60" s="1335"/>
      <c r="K60" s="1336"/>
    </row>
    <row r="61" spans="1:11" ht="23.25" x14ac:dyDescent="0.35">
      <c r="A61" s="538" t="str">
        <f>IF(Score!A61="", "",Score!A61 )</f>
        <v/>
      </c>
      <c r="B61" s="545"/>
      <c r="C61" s="1333"/>
      <c r="D61" s="1334"/>
      <c r="H61" s="538" t="str">
        <f>IF(Score!T61="", "",Score!T61 )</f>
        <v/>
      </c>
      <c r="I61" s="545"/>
      <c r="J61" s="1333"/>
      <c r="K61" s="1334"/>
    </row>
    <row r="62" spans="1:11" ht="23.25" x14ac:dyDescent="0.35">
      <c r="A62" s="539" t="str">
        <f>IF(Score!A62="", "",Score!A62 )</f>
        <v/>
      </c>
      <c r="B62" s="544"/>
      <c r="C62" s="1335"/>
      <c r="D62" s="1336"/>
      <c r="H62" s="539" t="str">
        <f>IF(Score!T62="", "",Score!T62 )</f>
        <v/>
      </c>
      <c r="I62" s="544"/>
      <c r="J62" s="1335"/>
      <c r="K62" s="1336"/>
    </row>
    <row r="63" spans="1:11" ht="23.25" x14ac:dyDescent="0.35">
      <c r="A63" s="538" t="str">
        <f>IF(Score!A63="", "",Score!A63 )</f>
        <v/>
      </c>
      <c r="B63" s="545"/>
      <c r="C63" s="1333"/>
      <c r="D63" s="1334"/>
      <c r="H63" s="538" t="str">
        <f>IF(Score!T63="", "",Score!T63 )</f>
        <v/>
      </c>
      <c r="I63" s="545"/>
      <c r="J63" s="1333"/>
      <c r="K63" s="1334"/>
    </row>
    <row r="64" spans="1:11" ht="23.25" x14ac:dyDescent="0.35">
      <c r="A64" s="539" t="str">
        <f>IF(Score!A64="", "",Score!A64 )</f>
        <v/>
      </c>
      <c r="B64" s="544"/>
      <c r="C64" s="1335"/>
      <c r="D64" s="1336"/>
      <c r="H64" s="539" t="str">
        <f>IF(Score!T64="", "",Score!T64 )</f>
        <v/>
      </c>
      <c r="I64" s="544"/>
      <c r="J64" s="1335"/>
      <c r="K64" s="1336"/>
    </row>
    <row r="65" spans="1:11" ht="23.25" x14ac:dyDescent="0.35">
      <c r="A65" s="538" t="str">
        <f>IF(Score!A65="", "",Score!A65 )</f>
        <v/>
      </c>
      <c r="B65" s="545"/>
      <c r="C65" s="1333"/>
      <c r="D65" s="1334"/>
      <c r="H65" s="538" t="str">
        <f>IF(Score!T65="", "",Score!T65 )</f>
        <v/>
      </c>
      <c r="I65" s="545"/>
      <c r="J65" s="1333"/>
      <c r="K65" s="1334"/>
    </row>
    <row r="66" spans="1:11" ht="23.25" x14ac:dyDescent="0.35">
      <c r="A66" s="539" t="str">
        <f>IF(Score!A66="", "",Score!A66 )</f>
        <v/>
      </c>
      <c r="B66" s="544"/>
      <c r="C66" s="1335"/>
      <c r="D66" s="1336"/>
      <c r="H66" s="539" t="str">
        <f>IF(Score!T66="", "",Score!T66 )</f>
        <v/>
      </c>
      <c r="I66" s="544"/>
      <c r="J66" s="1335"/>
      <c r="K66" s="1336"/>
    </row>
    <row r="67" spans="1:11" ht="23.25" x14ac:dyDescent="0.35">
      <c r="A67" s="538" t="str">
        <f>IF(Score!A67="", "",Score!A67 )</f>
        <v/>
      </c>
      <c r="B67" s="545"/>
      <c r="C67" s="1333"/>
      <c r="D67" s="1334"/>
      <c r="H67" s="538" t="str">
        <f>IF(Score!T67="", "",Score!T67 )</f>
        <v/>
      </c>
      <c r="I67" s="545"/>
      <c r="J67" s="1333"/>
      <c r="K67" s="1334"/>
    </row>
    <row r="68" spans="1:11" ht="23.25" x14ac:dyDescent="0.35">
      <c r="A68" s="539" t="str">
        <f>IF(Score!A68="", "",Score!A68 )</f>
        <v/>
      </c>
      <c r="B68" s="544"/>
      <c r="C68" s="1335"/>
      <c r="D68" s="1336"/>
      <c r="H68" s="539" t="str">
        <f>IF(Score!T68="", "",Score!T68 )</f>
        <v/>
      </c>
      <c r="I68" s="544"/>
      <c r="J68" s="1335"/>
      <c r="K68" s="1336"/>
    </row>
    <row r="69" spans="1:11" ht="23.25" x14ac:dyDescent="0.35">
      <c r="A69" s="538" t="str">
        <f>IF(Score!A69="", "",Score!A69 )</f>
        <v/>
      </c>
      <c r="B69" s="545"/>
      <c r="C69" s="1333"/>
      <c r="D69" s="1334"/>
      <c r="H69" s="538" t="str">
        <f>IF(Score!T69="", "",Score!T69 )</f>
        <v/>
      </c>
      <c r="I69" s="545"/>
      <c r="J69" s="1333"/>
      <c r="K69" s="1334"/>
    </row>
    <row r="70" spans="1:11" ht="23.25" x14ac:dyDescent="0.35">
      <c r="A70" s="539" t="str">
        <f>IF(Score!A70="", "",Score!A70 )</f>
        <v/>
      </c>
      <c r="B70" s="544"/>
      <c r="C70" s="1335"/>
      <c r="D70" s="1336"/>
      <c r="H70" s="539" t="str">
        <f>IF(Score!T70="", "",Score!T70 )</f>
        <v/>
      </c>
      <c r="I70" s="544"/>
      <c r="J70" s="1335"/>
      <c r="K70" s="1336"/>
    </row>
    <row r="71" spans="1:11" ht="23.25" x14ac:dyDescent="0.35">
      <c r="A71" s="538" t="str">
        <f>IF(Score!A71="", "",Score!A71 )</f>
        <v/>
      </c>
      <c r="B71" s="545"/>
      <c r="C71" s="1333"/>
      <c r="D71" s="1334"/>
      <c r="H71" s="538" t="str">
        <f>IF(Score!T71="", "",Score!T71 )</f>
        <v/>
      </c>
      <c r="I71" s="545"/>
      <c r="J71" s="1333"/>
      <c r="K71" s="1334"/>
    </row>
    <row r="72" spans="1:11" ht="23.25" x14ac:dyDescent="0.35">
      <c r="A72" s="539" t="str">
        <f>IF(Score!A72="", "",Score!A72 )</f>
        <v/>
      </c>
      <c r="B72" s="544"/>
      <c r="C72" s="1335"/>
      <c r="D72" s="1336"/>
      <c r="H72" s="539" t="str">
        <f>IF(Score!T72="", "",Score!T72 )</f>
        <v/>
      </c>
      <c r="I72" s="544"/>
      <c r="J72" s="1335"/>
      <c r="K72" s="1336"/>
    </row>
    <row r="73" spans="1:11" ht="23.25" x14ac:dyDescent="0.35">
      <c r="A73" s="538" t="str">
        <f>IF(Score!A73="", "",Score!A73 )</f>
        <v/>
      </c>
      <c r="B73" s="545"/>
      <c r="C73" s="1333"/>
      <c r="D73" s="1334"/>
      <c r="H73" s="538" t="str">
        <f>IF(Score!T73="", "",Score!T73 )</f>
        <v/>
      </c>
      <c r="I73" s="545"/>
      <c r="J73" s="1333"/>
      <c r="K73" s="1334"/>
    </row>
    <row r="74" spans="1:11" ht="23.25" x14ac:dyDescent="0.35">
      <c r="A74" s="539" t="str">
        <f>IF(Score!A74="", "",Score!A74 )</f>
        <v/>
      </c>
      <c r="B74" s="544"/>
      <c r="C74" s="1335"/>
      <c r="D74" s="1336"/>
      <c r="H74" s="539" t="str">
        <f>IF(Score!T74="", "",Score!T74 )</f>
        <v/>
      </c>
      <c r="I74" s="544"/>
      <c r="J74" s="1335"/>
      <c r="K74" s="1336"/>
    </row>
    <row r="75" spans="1:11" ht="23.25" x14ac:dyDescent="0.35">
      <c r="A75" s="538" t="str">
        <f>IF(Score!A75="", "",Score!A75 )</f>
        <v/>
      </c>
      <c r="B75" s="545"/>
      <c r="C75" s="1333"/>
      <c r="D75" s="1334"/>
      <c r="H75" s="538" t="str">
        <f>IF(Score!T75="", "",Score!T75 )</f>
        <v/>
      </c>
      <c r="I75" s="545"/>
      <c r="J75" s="1333"/>
      <c r="K75" s="1334"/>
    </row>
    <row r="76" spans="1:11" ht="23.25" x14ac:dyDescent="0.35">
      <c r="A76" s="539" t="str">
        <f>IF(Score!A76="", "",Score!A76 )</f>
        <v/>
      </c>
      <c r="B76" s="544"/>
      <c r="C76" s="1335"/>
      <c r="D76" s="1336"/>
      <c r="H76" s="539" t="str">
        <f>IF(Score!T76="", "",Score!T76 )</f>
        <v/>
      </c>
      <c r="I76" s="544"/>
      <c r="J76" s="1335"/>
      <c r="K76" s="1336"/>
    </row>
    <row r="77" spans="1:11" ht="23.25" x14ac:dyDescent="0.35">
      <c r="A77" s="538" t="str">
        <f>IF(Score!A77="", "",Score!A77 )</f>
        <v/>
      </c>
      <c r="B77" s="545"/>
      <c r="C77" s="1333"/>
      <c r="D77" s="1334"/>
      <c r="H77" s="538" t="str">
        <f>IF(Score!T77="", "",Score!T77 )</f>
        <v/>
      </c>
      <c r="I77" s="545"/>
      <c r="J77" s="1333"/>
      <c r="K77" s="1334"/>
    </row>
    <row r="78" spans="1:11" ht="23.25" x14ac:dyDescent="0.35">
      <c r="A78" s="539" t="str">
        <f>IF(Score!A78="", "",Score!A78 )</f>
        <v/>
      </c>
      <c r="B78" s="544"/>
      <c r="C78" s="1335"/>
      <c r="D78" s="1336"/>
      <c r="H78" s="539" t="str">
        <f>IF(Score!T78="", "",Score!T78 )</f>
        <v/>
      </c>
      <c r="I78" s="544"/>
      <c r="J78" s="1335"/>
      <c r="K78" s="1336"/>
    </row>
    <row r="79" spans="1:11" ht="23.25" x14ac:dyDescent="0.35">
      <c r="A79" s="538" t="str">
        <f>IF(Score!A79="", "",Score!A79 )</f>
        <v/>
      </c>
      <c r="B79" s="545"/>
      <c r="C79" s="1333"/>
      <c r="D79" s="1334"/>
      <c r="H79" s="538" t="str">
        <f>IF(Score!T79="", "",Score!T79 )</f>
        <v/>
      </c>
      <c r="I79" s="545"/>
      <c r="J79" s="1333"/>
      <c r="K79" s="1334"/>
    </row>
    <row r="80" spans="1:11" ht="23.25" x14ac:dyDescent="0.35">
      <c r="A80" s="539" t="str">
        <f>IF(Score!A80="", "",Score!A80 )</f>
        <v/>
      </c>
      <c r="B80" s="544"/>
      <c r="C80" s="1335"/>
      <c r="D80" s="1336"/>
      <c r="H80" s="539" t="str">
        <f>IF(Score!T80="", "",Score!T80 )</f>
        <v/>
      </c>
      <c r="I80" s="544"/>
      <c r="J80" s="1335"/>
      <c r="K80" s="1336"/>
    </row>
    <row r="81" spans="1:11" ht="23.25" x14ac:dyDescent="0.35">
      <c r="A81" s="538" t="str">
        <f>IF(Score!A81="", "",Score!A81 )</f>
        <v/>
      </c>
      <c r="B81" s="545"/>
      <c r="C81" s="1333"/>
      <c r="D81" s="1334"/>
      <c r="H81" s="538" t="str">
        <f>IF(Score!T81="", "",Score!T81 )</f>
        <v/>
      </c>
      <c r="I81" s="545"/>
      <c r="J81" s="1333"/>
      <c r="K81" s="1334"/>
    </row>
    <row r="82" spans="1:11" ht="23.25" x14ac:dyDescent="0.35">
      <c r="A82" s="539" t="str">
        <f>IF(Score!A82="", "",Score!A82 )</f>
        <v/>
      </c>
      <c r="B82" s="544"/>
      <c r="C82" s="1335"/>
      <c r="D82" s="1336"/>
      <c r="H82" s="539" t="str">
        <f>IF(Score!T82="", "",Score!T82 )</f>
        <v/>
      </c>
      <c r="I82" s="544"/>
      <c r="J82" s="1335"/>
      <c r="K82" s="1336"/>
    </row>
    <row r="83" spans="1:11" ht="24" thickBot="1" x14ac:dyDescent="0.4">
      <c r="A83" s="540" t="str">
        <f>IF(Score!A83="", "",Score!A83 )</f>
        <v/>
      </c>
      <c r="B83" s="546"/>
      <c r="C83" s="1339"/>
      <c r="D83" s="1340"/>
      <c r="H83" s="540" t="str">
        <f>IF(Score!T83="", "",Score!T83 )</f>
        <v/>
      </c>
      <c r="I83" s="546"/>
      <c r="J83" s="1339"/>
      <c r="K83" s="1340"/>
    </row>
    <row r="84" spans="1:11" ht="27" thickTop="1" thickBot="1" x14ac:dyDescent="0.25">
      <c r="A84" s="547" t="str">
        <f>A42</f>
        <v>Period Offset</v>
      </c>
      <c r="B84" s="543">
        <f>SUM(B46:B83)</f>
        <v>0</v>
      </c>
      <c r="C84" s="1341"/>
      <c r="D84" s="1342"/>
      <c r="H84" s="547" t="str">
        <f>A42</f>
        <v>Period Offset</v>
      </c>
      <c r="I84" s="543">
        <f>SUM(I46:I83)</f>
        <v>0</v>
      </c>
      <c r="J84" s="1341"/>
      <c r="K84" s="1342"/>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7" type="noConversion"/>
  <pageMargins left="0.7" right="0.7" top="0.75" bottom="0.75" header="0.3" footer="0.3"/>
  <pageSetup scale="72" orientation="portrait" horizontalDpi="1200" verticalDpi="1200" r:id="rId1"/>
  <headerFooter>
    <oddHeader><![CDATA[&L&"Calibri,Regular"&34&G&A&R&"-,Regular"
‘&A’ revision 2404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1" width="8.7109375" collapsed="false"/>
    <col min="2" max="2" customWidth="true" style="551" width="8.140625" collapsed="false"/>
    <col min="3" max="3" customWidth="true" style="551" width="21.42578125" collapsed="false"/>
    <col min="4" max="4" customWidth="true" style="551" width="8.42578125" collapsed="false"/>
    <col min="5" max="5" customWidth="true" style="551" width="7.140625" collapsed="false"/>
    <col min="6" max="6" bestFit="true" customWidth="true" style="551" width="8.7109375" collapsed="false"/>
    <col min="7" max="7" customWidth="true" style="551" width="12.7109375" collapsed="false"/>
    <col min="8" max="8" bestFit="true" customWidth="true" style="551" width="8.0" collapsed="false"/>
    <col min="9" max="9" customWidth="true" style="551" width="12.7109375" collapsed="false"/>
    <col min="10" max="10" customWidth="true" style="551" width="7.28515625" collapsed="false"/>
    <col min="11" max="11" customWidth="true" style="551" width="11.0" collapsed="false"/>
    <col min="12" max="16384" style="551" width="10.7109375" collapsed="false"/>
  </cols>
  <sheetData>
    <row r="1" spans="1:11" ht="30" customHeight="1" x14ac:dyDescent="0.25">
      <c r="A1" s="1356" t="str">
        <f>IF(ISBLANK(IGRF!$B$7), "", IGRF!$B$7)</f>
        <v/>
      </c>
      <c r="B1" s="1356"/>
      <c r="C1" s="1357"/>
      <c r="D1" s="1357"/>
      <c r="E1" s="1357"/>
      <c r="F1" s="1357"/>
      <c r="G1" s="1358" t="str">
        <f>Score!$A$1 &amp; IF(IGRF!B12="", ""," (" &amp; IGRF!B12 &amp; ")")</f>
        <v>Home Team</v>
      </c>
      <c r="H1" s="1358"/>
      <c r="I1" s="1358"/>
      <c r="J1" s="1358"/>
      <c r="K1" s="1358"/>
    </row>
    <row r="2" spans="1:11" ht="15" customHeight="1" x14ac:dyDescent="0.2">
      <c r="A2" s="1359" t="s">
        <v>190</v>
      </c>
      <c r="B2" s="1359"/>
      <c r="C2" s="1360" t="s">
        <v>194</v>
      </c>
      <c r="D2" s="1360"/>
      <c r="E2" s="1360"/>
      <c r="F2" s="1360"/>
      <c r="G2" s="1358" t="str">
        <f>Score!$T$1  &amp; IF(IGRF!I12="", ""," (" &amp; IGRF!I12 &amp; ")")</f>
        <v>Away Team</v>
      </c>
      <c r="H2" s="1358"/>
      <c r="I2" s="1358"/>
      <c r="J2" s="1358"/>
      <c r="K2" s="1358"/>
    </row>
    <row r="3" spans="1:11" ht="15" customHeight="1" thickBot="1" x14ac:dyDescent="0.25">
      <c r="A3" s="1362" t="str">
        <f>IF(ISBLANK(IGRF!$L$3), "Period 1", "GAME " &amp; IGRF!$L$3&amp;", Period 1")</f>
        <v>Period 1</v>
      </c>
      <c r="B3" s="1362"/>
      <c r="C3" s="1361"/>
      <c r="D3" s="1361"/>
      <c r="E3" s="1361"/>
      <c r="F3" s="1361"/>
      <c r="G3" s="1358"/>
      <c r="H3" s="1358"/>
      <c r="I3" s="1358"/>
      <c r="J3" s="1358"/>
      <c r="K3" s="1358"/>
    </row>
    <row r="4" spans="1:11" ht="30" customHeight="1" x14ac:dyDescent="0.25">
      <c r="A4" s="571" t="s">
        <v>103</v>
      </c>
      <c r="B4" s="1349" t="s">
        <v>610</v>
      </c>
      <c r="C4" s="1349"/>
      <c r="D4" s="572" t="s">
        <v>396</v>
      </c>
      <c r="E4" s="573" t="n">
        <v>1.0</v>
      </c>
      <c r="F4" s="572" t="s">
        <v>397</v>
      </c>
      <c r="G4" s="574" t="s">
        <v>653</v>
      </c>
      <c r="H4" s="572" t="s">
        <v>398</v>
      </c>
      <c r="I4" s="575" t="s">
        <v>654</v>
      </c>
      <c r="J4" s="572" t="s">
        <v>399</v>
      </c>
      <c r="K4" s="576" t="s">
        <v>588</v>
      </c>
    </row>
    <row r="5" spans="1:11" ht="105" customHeight="1" x14ac:dyDescent="0.2">
      <c r="A5" s="577" t="s">
        <v>173</v>
      </c>
      <c r="B5" s="1350"/>
      <c r="C5" s="1350"/>
      <c r="D5" s="1350"/>
      <c r="E5" s="1350"/>
      <c r="F5" s="1350"/>
      <c r="G5" s="1350"/>
      <c r="H5" s="1350"/>
      <c r="I5" s="1350"/>
      <c r="J5" s="1350"/>
      <c r="K5" s="1351"/>
    </row>
    <row r="6" spans="1:11" ht="56.25" customHeight="1" thickBot="1" x14ac:dyDescent="0.25">
      <c r="A6" s="578" t="s">
        <v>174</v>
      </c>
      <c r="B6" s="1352"/>
      <c r="C6" s="1352"/>
      <c r="D6" s="1352"/>
      <c r="E6" s="1352"/>
      <c r="F6" s="1352"/>
      <c r="G6" s="1352"/>
      <c r="H6" s="1352"/>
      <c r="I6" s="1352"/>
      <c r="J6" s="1352"/>
      <c r="K6" s="1353"/>
    </row>
    <row r="7" spans="1:11" ht="30" customHeight="1" x14ac:dyDescent="0.25">
      <c r="A7" s="571" t="s">
        <v>103</v>
      </c>
      <c r="B7" s="1349" t="s">
        <v>608</v>
      </c>
      <c r="C7" s="1349"/>
      <c r="D7" s="572" t="s">
        <v>396</v>
      </c>
      <c r="E7" s="573" t="n">
        <v>1.0</v>
      </c>
      <c r="F7" s="572" t="s">
        <v>397</v>
      </c>
      <c r="G7" s="574" t="s">
        <v>653</v>
      </c>
      <c r="H7" s="572" t="s">
        <v>398</v>
      </c>
      <c r="I7" s="575" t="s">
        <v>655</v>
      </c>
      <c r="J7" s="572" t="s">
        <v>399</v>
      </c>
      <c r="K7" s="576" t="s">
        <v>656</v>
      </c>
    </row>
    <row r="8" spans="1:11" ht="105" customHeight="1" x14ac:dyDescent="0.2">
      <c r="A8" s="577" t="s">
        <v>173</v>
      </c>
      <c r="B8" s="1350"/>
      <c r="C8" s="1350"/>
      <c r="D8" s="1350"/>
      <c r="E8" s="1350"/>
      <c r="F8" s="1350"/>
      <c r="G8" s="1350"/>
      <c r="H8" s="1350"/>
      <c r="I8" s="1350"/>
      <c r="J8" s="1350"/>
      <c r="K8" s="1351"/>
    </row>
    <row r="9" spans="1:11" ht="56.25" customHeight="1" thickBot="1" x14ac:dyDescent="0.25">
      <c r="A9" s="579" t="s">
        <v>174</v>
      </c>
      <c r="B9" s="1352"/>
      <c r="C9" s="1352"/>
      <c r="D9" s="1352"/>
      <c r="E9" s="1352"/>
      <c r="F9" s="1352"/>
      <c r="G9" s="1352"/>
      <c r="H9" s="1352"/>
      <c r="I9" s="1352"/>
      <c r="J9" s="1352"/>
      <c r="K9" s="1353"/>
    </row>
    <row r="10" spans="1:11" ht="30" customHeight="1" x14ac:dyDescent="0.25">
      <c r="A10" s="571" t="s">
        <v>103</v>
      </c>
      <c r="B10" s="1349"/>
      <c r="C10" s="1349"/>
      <c r="D10" s="572" t="s">
        <v>396</v>
      </c>
      <c r="E10" s="573"/>
      <c r="F10" s="572" t="s">
        <v>397</v>
      </c>
      <c r="G10" s="574"/>
      <c r="H10" s="572" t="s">
        <v>398</v>
      </c>
      <c r="I10" s="575"/>
      <c r="J10" s="572" t="s">
        <v>399</v>
      </c>
      <c r="K10" s="576" t="s">
        <v>400</v>
      </c>
    </row>
    <row r="11" spans="1:11" ht="105" customHeight="1" x14ac:dyDescent="0.2">
      <c r="A11" s="577" t="s">
        <v>173</v>
      </c>
      <c r="B11" s="1350"/>
      <c r="C11" s="1350"/>
      <c r="D11" s="1350"/>
      <c r="E11" s="1350"/>
      <c r="F11" s="1350"/>
      <c r="G11" s="1350"/>
      <c r="H11" s="1350"/>
      <c r="I11" s="1350"/>
      <c r="J11" s="1350"/>
      <c r="K11" s="1351"/>
    </row>
    <row r="12" spans="1:11" ht="56.25" customHeight="1" thickBot="1" x14ac:dyDescent="0.25">
      <c r="A12" s="579" t="s">
        <v>174</v>
      </c>
      <c r="B12" s="1352"/>
      <c r="C12" s="1352"/>
      <c r="D12" s="1352"/>
      <c r="E12" s="1352"/>
      <c r="F12" s="1352"/>
      <c r="G12" s="1352"/>
      <c r="H12" s="1352"/>
      <c r="I12" s="1352"/>
      <c r="J12" s="1352"/>
      <c r="K12" s="1353"/>
    </row>
    <row r="13" spans="1:11" ht="30" customHeight="1" x14ac:dyDescent="0.25">
      <c r="A13" s="571" t="s">
        <v>103</v>
      </c>
      <c r="B13" s="1349"/>
      <c r="C13" s="1349"/>
      <c r="D13" s="572" t="s">
        <v>396</v>
      </c>
      <c r="E13" s="573"/>
      <c r="F13" s="572" t="s">
        <v>397</v>
      </c>
      <c r="G13" s="574"/>
      <c r="H13" s="572" t="s">
        <v>398</v>
      </c>
      <c r="I13" s="575"/>
      <c r="J13" s="572" t="s">
        <v>399</v>
      </c>
      <c r="K13" s="576" t="s">
        <v>400</v>
      </c>
    </row>
    <row r="14" spans="1:11" ht="105" customHeight="1" x14ac:dyDescent="0.2">
      <c r="A14" s="577" t="s">
        <v>173</v>
      </c>
      <c r="B14" s="1350"/>
      <c r="C14" s="1350"/>
      <c r="D14" s="1350"/>
      <c r="E14" s="1350"/>
      <c r="F14" s="1350"/>
      <c r="G14" s="1350"/>
      <c r="H14" s="1350"/>
      <c r="I14" s="1350"/>
      <c r="J14" s="1350"/>
      <c r="K14" s="1351"/>
    </row>
    <row r="15" spans="1:11" ht="56.25" customHeight="1" thickBot="1" x14ac:dyDescent="0.25">
      <c r="A15" s="579" t="s">
        <v>174</v>
      </c>
      <c r="B15" s="1352"/>
      <c r="C15" s="1352"/>
      <c r="D15" s="1352"/>
      <c r="E15" s="1352"/>
      <c r="F15" s="1352"/>
      <c r="G15" s="1352"/>
      <c r="H15" s="1354"/>
      <c r="I15" s="1354"/>
      <c r="J15" s="1354"/>
      <c r="K15" s="1355"/>
    </row>
    <row r="16" spans="1:11" ht="7.5" customHeight="1" x14ac:dyDescent="0.2">
      <c r="A16" s="580"/>
      <c r="B16" s="581"/>
      <c r="C16" s="581"/>
      <c r="D16" s="581"/>
      <c r="E16" s="581"/>
      <c r="F16" s="582"/>
      <c r="G16" s="582"/>
      <c r="H16" s="1343" t="s">
        <v>401</v>
      </c>
      <c r="I16" s="1344"/>
      <c r="J16" s="1344" t="s">
        <v>660</v>
      </c>
      <c r="K16" s="1347"/>
    </row>
    <row r="17" spans="1:11" ht="19.5" customHeight="1" thickBot="1" x14ac:dyDescent="0.25">
      <c r="B17" s="581"/>
      <c r="C17" s="581"/>
      <c r="D17" s="581"/>
      <c r="E17" s="581"/>
      <c r="F17" s="582"/>
      <c r="G17" s="582"/>
      <c r="H17" s="1345"/>
      <c r="I17" s="1346"/>
      <c r="J17" s="1346"/>
      <c r="K17" s="1348"/>
    </row>
    <row r="18" spans="1:11" ht="30" customHeight="1" x14ac:dyDescent="0.25">
      <c r="A18" s="1356" t="str">
        <f>IF(ISBLANK(IGRF!$B$7), "", IGRF!$B$7)</f>
        <v/>
      </c>
      <c r="B18" s="1356"/>
      <c r="C18" s="1357"/>
      <c r="D18" s="1357"/>
      <c r="E18" s="1357"/>
      <c r="F18" s="1357"/>
      <c r="G18" s="1358" t="str">
        <f>Score!$A$1 &amp; IF(IGRF!B12="", ""," (" &amp; IGRF!B12 &amp; ")")</f>
        <v>Home Team</v>
      </c>
      <c r="H18" s="1358"/>
      <c r="I18" s="1358"/>
      <c r="J18" s="1358"/>
      <c r="K18" s="1358"/>
    </row>
    <row r="19" spans="1:11" ht="15" customHeight="1" x14ac:dyDescent="0.2">
      <c r="A19" s="1359" t="s">
        <v>190</v>
      </c>
      <c r="B19" s="1359"/>
      <c r="C19" s="1360" t="s">
        <v>194</v>
      </c>
      <c r="D19" s="1360"/>
      <c r="E19" s="1360"/>
      <c r="F19" s="1360"/>
      <c r="G19" s="1358" t="str">
        <f>Score!$T$1  &amp; IF(IGRF!I12="", ""," (" &amp; IGRF!I12 &amp; ")")</f>
        <v>Away Team</v>
      </c>
      <c r="H19" s="1358"/>
      <c r="I19" s="1358"/>
      <c r="J19" s="1358"/>
      <c r="K19" s="1358"/>
    </row>
    <row r="20" spans="1:11" ht="15" customHeight="1" thickBot="1" x14ac:dyDescent="0.25">
      <c r="A20" s="1362" t="str">
        <f>IF(ISBLANK(IGRF!$L$3), "Period 2", "GAME " &amp; IGRF!$L$3&amp;", Period 2")</f>
        <v>Period 2</v>
      </c>
      <c r="B20" s="1362"/>
      <c r="C20" s="1361"/>
      <c r="D20" s="1361"/>
      <c r="E20" s="1361"/>
      <c r="F20" s="1361"/>
      <c r="G20" s="1358"/>
      <c r="H20" s="1358"/>
      <c r="I20" s="1358"/>
      <c r="J20" s="1358"/>
      <c r="K20" s="1358"/>
    </row>
    <row r="21" spans="1:11" ht="30" customHeight="1" x14ac:dyDescent="0.25">
      <c r="A21" s="571" t="s">
        <v>103</v>
      </c>
      <c r="B21" s="1363" t="s">
        <v>608</v>
      </c>
      <c r="C21" s="1363"/>
      <c r="D21" s="583" t="s">
        <v>396</v>
      </c>
      <c r="E21" s="107" t="n">
        <v>13.0</v>
      </c>
      <c r="F21" s="583" t="s">
        <v>397</v>
      </c>
      <c r="G21" s="584" t="s">
        <v>676</v>
      </c>
      <c r="H21" s="583" t="s">
        <v>398</v>
      </c>
      <c r="I21" s="589" t="s">
        <v>677</v>
      </c>
      <c r="J21" s="583" t="s">
        <v>399</v>
      </c>
      <c r="K21" s="590" t="s">
        <v>588</v>
      </c>
    </row>
    <row r="22" spans="1:11" ht="105" customHeight="1" x14ac:dyDescent="0.2">
      <c r="A22" s="577" t="s">
        <v>173</v>
      </c>
      <c r="B22" s="1364"/>
      <c r="C22" s="1365"/>
      <c r="D22" s="1365"/>
      <c r="E22" s="1365"/>
      <c r="F22" s="1365"/>
      <c r="G22" s="1365"/>
      <c r="H22" s="1365"/>
      <c r="I22" s="1365"/>
      <c r="J22" s="1365"/>
      <c r="K22" s="1366"/>
    </row>
    <row r="23" spans="1:11" ht="56.25" customHeight="1" thickBot="1" x14ac:dyDescent="0.25">
      <c r="A23" s="579" t="s">
        <v>174</v>
      </c>
      <c r="B23" s="1367"/>
      <c r="C23" s="1367"/>
      <c r="D23" s="1367"/>
      <c r="E23" s="1367"/>
      <c r="F23" s="1367"/>
      <c r="G23" s="1367"/>
      <c r="H23" s="1367"/>
      <c r="I23" s="1367"/>
      <c r="J23" s="1367"/>
      <c r="K23" s="1368"/>
    </row>
    <row r="24" spans="1:11" ht="30" customHeight="1" x14ac:dyDescent="0.25">
      <c r="A24" s="571" t="s">
        <v>103</v>
      </c>
      <c r="B24" s="1349" t="s">
        <v>610</v>
      </c>
      <c r="C24" s="1349"/>
      <c r="D24" s="572" t="s">
        <v>396</v>
      </c>
      <c r="E24" s="573" t="n">
        <v>15.0</v>
      </c>
      <c r="F24" s="572" t="s">
        <v>397</v>
      </c>
      <c r="G24" s="574" t="s">
        <v>678</v>
      </c>
      <c r="H24" s="572" t="s">
        <v>398</v>
      </c>
      <c r="I24" s="575" t="s">
        <v>679</v>
      </c>
      <c r="J24" s="572" t="s">
        <v>399</v>
      </c>
      <c r="K24" s="576" t="s">
        <v>588</v>
      </c>
    </row>
    <row r="25" spans="1:11" ht="105" customHeight="1" x14ac:dyDescent="0.2">
      <c r="A25" s="577" t="s">
        <v>173</v>
      </c>
      <c r="B25" s="1350"/>
      <c r="C25" s="1350"/>
      <c r="D25" s="1350"/>
      <c r="E25" s="1350"/>
      <c r="F25" s="1350"/>
      <c r="G25" s="1350"/>
      <c r="H25" s="1350"/>
      <c r="I25" s="1350"/>
      <c r="J25" s="1350"/>
      <c r="K25" s="1351"/>
    </row>
    <row r="26" spans="1:11" ht="56.25" customHeight="1" thickBot="1" x14ac:dyDescent="0.25">
      <c r="A26" s="579" t="s">
        <v>174</v>
      </c>
      <c r="B26" s="1352"/>
      <c r="C26" s="1352"/>
      <c r="D26" s="1352"/>
      <c r="E26" s="1352"/>
      <c r="F26" s="1352"/>
      <c r="G26" s="1352"/>
      <c r="H26" s="1352"/>
      <c r="I26" s="1352"/>
      <c r="J26" s="1352"/>
      <c r="K26" s="1353"/>
    </row>
    <row r="27" spans="1:11" ht="30" customHeight="1" x14ac:dyDescent="0.25">
      <c r="A27" s="571" t="s">
        <v>103</v>
      </c>
      <c r="B27" s="1349"/>
      <c r="C27" s="1349"/>
      <c r="D27" s="572" t="s">
        <v>396</v>
      </c>
      <c r="E27" s="573"/>
      <c r="F27" s="572" t="s">
        <v>397</v>
      </c>
      <c r="G27" s="574"/>
      <c r="H27" s="572" t="s">
        <v>398</v>
      </c>
      <c r="I27" s="575"/>
      <c r="J27" s="572" t="s">
        <v>399</v>
      </c>
      <c r="K27" s="576" t="s">
        <v>400</v>
      </c>
    </row>
    <row r="28" spans="1:11" ht="105" customHeight="1" x14ac:dyDescent="0.2">
      <c r="A28" s="577" t="s">
        <v>173</v>
      </c>
      <c r="B28" s="1350"/>
      <c r="C28" s="1350"/>
      <c r="D28" s="1350"/>
      <c r="E28" s="1350"/>
      <c r="F28" s="1350"/>
      <c r="G28" s="1350"/>
      <c r="H28" s="1350"/>
      <c r="I28" s="1350"/>
      <c r="J28" s="1350"/>
      <c r="K28" s="1351"/>
    </row>
    <row r="29" spans="1:11" ht="56.25" customHeight="1" thickBot="1" x14ac:dyDescent="0.25">
      <c r="A29" s="579" t="s">
        <v>174</v>
      </c>
      <c r="B29" s="1352"/>
      <c r="C29" s="1352"/>
      <c r="D29" s="1352"/>
      <c r="E29" s="1352"/>
      <c r="F29" s="1352"/>
      <c r="G29" s="1352"/>
      <c r="H29" s="1352"/>
      <c r="I29" s="1352"/>
      <c r="J29" s="1352"/>
      <c r="K29" s="1353"/>
    </row>
    <row r="30" spans="1:11" ht="30" customHeight="1" x14ac:dyDescent="0.25">
      <c r="A30" s="571" t="s">
        <v>103</v>
      </c>
      <c r="B30" s="1349"/>
      <c r="C30" s="1349"/>
      <c r="D30" s="572" t="s">
        <v>396</v>
      </c>
      <c r="E30" s="573"/>
      <c r="F30" s="572" t="s">
        <v>397</v>
      </c>
      <c r="G30" s="574"/>
      <c r="H30" s="572" t="s">
        <v>398</v>
      </c>
      <c r="I30" s="575"/>
      <c r="J30" s="572" t="s">
        <v>399</v>
      </c>
      <c r="K30" s="576" t="s">
        <v>400</v>
      </c>
    </row>
    <row r="31" spans="1:11" ht="105" customHeight="1" x14ac:dyDescent="0.2">
      <c r="A31" s="577" t="s">
        <v>173</v>
      </c>
      <c r="B31" s="1350"/>
      <c r="C31" s="1350"/>
      <c r="D31" s="1350"/>
      <c r="E31" s="1350"/>
      <c r="F31" s="1350"/>
      <c r="G31" s="1350"/>
      <c r="H31" s="1350"/>
      <c r="I31" s="1350"/>
      <c r="J31" s="1350"/>
      <c r="K31" s="1351"/>
    </row>
    <row r="32" spans="1:11" ht="56.25" customHeight="1" thickBot="1" x14ac:dyDescent="0.25">
      <c r="A32" s="579" t="s">
        <v>174</v>
      </c>
      <c r="B32" s="1352"/>
      <c r="C32" s="1352"/>
      <c r="D32" s="1352"/>
      <c r="E32" s="1352"/>
      <c r="F32" s="1352"/>
      <c r="G32" s="1352"/>
      <c r="H32" s="1354"/>
      <c r="I32" s="1354"/>
      <c r="J32" s="1354"/>
      <c r="K32" s="1355"/>
    </row>
    <row r="33" spans="1:11" ht="7.5" customHeight="1" x14ac:dyDescent="0.2">
      <c r="A33" s="580"/>
      <c r="B33" s="581"/>
      <c r="C33" s="581"/>
      <c r="D33" s="581"/>
      <c r="E33" s="581"/>
      <c r="F33" s="582"/>
      <c r="G33" s="582"/>
      <c r="H33" s="1343" t="s">
        <v>401</v>
      </c>
      <c r="I33" s="1344"/>
      <c r="J33" s="1344" t="s">
        <v>681</v>
      </c>
      <c r="K33" s="1347"/>
    </row>
    <row r="34" spans="1:11" ht="19.5" customHeight="1" thickBot="1" x14ac:dyDescent="0.25">
      <c r="B34" s="581"/>
      <c r="C34" s="581"/>
      <c r="D34" s="581"/>
      <c r="E34" s="581"/>
      <c r="F34" s="582"/>
      <c r="G34" s="582"/>
      <c r="H34" s="1345"/>
      <c r="I34" s="1346"/>
      <c r="J34" s="1346"/>
      <c r="K34" s="1348"/>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rintOptions horizontalCentered="1"/>
  <pageMargins left="0.75" right="0.75" top="1.23" bottom="0.5" header="0.75" footer="0.5"/>
  <pageSetup scale="79" fitToHeight="0" orientation="portrait" horizontalDpi="300" verticalDpi="300" r:id="rId1"/>
  <headerFooter>
    <oddHeader><![CDATA[&L&"Calibri,Regular"&36&K000000&G&34&A&R&"Calibri,Regular"&K000000
‘&A’ revision 2404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74" t="str">
        <f>Score!$A$1</f>
        <v>Home Team</v>
      </c>
      <c r="B1" s="1374"/>
      <c r="C1" s="1374"/>
      <c r="D1" s="1374"/>
      <c r="E1" s="1374"/>
      <c r="F1" s="1374"/>
      <c r="G1" s="1374"/>
      <c r="H1" s="1377" t="str">
        <f>IF(ISBLANK(IGRF!$B$12), "", IGRF!$B$12)</f>
        <v/>
      </c>
      <c r="I1" s="1377"/>
      <c r="J1" s="1382" t="str">
        <f>IF(ISBLANK(IGRF!$B$7), "", IGRF!$B$7)</f>
        <v/>
      </c>
      <c r="K1" s="1382"/>
      <c r="L1" s="1372"/>
      <c r="M1" s="1372"/>
      <c r="N1" s="1372"/>
      <c r="O1" s="1372"/>
      <c r="P1" s="1372"/>
      <c r="Q1" s="1372"/>
      <c r="R1" s="1374" t="str">
        <f>Score!$T$1</f>
        <v>Away Team</v>
      </c>
      <c r="S1" s="1374"/>
      <c r="T1" s="1374"/>
      <c r="U1" s="1374"/>
      <c r="V1" s="1374"/>
      <c r="W1" s="1374"/>
      <c r="X1" s="1374"/>
      <c r="Y1" s="1377" t="str">
        <f>IF(ISBLANK(IGRF!$I$12), "", IGRF!$I$12)</f>
        <v/>
      </c>
      <c r="Z1" s="1377"/>
      <c r="AA1" s="1382" t="str">
        <f>IF(ISBLANK(IGRF!$B$7), "", IGRF!$B$7)</f>
        <v/>
      </c>
      <c r="AB1" s="1382"/>
      <c r="AC1" s="1372"/>
      <c r="AD1" s="1372"/>
      <c r="AE1" s="1372"/>
      <c r="AF1" s="1372"/>
      <c r="AG1" s="1372"/>
      <c r="AH1" s="1372"/>
    </row>
    <row r="2" spans="1:34" ht="11.25" customHeight="1" thickBot="1" x14ac:dyDescent="0.25">
      <c r="A2" s="1375"/>
      <c r="B2" s="1375"/>
      <c r="C2" s="1376"/>
      <c r="D2" s="1375"/>
      <c r="E2" s="1375"/>
      <c r="F2" s="1375"/>
      <c r="G2" s="1375"/>
      <c r="H2" s="1381" t="s">
        <v>187</v>
      </c>
      <c r="I2" s="1381"/>
      <c r="J2" s="1383" t="s">
        <v>190</v>
      </c>
      <c r="K2" s="1383"/>
      <c r="L2" s="1373" t="s">
        <v>184</v>
      </c>
      <c r="M2" s="1373"/>
      <c r="N2" s="1373"/>
      <c r="O2" s="1373"/>
      <c r="P2" s="1373"/>
      <c r="Q2" s="147" t="str">
        <f>IF(ISBLANK(IGRF!$L$3), "", "GAME " &amp; IGRF!$L$3)</f>
        <v/>
      </c>
      <c r="R2" s="1375"/>
      <c r="S2" s="1375"/>
      <c r="T2" s="1376"/>
      <c r="U2" s="1375"/>
      <c r="V2" s="1375"/>
      <c r="W2" s="1375"/>
      <c r="X2" s="1375"/>
      <c r="Y2" s="1381" t="s">
        <v>187</v>
      </c>
      <c r="Z2" s="1381"/>
      <c r="AA2" s="1383" t="s">
        <v>190</v>
      </c>
      <c r="AB2" s="1383"/>
      <c r="AC2" s="1373" t="s">
        <v>184</v>
      </c>
      <c r="AD2" s="1373"/>
      <c r="AE2" s="1373"/>
      <c r="AF2" s="1373"/>
      <c r="AG2" s="1373"/>
      <c r="AH2" s="147" t="str">
        <f>Q2</f>
        <v/>
      </c>
    </row>
    <row r="3" spans="1:34" s="24" customFormat="1" ht="25.5" customHeight="1" thickBot="1" x14ac:dyDescent="0.25">
      <c r="A3" s="523" t="s">
        <v>171</v>
      </c>
      <c r="B3" s="59" t="s">
        <v>4</v>
      </c>
      <c r="C3" s="507" t="s">
        <v>317</v>
      </c>
      <c r="D3" s="59" t="s">
        <v>55</v>
      </c>
      <c r="E3" s="59" t="s">
        <v>142</v>
      </c>
      <c r="F3" s="59" t="s">
        <v>0</v>
      </c>
      <c r="G3" s="59" t="s">
        <v>1</v>
      </c>
      <c r="H3" s="59" t="s">
        <v>2</v>
      </c>
      <c r="I3" s="59" t="s">
        <v>3</v>
      </c>
      <c r="J3" s="1369" t="s">
        <v>464</v>
      </c>
      <c r="K3" s="1369"/>
      <c r="L3" s="1370"/>
      <c r="M3" s="60"/>
      <c r="N3" s="1371" t="s">
        <v>4</v>
      </c>
      <c r="O3" s="1371"/>
      <c r="Q3" s="61" t="s">
        <v>305</v>
      </c>
      <c r="R3" s="58" t="s">
        <v>171</v>
      </c>
      <c r="S3" s="297" t="s">
        <v>4</v>
      </c>
      <c r="T3" s="507" t="s">
        <v>317</v>
      </c>
      <c r="U3" s="297" t="s">
        <v>55</v>
      </c>
      <c r="V3" s="297" t="s">
        <v>142</v>
      </c>
      <c r="W3" s="297" t="s">
        <v>0</v>
      </c>
      <c r="X3" s="297" t="s">
        <v>1</v>
      </c>
      <c r="Y3" s="297" t="s">
        <v>2</v>
      </c>
      <c r="Z3" s="297" t="s">
        <v>3</v>
      </c>
      <c r="AA3" s="1369" t="s">
        <v>464</v>
      </c>
      <c r="AB3" s="1369"/>
      <c r="AC3" s="1370"/>
      <c r="AD3" s="60"/>
      <c r="AE3" s="1371" t="s">
        <v>4</v>
      </c>
      <c r="AF3" s="1371"/>
      <c r="AH3" s="61" t="str">
        <f>Q3</f>
        <v>Total Penalties</v>
      </c>
    </row>
    <row r="4" spans="1:34" ht="24" customHeight="1" x14ac:dyDescent="0.35">
      <c r="A4" s="62"/>
      <c r="B4" s="63"/>
      <c r="C4" s="63"/>
      <c r="D4" s="50"/>
      <c r="E4" s="619"/>
      <c r="F4" s="50"/>
      <c r="G4" s="63"/>
      <c r="H4" s="63"/>
      <c r="I4" s="63"/>
      <c r="J4" s="50"/>
      <c r="K4" s="50"/>
      <c r="L4" s="64"/>
      <c r="M4" s="65"/>
      <c r="N4" s="66">
        <v>1</v>
      </c>
      <c r="O4" s="66">
        <f t="shared" ref="O4:O28" si="0">N4</f>
        <v>1</v>
      </c>
      <c r="Q4" s="738" t="str">
        <f>IF(IGRF!B14="","",IGRF!B14)</f>
        <v/>
      </c>
      <c r="R4" s="62"/>
      <c r="S4" s="63"/>
      <c r="T4" s="63"/>
      <c r="U4" s="50"/>
      <c r="V4" s="619"/>
      <c r="W4" s="50"/>
      <c r="X4" s="63"/>
      <c r="Y4" s="63"/>
      <c r="Z4" s="63"/>
      <c r="AA4" s="50"/>
      <c r="AB4" s="50"/>
      <c r="AC4" s="64"/>
      <c r="AD4" s="65"/>
      <c r="AE4" s="296">
        <v>1</v>
      </c>
      <c r="AF4" s="296">
        <f t="shared" ref="AF4:AF28" si="1">AE4</f>
        <v>1</v>
      </c>
      <c r="AH4" s="738" t="str">
        <f>IF(IGRF!I14="","",IGRF!I14)</f>
        <v/>
      </c>
    </row>
    <row r="5" spans="1:34" ht="24" customHeight="1" x14ac:dyDescent="0.35">
      <c r="A5" s="67"/>
      <c r="B5" s="68"/>
      <c r="C5" s="68"/>
      <c r="D5" s="32"/>
      <c r="E5" s="620"/>
      <c r="F5" s="32"/>
      <c r="G5" s="68"/>
      <c r="H5" s="68"/>
      <c r="I5" s="68"/>
      <c r="J5" s="32"/>
      <c r="K5" s="32"/>
      <c r="L5" s="69"/>
      <c r="M5" s="65"/>
      <c r="N5" s="66">
        <f t="shared" ref="N5:N28" si="2">N4+1</f>
        <v>2</v>
      </c>
      <c r="O5" s="66">
        <f t="shared" si="0"/>
        <v>2</v>
      </c>
      <c r="Q5" s="739"/>
      <c r="R5" s="67"/>
      <c r="S5" s="68"/>
      <c r="T5" s="68"/>
      <c r="U5" s="32"/>
      <c r="V5" s="620"/>
      <c r="W5" s="32"/>
      <c r="X5" s="68"/>
      <c r="Y5" s="68"/>
      <c r="Z5" s="68"/>
      <c r="AA5" s="32"/>
      <c r="AB5" s="32"/>
      <c r="AC5" s="69"/>
      <c r="AD5" s="65"/>
      <c r="AE5" s="296">
        <f t="shared" ref="AE5:AE28" si="3">AE4+1</f>
        <v>2</v>
      </c>
      <c r="AF5" s="296">
        <f t="shared" si="1"/>
        <v>2</v>
      </c>
      <c r="AH5" s="739"/>
    </row>
    <row r="6" spans="1:34" ht="24" customHeight="1" x14ac:dyDescent="0.35">
      <c r="A6" s="62"/>
      <c r="B6" s="63"/>
      <c r="C6" s="63"/>
      <c r="D6" s="50"/>
      <c r="E6" s="619"/>
      <c r="F6" s="50"/>
      <c r="G6" s="63"/>
      <c r="H6" s="63"/>
      <c r="I6" s="63"/>
      <c r="J6" s="50"/>
      <c r="K6" s="50"/>
      <c r="L6" s="64"/>
      <c r="M6" s="65"/>
      <c r="N6" s="66">
        <f t="shared" si="2"/>
        <v>3</v>
      </c>
      <c r="O6" s="66">
        <f t="shared" si="0"/>
        <v>3</v>
      </c>
      <c r="Q6" s="738" t="str">
        <f>IF(IGRF!B15="","",IGRF!B15)</f>
        <v/>
      </c>
      <c r="R6" s="62"/>
      <c r="S6" s="63"/>
      <c r="T6" s="63"/>
      <c r="U6" s="50"/>
      <c r="V6" s="619"/>
      <c r="W6" s="50"/>
      <c r="X6" s="63"/>
      <c r="Y6" s="63"/>
      <c r="Z6" s="63"/>
      <c r="AA6" s="50"/>
      <c r="AB6" s="50"/>
      <c r="AC6" s="64"/>
      <c r="AD6" s="65"/>
      <c r="AE6" s="296">
        <f t="shared" si="3"/>
        <v>3</v>
      </c>
      <c r="AF6" s="296">
        <f t="shared" si="1"/>
        <v>3</v>
      </c>
      <c r="AH6" s="738" t="str">
        <f>IF(IGRF!I15="","",IGRF!I15)</f>
        <v/>
      </c>
    </row>
    <row r="7" spans="1:34" ht="24" customHeight="1" x14ac:dyDescent="0.35">
      <c r="A7" s="67"/>
      <c r="B7" s="68"/>
      <c r="C7" s="68"/>
      <c r="D7" s="32"/>
      <c r="E7" s="620"/>
      <c r="F7" s="32"/>
      <c r="G7" s="68"/>
      <c r="H7" s="68"/>
      <c r="I7" s="68"/>
      <c r="J7" s="32"/>
      <c r="K7" s="32"/>
      <c r="L7" s="69"/>
      <c r="M7" s="65"/>
      <c r="N7" s="66">
        <f t="shared" si="2"/>
        <v>4</v>
      </c>
      <c r="O7" s="66">
        <f t="shared" si="0"/>
        <v>4</v>
      </c>
      <c r="Q7" s="739"/>
      <c r="R7" s="67"/>
      <c r="S7" s="68"/>
      <c r="T7" s="68"/>
      <c r="U7" s="32"/>
      <c r="V7" s="620"/>
      <c r="W7" s="32"/>
      <c r="X7" s="68"/>
      <c r="Y7" s="68"/>
      <c r="Z7" s="68"/>
      <c r="AA7" s="32"/>
      <c r="AB7" s="32"/>
      <c r="AC7" s="69"/>
      <c r="AD7" s="65"/>
      <c r="AE7" s="296">
        <f t="shared" si="3"/>
        <v>4</v>
      </c>
      <c r="AF7" s="296">
        <f t="shared" si="1"/>
        <v>4</v>
      </c>
      <c r="AH7" s="739"/>
    </row>
    <row r="8" spans="1:34" ht="24" customHeight="1" x14ac:dyDescent="0.35">
      <c r="A8" s="62"/>
      <c r="B8" s="63"/>
      <c r="C8" s="63"/>
      <c r="D8" s="50"/>
      <c r="E8" s="619"/>
      <c r="F8" s="50"/>
      <c r="G8" s="63"/>
      <c r="H8" s="63"/>
      <c r="I8" s="63"/>
      <c r="J8" s="50"/>
      <c r="K8" s="50"/>
      <c r="L8" s="64"/>
      <c r="M8" s="65"/>
      <c r="N8" s="66">
        <f t="shared" si="2"/>
        <v>5</v>
      </c>
      <c r="O8" s="66">
        <f t="shared" si="0"/>
        <v>5</v>
      </c>
      <c r="Q8" s="738" t="str">
        <f>IF(IGRF!B16="","",IGRF!B16)</f>
        <v/>
      </c>
      <c r="R8" s="62"/>
      <c r="S8" s="63"/>
      <c r="T8" s="63"/>
      <c r="U8" s="50"/>
      <c r="V8" s="619"/>
      <c r="W8" s="50"/>
      <c r="X8" s="63"/>
      <c r="Y8" s="63"/>
      <c r="Z8" s="63"/>
      <c r="AA8" s="50"/>
      <c r="AB8" s="50"/>
      <c r="AC8" s="64"/>
      <c r="AD8" s="65"/>
      <c r="AE8" s="296">
        <f t="shared" si="3"/>
        <v>5</v>
      </c>
      <c r="AF8" s="296">
        <f t="shared" si="1"/>
        <v>5</v>
      </c>
      <c r="AH8" s="738" t="str">
        <f>IF(IGRF!I16="","",IGRF!I16)</f>
        <v/>
      </c>
    </row>
    <row r="9" spans="1:34" ht="24" customHeight="1" x14ac:dyDescent="0.35">
      <c r="A9" s="67"/>
      <c r="B9" s="68"/>
      <c r="C9" s="68"/>
      <c r="D9" s="32"/>
      <c r="E9" s="620"/>
      <c r="F9" s="32"/>
      <c r="G9" s="68"/>
      <c r="H9" s="68"/>
      <c r="I9" s="68"/>
      <c r="J9" s="32"/>
      <c r="K9" s="32"/>
      <c r="L9" s="69"/>
      <c r="M9" s="65"/>
      <c r="N9" s="66">
        <f t="shared" si="2"/>
        <v>6</v>
      </c>
      <c r="O9" s="66">
        <f t="shared" si="0"/>
        <v>6</v>
      </c>
      <c r="Q9" s="739"/>
      <c r="R9" s="67"/>
      <c r="S9" s="68"/>
      <c r="T9" s="68"/>
      <c r="U9" s="32"/>
      <c r="V9" s="620"/>
      <c r="W9" s="32"/>
      <c r="X9" s="68"/>
      <c r="Y9" s="68"/>
      <c r="Z9" s="68"/>
      <c r="AA9" s="32"/>
      <c r="AB9" s="32"/>
      <c r="AC9" s="69"/>
      <c r="AD9" s="65"/>
      <c r="AE9" s="296">
        <f t="shared" si="3"/>
        <v>6</v>
      </c>
      <c r="AF9" s="296">
        <f t="shared" si="1"/>
        <v>6</v>
      </c>
      <c r="AH9" s="739"/>
    </row>
    <row r="10" spans="1:34" ht="24" customHeight="1" x14ac:dyDescent="0.35">
      <c r="A10" s="62"/>
      <c r="B10" s="63"/>
      <c r="C10" s="63"/>
      <c r="D10" s="50"/>
      <c r="E10" s="619"/>
      <c r="F10" s="50"/>
      <c r="G10" s="63"/>
      <c r="H10" s="63"/>
      <c r="I10" s="63"/>
      <c r="J10" s="50"/>
      <c r="K10" s="50"/>
      <c r="L10" s="64"/>
      <c r="M10" s="65"/>
      <c r="N10" s="66">
        <f t="shared" si="2"/>
        <v>7</v>
      </c>
      <c r="O10" s="66">
        <f t="shared" si="0"/>
        <v>7</v>
      </c>
      <c r="Q10" s="738" t="str">
        <f>IF(IGRF!B17="","",IGRF!B17)</f>
        <v/>
      </c>
      <c r="R10" s="62"/>
      <c r="S10" s="63"/>
      <c r="T10" s="63"/>
      <c r="U10" s="50"/>
      <c r="V10" s="619"/>
      <c r="W10" s="50"/>
      <c r="X10" s="63"/>
      <c r="Y10" s="63"/>
      <c r="Z10" s="63"/>
      <c r="AA10" s="50"/>
      <c r="AB10" s="50"/>
      <c r="AC10" s="64"/>
      <c r="AD10" s="65"/>
      <c r="AE10" s="296">
        <f t="shared" si="3"/>
        <v>7</v>
      </c>
      <c r="AF10" s="296">
        <f t="shared" si="1"/>
        <v>7</v>
      </c>
      <c r="AH10" s="738" t="str">
        <f>IF(IGRF!I17="","",IGRF!I17)</f>
        <v/>
      </c>
    </row>
    <row r="11" spans="1:34" ht="24" customHeight="1" x14ac:dyDescent="0.35">
      <c r="A11" s="67"/>
      <c r="B11" s="68"/>
      <c r="C11" s="68"/>
      <c r="D11" s="32"/>
      <c r="E11" s="620"/>
      <c r="F11" s="32"/>
      <c r="G11" s="68"/>
      <c r="H11" s="68"/>
      <c r="I11" s="68"/>
      <c r="J11" s="32"/>
      <c r="K11" s="32"/>
      <c r="L11" s="69"/>
      <c r="M11" s="65"/>
      <c r="N11" s="66">
        <f t="shared" si="2"/>
        <v>8</v>
      </c>
      <c r="O11" s="66">
        <f t="shared" si="0"/>
        <v>8</v>
      </c>
      <c r="Q11" s="739"/>
      <c r="R11" s="67"/>
      <c r="S11" s="68"/>
      <c r="T11" s="68"/>
      <c r="U11" s="32"/>
      <c r="V11" s="620"/>
      <c r="W11" s="32"/>
      <c r="X11" s="68"/>
      <c r="Y11" s="68"/>
      <c r="Z11" s="68"/>
      <c r="AA11" s="32"/>
      <c r="AB11" s="32"/>
      <c r="AC11" s="69"/>
      <c r="AD11" s="65"/>
      <c r="AE11" s="296">
        <f t="shared" si="3"/>
        <v>8</v>
      </c>
      <c r="AF11" s="296">
        <f t="shared" si="1"/>
        <v>8</v>
      </c>
      <c r="AH11" s="739"/>
    </row>
    <row r="12" spans="1:34" ht="24" customHeight="1" x14ac:dyDescent="0.35">
      <c r="A12" s="62"/>
      <c r="B12" s="63"/>
      <c r="C12" s="63"/>
      <c r="D12" s="50"/>
      <c r="E12" s="619"/>
      <c r="F12" s="50"/>
      <c r="G12" s="63"/>
      <c r="H12" s="63"/>
      <c r="I12" s="63"/>
      <c r="J12" s="50"/>
      <c r="K12" s="50"/>
      <c r="L12" s="64"/>
      <c r="M12" s="65"/>
      <c r="N12" s="66">
        <f t="shared" si="2"/>
        <v>9</v>
      </c>
      <c r="O12" s="66">
        <f t="shared" si="0"/>
        <v>9</v>
      </c>
      <c r="Q12" s="738" t="str">
        <f>IF(IGRF!B18="","",IGRF!B18)</f>
        <v/>
      </c>
      <c r="R12" s="62"/>
      <c r="S12" s="63"/>
      <c r="T12" s="63"/>
      <c r="U12" s="50"/>
      <c r="V12" s="619"/>
      <c r="W12" s="50"/>
      <c r="X12" s="63"/>
      <c r="Y12" s="63"/>
      <c r="Z12" s="63"/>
      <c r="AA12" s="50"/>
      <c r="AB12" s="50"/>
      <c r="AC12" s="64"/>
      <c r="AD12" s="65"/>
      <c r="AE12" s="296">
        <f t="shared" si="3"/>
        <v>9</v>
      </c>
      <c r="AF12" s="296">
        <f t="shared" si="1"/>
        <v>9</v>
      </c>
      <c r="AH12" s="738" t="str">
        <f>IF(IGRF!I18="","",IGRF!I18)</f>
        <v/>
      </c>
    </row>
    <row r="13" spans="1:34" ht="24" customHeight="1" x14ac:dyDescent="0.35">
      <c r="A13" s="67"/>
      <c r="B13" s="68"/>
      <c r="C13" s="68"/>
      <c r="D13" s="32"/>
      <c r="E13" s="620"/>
      <c r="F13" s="32"/>
      <c r="G13" s="68"/>
      <c r="H13" s="68"/>
      <c r="I13" s="68"/>
      <c r="J13" s="32"/>
      <c r="K13" s="32"/>
      <c r="L13" s="69"/>
      <c r="M13" s="65"/>
      <c r="N13" s="66">
        <f t="shared" si="2"/>
        <v>10</v>
      </c>
      <c r="O13" s="66">
        <f t="shared" si="0"/>
        <v>10</v>
      </c>
      <c r="Q13" s="739"/>
      <c r="R13" s="67"/>
      <c r="S13" s="68"/>
      <c r="T13" s="68"/>
      <c r="U13" s="32"/>
      <c r="V13" s="620"/>
      <c r="W13" s="32"/>
      <c r="X13" s="68"/>
      <c r="Y13" s="68"/>
      <c r="Z13" s="68"/>
      <c r="AA13" s="32"/>
      <c r="AB13" s="32"/>
      <c r="AC13" s="69"/>
      <c r="AD13" s="65"/>
      <c r="AE13" s="296">
        <f t="shared" si="3"/>
        <v>10</v>
      </c>
      <c r="AF13" s="296">
        <f t="shared" si="1"/>
        <v>10</v>
      </c>
      <c r="AH13" s="739"/>
    </row>
    <row r="14" spans="1:34" ht="24" customHeight="1" x14ac:dyDescent="0.35">
      <c r="A14" s="62"/>
      <c r="B14" s="63"/>
      <c r="C14" s="63"/>
      <c r="D14" s="50"/>
      <c r="E14" s="619"/>
      <c r="F14" s="50"/>
      <c r="G14" s="63"/>
      <c r="H14" s="63"/>
      <c r="I14" s="63"/>
      <c r="J14" s="50"/>
      <c r="K14" s="50"/>
      <c r="L14" s="64"/>
      <c r="M14" s="65"/>
      <c r="N14" s="66">
        <f t="shared" si="2"/>
        <v>11</v>
      </c>
      <c r="O14" s="66">
        <f t="shared" si="0"/>
        <v>11</v>
      </c>
      <c r="Q14" s="738" t="str">
        <f>IF(IGRF!B19="","",IGRF!B19)</f>
        <v/>
      </c>
      <c r="R14" s="62"/>
      <c r="S14" s="63"/>
      <c r="T14" s="63"/>
      <c r="U14" s="50"/>
      <c r="V14" s="619"/>
      <c r="W14" s="50"/>
      <c r="X14" s="63"/>
      <c r="Y14" s="63"/>
      <c r="Z14" s="63"/>
      <c r="AA14" s="50"/>
      <c r="AB14" s="50"/>
      <c r="AC14" s="64"/>
      <c r="AD14" s="65"/>
      <c r="AE14" s="296">
        <f t="shared" si="3"/>
        <v>11</v>
      </c>
      <c r="AF14" s="296">
        <f t="shared" si="1"/>
        <v>11</v>
      </c>
      <c r="AH14" s="738" t="str">
        <f>IF(IGRF!I19="","",IGRF!I19)</f>
        <v/>
      </c>
    </row>
    <row r="15" spans="1:34" ht="24" customHeight="1" x14ac:dyDescent="0.35">
      <c r="A15" s="67"/>
      <c r="B15" s="68"/>
      <c r="C15" s="68"/>
      <c r="D15" s="32"/>
      <c r="E15" s="620"/>
      <c r="F15" s="32"/>
      <c r="G15" s="68"/>
      <c r="H15" s="68"/>
      <c r="I15" s="68"/>
      <c r="J15" s="32"/>
      <c r="K15" s="32"/>
      <c r="L15" s="69"/>
      <c r="M15" s="65"/>
      <c r="N15" s="66">
        <f t="shared" si="2"/>
        <v>12</v>
      </c>
      <c r="O15" s="66">
        <f t="shared" si="0"/>
        <v>12</v>
      </c>
      <c r="Q15" s="739"/>
      <c r="R15" s="67"/>
      <c r="S15" s="68"/>
      <c r="T15" s="68"/>
      <c r="U15" s="32"/>
      <c r="V15" s="620"/>
      <c r="W15" s="32"/>
      <c r="X15" s="68"/>
      <c r="Y15" s="68"/>
      <c r="Z15" s="68"/>
      <c r="AA15" s="32"/>
      <c r="AB15" s="32"/>
      <c r="AC15" s="69"/>
      <c r="AD15" s="65"/>
      <c r="AE15" s="296">
        <f t="shared" si="3"/>
        <v>12</v>
      </c>
      <c r="AF15" s="296">
        <f t="shared" si="1"/>
        <v>12</v>
      </c>
      <c r="AH15" s="739"/>
    </row>
    <row r="16" spans="1:34" ht="24" customHeight="1" x14ac:dyDescent="0.35">
      <c r="A16" s="62"/>
      <c r="B16" s="63"/>
      <c r="C16" s="63"/>
      <c r="D16" s="50"/>
      <c r="E16" s="619"/>
      <c r="F16" s="50"/>
      <c r="G16" s="63"/>
      <c r="H16" s="63"/>
      <c r="I16" s="63"/>
      <c r="J16" s="50"/>
      <c r="K16" s="50"/>
      <c r="L16" s="64"/>
      <c r="M16" s="65"/>
      <c r="N16" s="66">
        <f t="shared" si="2"/>
        <v>13</v>
      </c>
      <c r="O16" s="66">
        <f t="shared" si="0"/>
        <v>13</v>
      </c>
      <c r="Q16" s="738" t="str">
        <f>IF(IGRF!B20="","",IGRF!B20)</f>
        <v/>
      </c>
      <c r="R16" s="62"/>
      <c r="S16" s="63"/>
      <c r="T16" s="63"/>
      <c r="U16" s="50"/>
      <c r="V16" s="619"/>
      <c r="W16" s="50"/>
      <c r="X16" s="63"/>
      <c r="Y16" s="63"/>
      <c r="Z16" s="63"/>
      <c r="AA16" s="50"/>
      <c r="AB16" s="50"/>
      <c r="AC16" s="64"/>
      <c r="AD16" s="65"/>
      <c r="AE16" s="296">
        <f t="shared" si="3"/>
        <v>13</v>
      </c>
      <c r="AF16" s="296">
        <f t="shared" si="1"/>
        <v>13</v>
      </c>
      <c r="AH16" s="738" t="str">
        <f>IF(IGRF!I20="","",IGRF!I20)</f>
        <v/>
      </c>
    </row>
    <row r="17" spans="1:34" ht="24" customHeight="1" x14ac:dyDescent="0.35">
      <c r="A17" s="67"/>
      <c r="B17" s="68"/>
      <c r="C17" s="68"/>
      <c r="D17" s="32"/>
      <c r="E17" s="620"/>
      <c r="F17" s="32"/>
      <c r="G17" s="68"/>
      <c r="H17" s="68"/>
      <c r="I17" s="68"/>
      <c r="J17" s="32"/>
      <c r="K17" s="32"/>
      <c r="L17" s="69"/>
      <c r="M17" s="65"/>
      <c r="N17" s="66">
        <f t="shared" si="2"/>
        <v>14</v>
      </c>
      <c r="O17" s="66">
        <f t="shared" si="0"/>
        <v>14</v>
      </c>
      <c r="Q17" s="739"/>
      <c r="R17" s="67"/>
      <c r="S17" s="68"/>
      <c r="T17" s="68"/>
      <c r="U17" s="32"/>
      <c r="V17" s="620"/>
      <c r="W17" s="32"/>
      <c r="X17" s="68"/>
      <c r="Y17" s="68"/>
      <c r="Z17" s="68"/>
      <c r="AA17" s="32"/>
      <c r="AB17" s="32"/>
      <c r="AC17" s="69"/>
      <c r="AD17" s="65"/>
      <c r="AE17" s="296">
        <f t="shared" si="3"/>
        <v>14</v>
      </c>
      <c r="AF17" s="296">
        <f t="shared" si="1"/>
        <v>14</v>
      </c>
      <c r="AH17" s="739"/>
    </row>
    <row r="18" spans="1:34" ht="24" customHeight="1" x14ac:dyDescent="0.35">
      <c r="A18" s="62"/>
      <c r="B18" s="63"/>
      <c r="C18" s="63"/>
      <c r="D18" s="50"/>
      <c r="E18" s="619"/>
      <c r="F18" s="50"/>
      <c r="G18" s="63"/>
      <c r="H18" s="63"/>
      <c r="I18" s="63"/>
      <c r="J18" s="50"/>
      <c r="K18" s="50"/>
      <c r="L18" s="64"/>
      <c r="M18" s="65"/>
      <c r="N18" s="66">
        <f t="shared" si="2"/>
        <v>15</v>
      </c>
      <c r="O18" s="66">
        <f t="shared" si="0"/>
        <v>15</v>
      </c>
      <c r="Q18" s="738" t="str">
        <f>IF(IGRF!B21="","",IGRF!B21)</f>
        <v/>
      </c>
      <c r="R18" s="62"/>
      <c r="S18" s="63"/>
      <c r="T18" s="63"/>
      <c r="U18" s="50"/>
      <c r="V18" s="619"/>
      <c r="W18" s="50"/>
      <c r="X18" s="63"/>
      <c r="Y18" s="63"/>
      <c r="Z18" s="63"/>
      <c r="AA18" s="50"/>
      <c r="AB18" s="50"/>
      <c r="AC18" s="64"/>
      <c r="AD18" s="65"/>
      <c r="AE18" s="296">
        <f t="shared" si="3"/>
        <v>15</v>
      </c>
      <c r="AF18" s="296">
        <f t="shared" si="1"/>
        <v>15</v>
      </c>
      <c r="AH18" s="738" t="str">
        <f>IF(IGRF!I21="","",IGRF!I21)</f>
        <v/>
      </c>
    </row>
    <row r="19" spans="1:34" ht="24" customHeight="1" x14ac:dyDescent="0.35">
      <c r="A19" s="67"/>
      <c r="B19" s="68"/>
      <c r="C19" s="68"/>
      <c r="D19" s="32"/>
      <c r="E19" s="620"/>
      <c r="F19" s="32"/>
      <c r="G19" s="68"/>
      <c r="H19" s="68"/>
      <c r="I19" s="68"/>
      <c r="J19" s="32"/>
      <c r="K19" s="32"/>
      <c r="L19" s="69"/>
      <c r="M19" s="65"/>
      <c r="N19" s="66">
        <f t="shared" si="2"/>
        <v>16</v>
      </c>
      <c r="O19" s="66">
        <f t="shared" si="0"/>
        <v>16</v>
      </c>
      <c r="Q19" s="739"/>
      <c r="R19" s="67"/>
      <c r="S19" s="68"/>
      <c r="T19" s="68"/>
      <c r="U19" s="32"/>
      <c r="V19" s="620"/>
      <c r="W19" s="32"/>
      <c r="X19" s="68"/>
      <c r="Y19" s="68"/>
      <c r="Z19" s="68"/>
      <c r="AA19" s="32"/>
      <c r="AB19" s="32"/>
      <c r="AC19" s="69"/>
      <c r="AD19" s="65"/>
      <c r="AE19" s="296">
        <f t="shared" si="3"/>
        <v>16</v>
      </c>
      <c r="AF19" s="296">
        <f t="shared" si="1"/>
        <v>16</v>
      </c>
      <c r="AH19" s="739"/>
    </row>
    <row r="20" spans="1:34" ht="24" customHeight="1" x14ac:dyDescent="0.35">
      <c r="A20" s="62"/>
      <c r="B20" s="63"/>
      <c r="C20" s="63"/>
      <c r="D20" s="50"/>
      <c r="E20" s="619"/>
      <c r="F20" s="50"/>
      <c r="G20" s="63"/>
      <c r="H20" s="63"/>
      <c r="I20" s="63"/>
      <c r="J20" s="50"/>
      <c r="K20" s="50"/>
      <c r="L20" s="64"/>
      <c r="M20" s="65"/>
      <c r="N20" s="66">
        <f t="shared" si="2"/>
        <v>17</v>
      </c>
      <c r="O20" s="66">
        <f t="shared" si="0"/>
        <v>17</v>
      </c>
      <c r="Q20" s="738" t="str">
        <f>IF(IGRF!B22="","",IGRF!B22)</f>
        <v/>
      </c>
      <c r="R20" s="62"/>
      <c r="S20" s="63"/>
      <c r="T20" s="63"/>
      <c r="U20" s="50"/>
      <c r="V20" s="619"/>
      <c r="W20" s="50"/>
      <c r="X20" s="63"/>
      <c r="Y20" s="63"/>
      <c r="Z20" s="63"/>
      <c r="AA20" s="50"/>
      <c r="AB20" s="50"/>
      <c r="AC20" s="64"/>
      <c r="AD20" s="65"/>
      <c r="AE20" s="296">
        <f t="shared" si="3"/>
        <v>17</v>
      </c>
      <c r="AF20" s="296">
        <f t="shared" si="1"/>
        <v>17</v>
      </c>
      <c r="AH20" s="738" t="str">
        <f>IF(IGRF!I22="","",IGRF!I22)</f>
        <v/>
      </c>
    </row>
    <row r="21" spans="1:34" ht="24" customHeight="1" x14ac:dyDescent="0.35">
      <c r="A21" s="67"/>
      <c r="B21" s="68"/>
      <c r="C21" s="68"/>
      <c r="D21" s="32"/>
      <c r="E21" s="620"/>
      <c r="F21" s="32"/>
      <c r="G21" s="68"/>
      <c r="H21" s="68"/>
      <c r="I21" s="68"/>
      <c r="J21" s="32"/>
      <c r="K21" s="32"/>
      <c r="L21" s="69"/>
      <c r="M21" s="65"/>
      <c r="N21" s="66">
        <f t="shared" si="2"/>
        <v>18</v>
      </c>
      <c r="O21" s="66">
        <f t="shared" si="0"/>
        <v>18</v>
      </c>
      <c r="Q21" s="739"/>
      <c r="R21" s="67"/>
      <c r="S21" s="68"/>
      <c r="T21" s="68"/>
      <c r="U21" s="32"/>
      <c r="V21" s="620"/>
      <c r="W21" s="32"/>
      <c r="X21" s="68"/>
      <c r="Y21" s="68"/>
      <c r="Z21" s="68"/>
      <c r="AA21" s="32"/>
      <c r="AB21" s="32"/>
      <c r="AC21" s="69"/>
      <c r="AD21" s="65"/>
      <c r="AE21" s="296">
        <f t="shared" si="3"/>
        <v>18</v>
      </c>
      <c r="AF21" s="296">
        <f t="shared" si="1"/>
        <v>18</v>
      </c>
      <c r="AH21" s="739"/>
    </row>
    <row r="22" spans="1:34" ht="24" customHeight="1" x14ac:dyDescent="0.35">
      <c r="A22" s="62"/>
      <c r="B22" s="63"/>
      <c r="C22" s="63"/>
      <c r="D22" s="50"/>
      <c r="E22" s="619"/>
      <c r="F22" s="50"/>
      <c r="G22" s="63"/>
      <c r="H22" s="63"/>
      <c r="I22" s="63"/>
      <c r="J22" s="50"/>
      <c r="K22" s="50"/>
      <c r="L22" s="64"/>
      <c r="M22" s="65"/>
      <c r="N22" s="66">
        <f t="shared" si="2"/>
        <v>19</v>
      </c>
      <c r="O22" s="66">
        <f t="shared" si="0"/>
        <v>19</v>
      </c>
      <c r="Q22" s="738" t="str">
        <f>IF(IGRF!B23="","",IGRF!B23)</f>
        <v/>
      </c>
      <c r="R22" s="62"/>
      <c r="S22" s="63"/>
      <c r="T22" s="63"/>
      <c r="U22" s="50"/>
      <c r="V22" s="619"/>
      <c r="W22" s="50"/>
      <c r="X22" s="63"/>
      <c r="Y22" s="63"/>
      <c r="Z22" s="63"/>
      <c r="AA22" s="50"/>
      <c r="AB22" s="50"/>
      <c r="AC22" s="64"/>
      <c r="AD22" s="65"/>
      <c r="AE22" s="296">
        <f t="shared" si="3"/>
        <v>19</v>
      </c>
      <c r="AF22" s="296">
        <f t="shared" si="1"/>
        <v>19</v>
      </c>
      <c r="AH22" s="738" t="str">
        <f>IF(IGRF!I23="","",IGRF!I23)</f>
        <v/>
      </c>
    </row>
    <row r="23" spans="1:34" ht="24" customHeight="1" x14ac:dyDescent="0.35">
      <c r="A23" s="67"/>
      <c r="B23" s="68"/>
      <c r="C23" s="68"/>
      <c r="D23" s="32"/>
      <c r="E23" s="620"/>
      <c r="F23" s="32"/>
      <c r="G23" s="68"/>
      <c r="H23" s="68"/>
      <c r="I23" s="68"/>
      <c r="J23" s="32"/>
      <c r="K23" s="32"/>
      <c r="L23" s="69"/>
      <c r="M23" s="65"/>
      <c r="N23" s="66">
        <f t="shared" si="2"/>
        <v>20</v>
      </c>
      <c r="O23" s="66">
        <f t="shared" si="0"/>
        <v>20</v>
      </c>
      <c r="Q23" s="739"/>
      <c r="R23" s="67"/>
      <c r="S23" s="68"/>
      <c r="T23" s="68"/>
      <c r="U23" s="32"/>
      <c r="V23" s="620"/>
      <c r="W23" s="32"/>
      <c r="X23" s="68"/>
      <c r="Y23" s="68"/>
      <c r="Z23" s="68"/>
      <c r="AA23" s="32"/>
      <c r="AB23" s="32"/>
      <c r="AC23" s="69"/>
      <c r="AD23" s="65"/>
      <c r="AE23" s="296">
        <f t="shared" si="3"/>
        <v>20</v>
      </c>
      <c r="AF23" s="296">
        <f t="shared" si="1"/>
        <v>20</v>
      </c>
      <c r="AH23" s="739"/>
    </row>
    <row r="24" spans="1:34" ht="24" customHeight="1" x14ac:dyDescent="0.35">
      <c r="A24" s="62"/>
      <c r="B24" s="63"/>
      <c r="C24" s="63"/>
      <c r="D24" s="50"/>
      <c r="E24" s="619"/>
      <c r="F24" s="50"/>
      <c r="G24" s="63"/>
      <c r="H24" s="63"/>
      <c r="I24" s="63"/>
      <c r="J24" s="50"/>
      <c r="K24" s="50"/>
      <c r="L24" s="64"/>
      <c r="M24" s="65"/>
      <c r="N24" s="66">
        <f t="shared" si="2"/>
        <v>21</v>
      </c>
      <c r="O24" s="66">
        <f t="shared" si="0"/>
        <v>21</v>
      </c>
      <c r="Q24" s="738" t="str">
        <f>IF(IGRF!B24="","",IGRF!B24)</f>
        <v/>
      </c>
      <c r="R24" s="62"/>
      <c r="S24" s="63"/>
      <c r="T24" s="63"/>
      <c r="U24" s="50"/>
      <c r="V24" s="619"/>
      <c r="W24" s="50"/>
      <c r="X24" s="63"/>
      <c r="Y24" s="63"/>
      <c r="Z24" s="63"/>
      <c r="AA24" s="50"/>
      <c r="AB24" s="50"/>
      <c r="AC24" s="64"/>
      <c r="AD24" s="65"/>
      <c r="AE24" s="296">
        <f t="shared" si="3"/>
        <v>21</v>
      </c>
      <c r="AF24" s="296">
        <f t="shared" si="1"/>
        <v>21</v>
      </c>
      <c r="AH24" s="738" t="str">
        <f>IF(IGRF!I24="","",IGRF!I24)</f>
        <v/>
      </c>
    </row>
    <row r="25" spans="1:34" ht="24" customHeight="1" x14ac:dyDescent="0.35">
      <c r="A25" s="67"/>
      <c r="B25" s="68"/>
      <c r="C25" s="68"/>
      <c r="D25" s="32"/>
      <c r="E25" s="620"/>
      <c r="F25" s="32"/>
      <c r="G25" s="68"/>
      <c r="H25" s="68"/>
      <c r="I25" s="68"/>
      <c r="J25" s="32"/>
      <c r="K25" s="32"/>
      <c r="L25" s="69"/>
      <c r="M25" s="65"/>
      <c r="N25" s="66">
        <f t="shared" si="2"/>
        <v>22</v>
      </c>
      <c r="O25" s="66">
        <f t="shared" si="0"/>
        <v>22</v>
      </c>
      <c r="Q25" s="739"/>
      <c r="R25" s="67"/>
      <c r="S25" s="68"/>
      <c r="T25" s="68"/>
      <c r="U25" s="32"/>
      <c r="V25" s="620"/>
      <c r="W25" s="32"/>
      <c r="X25" s="68"/>
      <c r="Y25" s="68"/>
      <c r="Z25" s="68"/>
      <c r="AA25" s="32"/>
      <c r="AB25" s="32"/>
      <c r="AC25" s="69"/>
      <c r="AD25" s="65"/>
      <c r="AE25" s="296">
        <f t="shared" si="3"/>
        <v>22</v>
      </c>
      <c r="AF25" s="296">
        <f t="shared" si="1"/>
        <v>22</v>
      </c>
      <c r="AH25" s="739"/>
    </row>
    <row r="26" spans="1:34" ht="24" customHeight="1" x14ac:dyDescent="0.35">
      <c r="A26" s="62"/>
      <c r="B26" s="63"/>
      <c r="C26" s="63"/>
      <c r="D26" s="50"/>
      <c r="E26" s="619"/>
      <c r="F26" s="50"/>
      <c r="G26" s="63"/>
      <c r="H26" s="63"/>
      <c r="I26" s="63"/>
      <c r="J26" s="50"/>
      <c r="K26" s="50"/>
      <c r="L26" s="64"/>
      <c r="M26" s="65"/>
      <c r="N26" s="66">
        <f t="shared" si="2"/>
        <v>23</v>
      </c>
      <c r="O26" s="66">
        <f t="shared" si="0"/>
        <v>23</v>
      </c>
      <c r="Q26" s="738" t="str">
        <f>IF(IGRF!B25="","",IGRF!B25)</f>
        <v/>
      </c>
      <c r="R26" s="62"/>
      <c r="S26" s="63"/>
      <c r="T26" s="63"/>
      <c r="U26" s="50"/>
      <c r="V26" s="619"/>
      <c r="W26" s="50"/>
      <c r="X26" s="63"/>
      <c r="Y26" s="63"/>
      <c r="Z26" s="63"/>
      <c r="AA26" s="50"/>
      <c r="AB26" s="50"/>
      <c r="AC26" s="64"/>
      <c r="AD26" s="65"/>
      <c r="AE26" s="296">
        <f t="shared" si="3"/>
        <v>23</v>
      </c>
      <c r="AF26" s="296">
        <f t="shared" si="1"/>
        <v>23</v>
      </c>
      <c r="AH26" s="738" t="str">
        <f>IF(IGRF!I25="","",IGRF!I25)</f>
        <v/>
      </c>
    </row>
    <row r="27" spans="1:34" ht="24" customHeight="1" x14ac:dyDescent="0.35">
      <c r="A27" s="67"/>
      <c r="B27" s="68"/>
      <c r="C27" s="68"/>
      <c r="D27" s="32"/>
      <c r="E27" s="620"/>
      <c r="F27" s="32"/>
      <c r="G27" s="68"/>
      <c r="H27" s="68"/>
      <c r="I27" s="68"/>
      <c r="J27" s="32"/>
      <c r="K27" s="32"/>
      <c r="L27" s="69"/>
      <c r="M27" s="65"/>
      <c r="N27" s="66">
        <f t="shared" si="2"/>
        <v>24</v>
      </c>
      <c r="O27" s="66">
        <f t="shared" si="0"/>
        <v>24</v>
      </c>
      <c r="Q27" s="739"/>
      <c r="R27" s="67"/>
      <c r="S27" s="68"/>
      <c r="T27" s="68"/>
      <c r="U27" s="32"/>
      <c r="V27" s="620"/>
      <c r="W27" s="32"/>
      <c r="X27" s="68"/>
      <c r="Y27" s="68"/>
      <c r="Z27" s="68"/>
      <c r="AA27" s="32"/>
      <c r="AB27" s="32"/>
      <c r="AC27" s="69"/>
      <c r="AD27" s="65"/>
      <c r="AE27" s="296">
        <f t="shared" si="3"/>
        <v>24</v>
      </c>
      <c r="AF27" s="296">
        <f t="shared" si="1"/>
        <v>24</v>
      </c>
      <c r="AH27" s="739"/>
    </row>
    <row r="28" spans="1:34" ht="24" customHeight="1" x14ac:dyDescent="0.35">
      <c r="A28" s="62"/>
      <c r="B28" s="63"/>
      <c r="C28" s="63"/>
      <c r="D28" s="50"/>
      <c r="E28" s="619"/>
      <c r="F28" s="50"/>
      <c r="G28" s="63"/>
      <c r="H28" s="63"/>
      <c r="I28" s="63"/>
      <c r="J28" s="50"/>
      <c r="K28" s="50"/>
      <c r="L28" s="64"/>
      <c r="M28" s="65"/>
      <c r="N28" s="66">
        <f t="shared" si="2"/>
        <v>25</v>
      </c>
      <c r="O28" s="66">
        <f t="shared" si="0"/>
        <v>25</v>
      </c>
      <c r="Q28" s="738" t="str">
        <f>IF(IGRF!B26="","",IGRF!B26)</f>
        <v/>
      </c>
      <c r="R28" s="62"/>
      <c r="S28" s="63"/>
      <c r="T28" s="63"/>
      <c r="U28" s="50"/>
      <c r="V28" s="619"/>
      <c r="W28" s="50"/>
      <c r="X28" s="63"/>
      <c r="Y28" s="63"/>
      <c r="Z28" s="63"/>
      <c r="AA28" s="50"/>
      <c r="AB28" s="50"/>
      <c r="AC28" s="64"/>
      <c r="AD28" s="65"/>
      <c r="AE28" s="296">
        <f t="shared" si="3"/>
        <v>25</v>
      </c>
      <c r="AF28" s="296">
        <f t="shared" si="1"/>
        <v>25</v>
      </c>
      <c r="AH28" s="738" t="str">
        <f>IF(IGRF!I26="","",IGRF!I26)</f>
        <v/>
      </c>
    </row>
    <row r="29" spans="1:34" ht="24" customHeight="1" x14ac:dyDescent="0.35">
      <c r="A29" s="67"/>
      <c r="B29" s="68"/>
      <c r="C29" s="68"/>
      <c r="D29" s="32"/>
      <c r="E29" s="620"/>
      <c r="F29" s="32"/>
      <c r="G29" s="68"/>
      <c r="H29" s="68"/>
      <c r="I29" s="68"/>
      <c r="J29" s="32"/>
      <c r="K29" s="32"/>
      <c r="L29" s="69"/>
      <c r="M29" s="65"/>
      <c r="N29" s="66">
        <v>26</v>
      </c>
      <c r="O29" s="66">
        <v>26</v>
      </c>
      <c r="Q29" s="739"/>
      <c r="R29" s="67"/>
      <c r="S29" s="68"/>
      <c r="T29" s="68"/>
      <c r="U29" s="32"/>
      <c r="V29" s="620"/>
      <c r="W29" s="32"/>
      <c r="X29" s="68"/>
      <c r="Y29" s="68"/>
      <c r="Z29" s="68"/>
      <c r="AA29" s="32"/>
      <c r="AB29" s="32"/>
      <c r="AC29" s="69"/>
      <c r="AD29" s="65"/>
      <c r="AE29" s="296">
        <v>26</v>
      </c>
      <c r="AF29" s="296">
        <v>26</v>
      </c>
      <c r="AH29" s="739"/>
    </row>
    <row r="30" spans="1:34" ht="24" customHeight="1" x14ac:dyDescent="0.35">
      <c r="A30" s="62"/>
      <c r="B30" s="63"/>
      <c r="C30" s="63"/>
      <c r="D30" s="50"/>
      <c r="E30" s="619"/>
      <c r="F30" s="50"/>
      <c r="G30" s="63"/>
      <c r="H30" s="63"/>
      <c r="I30" s="63"/>
      <c r="J30" s="50"/>
      <c r="K30" s="50"/>
      <c r="L30" s="64"/>
      <c r="M30" s="65"/>
      <c r="N30" s="66">
        <v>27</v>
      </c>
      <c r="O30" s="66">
        <v>27</v>
      </c>
      <c r="Q30" s="738" t="str">
        <f>IF(IGRF!B27="","",IGRF!B27)</f>
        <v/>
      </c>
      <c r="R30" s="62"/>
      <c r="S30" s="63"/>
      <c r="T30" s="63"/>
      <c r="U30" s="50"/>
      <c r="V30" s="619"/>
      <c r="W30" s="50"/>
      <c r="X30" s="63"/>
      <c r="Y30" s="63"/>
      <c r="Z30" s="63"/>
      <c r="AA30" s="50"/>
      <c r="AB30" s="50"/>
      <c r="AC30" s="64"/>
      <c r="AD30" s="65"/>
      <c r="AE30" s="296">
        <v>27</v>
      </c>
      <c r="AF30" s="296">
        <v>27</v>
      </c>
      <c r="AH30" s="738" t="str">
        <f>IF(IGRF!I27="","",IGRF!I27)</f>
        <v/>
      </c>
    </row>
    <row r="31" spans="1:34" ht="24" customHeight="1" x14ac:dyDescent="0.35">
      <c r="A31" s="67"/>
      <c r="B31" s="68"/>
      <c r="C31" s="68"/>
      <c r="D31" s="32"/>
      <c r="E31" s="620"/>
      <c r="F31" s="32"/>
      <c r="G31" s="68"/>
      <c r="H31" s="68"/>
      <c r="I31" s="68"/>
      <c r="J31" s="32"/>
      <c r="K31" s="32"/>
      <c r="L31" s="69"/>
      <c r="M31" s="65"/>
      <c r="N31" s="66">
        <v>28</v>
      </c>
      <c r="O31" s="66">
        <v>28</v>
      </c>
      <c r="Q31" s="739"/>
      <c r="R31" s="67"/>
      <c r="S31" s="68"/>
      <c r="T31" s="68"/>
      <c r="U31" s="32"/>
      <c r="V31" s="620"/>
      <c r="W31" s="32"/>
      <c r="X31" s="68"/>
      <c r="Y31" s="68"/>
      <c r="Z31" s="68"/>
      <c r="AA31" s="32"/>
      <c r="AB31" s="32"/>
      <c r="AC31" s="69"/>
      <c r="AD31" s="65"/>
      <c r="AE31" s="296">
        <v>28</v>
      </c>
      <c r="AF31" s="296">
        <v>28</v>
      </c>
      <c r="AH31" s="739"/>
    </row>
    <row r="32" spans="1:34" ht="24" customHeight="1" x14ac:dyDescent="0.35">
      <c r="A32" s="62"/>
      <c r="B32" s="63"/>
      <c r="C32" s="63"/>
      <c r="D32" s="50"/>
      <c r="E32" s="619"/>
      <c r="F32" s="50"/>
      <c r="G32" s="63"/>
      <c r="H32" s="63"/>
      <c r="I32" s="63"/>
      <c r="J32" s="50"/>
      <c r="K32" s="50"/>
      <c r="L32" s="64"/>
      <c r="M32" s="65"/>
      <c r="N32" s="66">
        <v>29</v>
      </c>
      <c r="O32" s="66">
        <v>29</v>
      </c>
      <c r="Q32" s="738" t="str">
        <f>IF(IGRF!B28="","",IGRF!B28)</f>
        <v/>
      </c>
      <c r="R32" s="62"/>
      <c r="S32" s="63"/>
      <c r="T32" s="63"/>
      <c r="U32" s="50"/>
      <c r="V32" s="619"/>
      <c r="W32" s="50"/>
      <c r="X32" s="63"/>
      <c r="Y32" s="63"/>
      <c r="Z32" s="63"/>
      <c r="AA32" s="50"/>
      <c r="AB32" s="50"/>
      <c r="AC32" s="64"/>
      <c r="AD32" s="65"/>
      <c r="AE32" s="296">
        <v>29</v>
      </c>
      <c r="AF32" s="296">
        <v>29</v>
      </c>
      <c r="AH32" s="738" t="str">
        <f>IF(IGRF!I28="","",IGRF!I28)</f>
        <v/>
      </c>
    </row>
    <row r="33" spans="1:34" ht="24" customHeight="1" x14ac:dyDescent="0.35">
      <c r="A33" s="67"/>
      <c r="B33" s="68"/>
      <c r="C33" s="68"/>
      <c r="D33" s="32"/>
      <c r="E33" s="620"/>
      <c r="F33" s="32"/>
      <c r="G33" s="68"/>
      <c r="H33" s="68"/>
      <c r="I33" s="68"/>
      <c r="J33" s="32"/>
      <c r="K33" s="32"/>
      <c r="L33" s="69"/>
      <c r="M33" s="65"/>
      <c r="N33" s="66">
        <v>30</v>
      </c>
      <c r="O33" s="66">
        <v>30</v>
      </c>
      <c r="Q33" s="739"/>
      <c r="R33" s="67"/>
      <c r="S33" s="68"/>
      <c r="T33" s="68"/>
      <c r="U33" s="32"/>
      <c r="V33" s="620"/>
      <c r="W33" s="32"/>
      <c r="X33" s="68"/>
      <c r="Y33" s="68"/>
      <c r="Z33" s="68"/>
      <c r="AA33" s="32"/>
      <c r="AB33" s="32"/>
      <c r="AC33" s="69"/>
      <c r="AD33" s="65"/>
      <c r="AE33" s="296">
        <v>30</v>
      </c>
      <c r="AF33" s="296">
        <v>30</v>
      </c>
      <c r="AH33" s="739"/>
    </row>
    <row r="34" spans="1:34" ht="24" customHeight="1" x14ac:dyDescent="0.35">
      <c r="A34" s="62"/>
      <c r="B34" s="63"/>
      <c r="C34" s="63"/>
      <c r="D34" s="50"/>
      <c r="E34" s="619"/>
      <c r="F34" s="50"/>
      <c r="G34" s="63"/>
      <c r="H34" s="63"/>
      <c r="I34" s="63"/>
      <c r="J34" s="50"/>
      <c r="K34" s="50"/>
      <c r="L34" s="64"/>
      <c r="M34" s="65"/>
      <c r="N34" s="66">
        <v>31</v>
      </c>
      <c r="O34" s="66">
        <v>31</v>
      </c>
      <c r="Q34" s="738" t="str">
        <f>IF(IGRF!B29="","",IGRF!B29)</f>
        <v/>
      </c>
      <c r="R34" s="62"/>
      <c r="S34" s="63"/>
      <c r="T34" s="63"/>
      <c r="U34" s="50"/>
      <c r="V34" s="619"/>
      <c r="W34" s="50"/>
      <c r="X34" s="63"/>
      <c r="Y34" s="63"/>
      <c r="Z34" s="63"/>
      <c r="AA34" s="50"/>
      <c r="AB34" s="50"/>
      <c r="AC34" s="64"/>
      <c r="AD34" s="65"/>
      <c r="AE34" s="296">
        <v>31</v>
      </c>
      <c r="AF34" s="296">
        <v>31</v>
      </c>
      <c r="AH34" s="738" t="str">
        <f>IF(IGRF!I29="","",IGRF!I29)</f>
        <v/>
      </c>
    </row>
    <row r="35" spans="1:34" ht="24" customHeight="1" x14ac:dyDescent="0.35">
      <c r="A35" s="67"/>
      <c r="B35" s="68"/>
      <c r="C35" s="68"/>
      <c r="D35" s="32"/>
      <c r="E35" s="620"/>
      <c r="F35" s="32"/>
      <c r="G35" s="68"/>
      <c r="H35" s="68"/>
      <c r="I35" s="68"/>
      <c r="J35" s="32"/>
      <c r="K35" s="32"/>
      <c r="L35" s="69"/>
      <c r="M35" s="65"/>
      <c r="N35" s="66">
        <v>32</v>
      </c>
      <c r="O35" s="66">
        <v>32</v>
      </c>
      <c r="Q35" s="739"/>
      <c r="R35" s="67"/>
      <c r="S35" s="68"/>
      <c r="T35" s="68"/>
      <c r="U35" s="32"/>
      <c r="V35" s="620"/>
      <c r="W35" s="32"/>
      <c r="X35" s="68"/>
      <c r="Y35" s="68"/>
      <c r="Z35" s="68"/>
      <c r="AA35" s="32"/>
      <c r="AB35" s="32"/>
      <c r="AC35" s="69"/>
      <c r="AD35" s="65"/>
      <c r="AE35" s="296">
        <v>32</v>
      </c>
      <c r="AF35" s="296">
        <v>32</v>
      </c>
      <c r="AH35" s="739"/>
    </row>
    <row r="36" spans="1:34" ht="24" customHeight="1" x14ac:dyDescent="0.35">
      <c r="A36" s="62"/>
      <c r="B36" s="63"/>
      <c r="C36" s="63"/>
      <c r="D36" s="50"/>
      <c r="E36" s="619"/>
      <c r="F36" s="50"/>
      <c r="G36" s="63"/>
      <c r="H36" s="63"/>
      <c r="I36" s="63"/>
      <c r="J36" s="50"/>
      <c r="K36" s="50"/>
      <c r="L36" s="64"/>
      <c r="M36" s="65"/>
      <c r="N36" s="66">
        <v>33</v>
      </c>
      <c r="O36" s="66">
        <v>33</v>
      </c>
      <c r="Q36" s="738" t="str">
        <f>IF(IGRF!B30="","",IGRF!B30)</f>
        <v/>
      </c>
      <c r="R36" s="62"/>
      <c r="S36" s="63"/>
      <c r="T36" s="63"/>
      <c r="U36" s="50"/>
      <c r="V36" s="619"/>
      <c r="W36" s="50"/>
      <c r="X36" s="63"/>
      <c r="Y36" s="63"/>
      <c r="Z36" s="63"/>
      <c r="AA36" s="50"/>
      <c r="AB36" s="50"/>
      <c r="AC36" s="64"/>
      <c r="AD36" s="65"/>
      <c r="AE36" s="296">
        <v>33</v>
      </c>
      <c r="AF36" s="296">
        <v>33</v>
      </c>
      <c r="AH36" s="738" t="str">
        <f>IF(IGRF!I30="","",IGRF!I30)</f>
        <v/>
      </c>
    </row>
    <row r="37" spans="1:34" ht="24" customHeight="1" x14ac:dyDescent="0.35">
      <c r="A37" s="67"/>
      <c r="B37" s="68"/>
      <c r="C37" s="68"/>
      <c r="D37" s="32"/>
      <c r="E37" s="620"/>
      <c r="F37" s="32"/>
      <c r="G37" s="68"/>
      <c r="H37" s="68"/>
      <c r="I37" s="68"/>
      <c r="J37" s="32"/>
      <c r="K37" s="32"/>
      <c r="L37" s="69"/>
      <c r="M37" s="65"/>
      <c r="N37" s="66">
        <v>34</v>
      </c>
      <c r="O37" s="66">
        <v>34</v>
      </c>
      <c r="Q37" s="739"/>
      <c r="R37" s="67"/>
      <c r="S37" s="68"/>
      <c r="T37" s="68"/>
      <c r="U37" s="32"/>
      <c r="V37" s="620"/>
      <c r="W37" s="32"/>
      <c r="X37" s="68"/>
      <c r="Y37" s="68"/>
      <c r="Z37" s="68"/>
      <c r="AA37" s="32"/>
      <c r="AB37" s="32"/>
      <c r="AC37" s="69"/>
      <c r="AD37" s="65"/>
      <c r="AE37" s="296">
        <v>34</v>
      </c>
      <c r="AF37" s="296">
        <v>34</v>
      </c>
      <c r="AH37" s="739"/>
    </row>
    <row r="38" spans="1:34" ht="24" customHeight="1" x14ac:dyDescent="0.35">
      <c r="A38" s="62"/>
      <c r="B38" s="63"/>
      <c r="C38" s="63"/>
      <c r="D38" s="50"/>
      <c r="E38" s="619"/>
      <c r="F38" s="50"/>
      <c r="G38" s="63"/>
      <c r="H38" s="63"/>
      <c r="I38" s="63"/>
      <c r="J38" s="50"/>
      <c r="K38" s="50"/>
      <c r="L38" s="64"/>
      <c r="M38" s="65"/>
      <c r="N38" s="66">
        <v>35</v>
      </c>
      <c r="O38" s="66">
        <v>35</v>
      </c>
      <c r="Q38" s="738" t="str">
        <f>IF(IGRF!B31="","",IGRF!B31)</f>
        <v/>
      </c>
      <c r="R38" s="62"/>
      <c r="S38" s="63"/>
      <c r="T38" s="63"/>
      <c r="U38" s="50"/>
      <c r="V38" s="619"/>
      <c r="W38" s="50"/>
      <c r="X38" s="63"/>
      <c r="Y38" s="63"/>
      <c r="Z38" s="63"/>
      <c r="AA38" s="50"/>
      <c r="AB38" s="50"/>
      <c r="AC38" s="64"/>
      <c r="AD38" s="65"/>
      <c r="AE38" s="296">
        <v>35</v>
      </c>
      <c r="AF38" s="296">
        <v>35</v>
      </c>
      <c r="AH38" s="738" t="str">
        <f>IF(IGRF!I31="","",IGRF!I31)</f>
        <v/>
      </c>
    </row>
    <row r="39" spans="1:34" ht="24" customHeight="1" x14ac:dyDescent="0.35">
      <c r="A39" s="67"/>
      <c r="B39" s="68"/>
      <c r="C39" s="68"/>
      <c r="D39" s="32"/>
      <c r="E39" s="620"/>
      <c r="F39" s="32"/>
      <c r="G39" s="68"/>
      <c r="H39" s="68"/>
      <c r="I39" s="68"/>
      <c r="J39" s="32"/>
      <c r="K39" s="32"/>
      <c r="L39" s="69"/>
      <c r="M39" s="65"/>
      <c r="N39" s="66">
        <v>36</v>
      </c>
      <c r="O39" s="66">
        <v>36</v>
      </c>
      <c r="Q39" s="739"/>
      <c r="R39" s="67"/>
      <c r="S39" s="68"/>
      <c r="T39" s="68"/>
      <c r="U39" s="32"/>
      <c r="V39" s="620"/>
      <c r="W39" s="32"/>
      <c r="X39" s="68"/>
      <c r="Y39" s="68"/>
      <c r="Z39" s="68"/>
      <c r="AA39" s="32"/>
      <c r="AB39" s="32"/>
      <c r="AC39" s="69"/>
      <c r="AD39" s="65"/>
      <c r="AE39" s="296">
        <v>36</v>
      </c>
      <c r="AF39" s="296">
        <v>36</v>
      </c>
      <c r="AH39" s="739"/>
    </row>
    <row r="40" spans="1:34" s="70" customFormat="1" ht="24" customHeight="1" x14ac:dyDescent="0.35">
      <c r="A40" s="62"/>
      <c r="B40" s="63"/>
      <c r="C40" s="63"/>
      <c r="D40" s="50"/>
      <c r="E40" s="619"/>
      <c r="F40" s="50"/>
      <c r="G40" s="63"/>
      <c r="H40" s="63"/>
      <c r="I40" s="63"/>
      <c r="J40" s="50"/>
      <c r="K40" s="50"/>
      <c r="L40" s="64"/>
      <c r="M40" s="65"/>
      <c r="N40" s="66">
        <v>37</v>
      </c>
      <c r="O40" s="66">
        <v>37</v>
      </c>
      <c r="Q40" s="738" t="str">
        <f>IF(IGRF!B32="","",IGRF!B32)</f>
        <v/>
      </c>
      <c r="R40" s="62"/>
      <c r="S40" s="63"/>
      <c r="T40" s="63"/>
      <c r="U40" s="50"/>
      <c r="V40" s="619"/>
      <c r="W40" s="50"/>
      <c r="X40" s="63"/>
      <c r="Y40" s="63"/>
      <c r="Z40" s="63"/>
      <c r="AA40" s="50"/>
      <c r="AB40" s="50"/>
      <c r="AC40" s="64"/>
      <c r="AD40" s="65"/>
      <c r="AE40" s="296">
        <v>37</v>
      </c>
      <c r="AF40" s="296">
        <v>37</v>
      </c>
      <c r="AH40" s="738" t="str">
        <f>IF(IGRF!I32="","",IGRF!I32)</f>
        <v/>
      </c>
    </row>
    <row r="41" spans="1:34" s="70" customFormat="1" ht="24" customHeight="1" x14ac:dyDescent="0.35">
      <c r="A41" s="67"/>
      <c r="B41" s="68"/>
      <c r="C41" s="68"/>
      <c r="D41" s="32"/>
      <c r="E41" s="620"/>
      <c r="F41" s="32"/>
      <c r="G41" s="68"/>
      <c r="H41" s="68"/>
      <c r="I41" s="68"/>
      <c r="J41" s="32"/>
      <c r="K41" s="32"/>
      <c r="L41" s="69"/>
      <c r="M41" s="65"/>
      <c r="N41" s="66">
        <v>38</v>
      </c>
      <c r="O41" s="66">
        <v>38</v>
      </c>
      <c r="Q41" s="739"/>
      <c r="R41" s="67"/>
      <c r="S41" s="68"/>
      <c r="T41" s="68"/>
      <c r="U41" s="32"/>
      <c r="V41" s="620"/>
      <c r="W41" s="32"/>
      <c r="X41" s="68"/>
      <c r="Y41" s="68"/>
      <c r="Z41" s="68"/>
      <c r="AA41" s="32"/>
      <c r="AB41" s="32"/>
      <c r="AC41" s="69"/>
      <c r="AD41" s="65"/>
      <c r="AE41" s="296">
        <v>38</v>
      </c>
      <c r="AF41" s="296">
        <v>38</v>
      </c>
      <c r="AH41" s="739"/>
    </row>
    <row r="42" spans="1:34" s="70" customFormat="1" ht="24" customHeight="1" x14ac:dyDescent="0.35">
      <c r="A42" s="62"/>
      <c r="B42" s="63"/>
      <c r="C42" s="63"/>
      <c r="D42" s="50"/>
      <c r="E42" s="619"/>
      <c r="F42" s="50"/>
      <c r="G42" s="63"/>
      <c r="H42" s="63"/>
      <c r="I42" s="63"/>
      <c r="J42" s="50"/>
      <c r="K42" s="50"/>
      <c r="L42" s="64"/>
      <c r="M42" s="65"/>
      <c r="N42" s="60"/>
      <c r="O42" s="60"/>
      <c r="Q42" s="738" t="str">
        <f>IF(IGRF!B33="","",IGRF!B33)</f>
        <v/>
      </c>
      <c r="R42" s="62"/>
      <c r="S42" s="63"/>
      <c r="T42" s="63"/>
      <c r="U42" s="50"/>
      <c r="V42" s="619"/>
      <c r="W42" s="50"/>
      <c r="X42" s="63"/>
      <c r="Y42" s="63"/>
      <c r="Z42" s="63"/>
      <c r="AA42" s="50"/>
      <c r="AB42" s="50"/>
      <c r="AC42" s="64"/>
      <c r="AD42" s="65"/>
      <c r="AE42" s="60"/>
      <c r="AF42" s="60"/>
      <c r="AH42" s="738" t="str">
        <f>IF(IGRF!I33="","",IGRF!I33)</f>
        <v/>
      </c>
    </row>
    <row r="43" spans="1:34" s="70" customFormat="1" ht="24" customHeight="1" thickBot="1" x14ac:dyDescent="0.4">
      <c r="A43" s="519"/>
      <c r="B43" s="520"/>
      <c r="C43" s="520"/>
      <c r="D43" s="521"/>
      <c r="E43" s="621"/>
      <c r="F43" s="521"/>
      <c r="G43" s="520"/>
      <c r="H43" s="520"/>
      <c r="I43" s="520"/>
      <c r="J43" s="521"/>
      <c r="K43" s="521"/>
      <c r="L43" s="522"/>
      <c r="M43" s="530"/>
      <c r="N43" s="60"/>
      <c r="O43" s="60"/>
      <c r="Q43" s="740"/>
      <c r="R43" s="519"/>
      <c r="S43" s="520"/>
      <c r="T43" s="520"/>
      <c r="U43" s="521"/>
      <c r="V43" s="621"/>
      <c r="W43" s="521"/>
      <c r="X43" s="520"/>
      <c r="Y43" s="520"/>
      <c r="Z43" s="520"/>
      <c r="AA43" s="521"/>
      <c r="AB43" s="521"/>
      <c r="AC43" s="522"/>
      <c r="AD43" s="65"/>
      <c r="AE43" s="60"/>
      <c r="AF43" s="60"/>
      <c r="AH43" s="741"/>
    </row>
    <row r="44" spans="1:34" s="70" customFormat="1" ht="30" customHeight="1" x14ac:dyDescent="0.35">
      <c r="A44" s="1374" t="str">
        <f>A1</f>
        <v>Home Team</v>
      </c>
      <c r="B44" s="1374"/>
      <c r="C44" s="1374"/>
      <c r="D44" s="1374"/>
      <c r="E44" s="1374"/>
      <c r="F44" s="1374"/>
      <c r="G44" s="1374"/>
      <c r="H44" s="1377" t="str">
        <f>H1</f>
        <v/>
      </c>
      <c r="I44" s="1377"/>
      <c r="J44" s="1378" t="str">
        <f>IF(ISBLANK(IGRF!$B$7), "", IGRF!$B$7)</f>
        <v/>
      </c>
      <c r="K44" s="1378"/>
      <c r="L44" s="1372"/>
      <c r="M44" s="1372"/>
      <c r="N44" s="1372"/>
      <c r="O44" s="1372"/>
      <c r="P44" s="1372"/>
      <c r="Q44" s="1372"/>
      <c r="R44" s="1374" t="str">
        <f>R1</f>
        <v>Away Team</v>
      </c>
      <c r="S44" s="1374"/>
      <c r="T44" s="1374"/>
      <c r="U44" s="1374"/>
      <c r="V44" s="1374"/>
      <c r="W44" s="1374"/>
      <c r="X44" s="1374"/>
      <c r="Y44" s="1377" t="str">
        <f>Y1</f>
        <v/>
      </c>
      <c r="Z44" s="1377"/>
      <c r="AA44" s="1382" t="str">
        <f>IF(ISBLANK(IGRF!$B$7), "", IGRF!$B$7)</f>
        <v/>
      </c>
      <c r="AB44" s="1382"/>
      <c r="AC44" s="1372"/>
      <c r="AD44" s="1372"/>
      <c r="AE44" s="1372"/>
      <c r="AF44" s="1372"/>
      <c r="AG44" s="1372"/>
      <c r="AH44" s="1372"/>
    </row>
    <row r="45" spans="1:34" ht="11.25" customHeight="1" thickBot="1" x14ac:dyDescent="0.25">
      <c r="A45" s="1375"/>
      <c r="B45" s="1375"/>
      <c r="C45" s="1376"/>
      <c r="D45" s="1375"/>
      <c r="E45" s="1375"/>
      <c r="F45" s="1375"/>
      <c r="G45" s="1375"/>
      <c r="H45" s="1379" t="s">
        <v>187</v>
      </c>
      <c r="I45" s="1379"/>
      <c r="J45" s="1380" t="s">
        <v>190</v>
      </c>
      <c r="K45" s="1380"/>
      <c r="L45" s="1373" t="s">
        <v>184</v>
      </c>
      <c r="M45" s="1373"/>
      <c r="N45" s="1373"/>
      <c r="O45" s="1373"/>
      <c r="P45" s="1373"/>
      <c r="Q45" s="147" t="str">
        <f>Q2</f>
        <v/>
      </c>
      <c r="R45" s="1375"/>
      <c r="S45" s="1375"/>
      <c r="T45" s="1376"/>
      <c r="U45" s="1375"/>
      <c r="V45" s="1375"/>
      <c r="W45" s="1375"/>
      <c r="X45" s="1375"/>
      <c r="Y45" s="1379" t="s">
        <v>187</v>
      </c>
      <c r="Z45" s="1379"/>
      <c r="AA45" s="1383" t="s">
        <v>190</v>
      </c>
      <c r="AB45" s="1383"/>
      <c r="AC45" s="1373" t="s">
        <v>184</v>
      </c>
      <c r="AD45" s="1373"/>
      <c r="AE45" s="1373"/>
      <c r="AF45" s="1373"/>
      <c r="AG45" s="1373"/>
      <c r="AH45" s="147" t="str">
        <f>Q2</f>
        <v/>
      </c>
    </row>
    <row r="46" spans="1:34" s="24" customFormat="1" ht="25.5" customHeight="1" thickBot="1" x14ac:dyDescent="0.25">
      <c r="A46" s="58" t="s">
        <v>171</v>
      </c>
      <c r="B46" s="59" t="s">
        <v>4</v>
      </c>
      <c r="C46" s="507" t="s">
        <v>317</v>
      </c>
      <c r="D46" s="59" t="s">
        <v>55</v>
      </c>
      <c r="E46" s="59" t="s">
        <v>142</v>
      </c>
      <c r="F46" s="59" t="s">
        <v>0</v>
      </c>
      <c r="G46" s="59" t="s">
        <v>1</v>
      </c>
      <c r="H46" s="59" t="s">
        <v>2</v>
      </c>
      <c r="I46" s="59" t="s">
        <v>3</v>
      </c>
      <c r="J46" s="1369" t="s">
        <v>464</v>
      </c>
      <c r="K46" s="1369"/>
      <c r="L46" s="1370"/>
      <c r="M46" s="60"/>
      <c r="N46" s="1371" t="s">
        <v>4</v>
      </c>
      <c r="O46" s="1371"/>
      <c r="Q46" s="61" t="str">
        <f>Q3</f>
        <v>Total Penalties</v>
      </c>
      <c r="R46" s="58" t="s">
        <v>171</v>
      </c>
      <c r="S46" s="297" t="s">
        <v>4</v>
      </c>
      <c r="T46" s="507" t="s">
        <v>317</v>
      </c>
      <c r="U46" s="297" t="s">
        <v>55</v>
      </c>
      <c r="V46" s="297" t="s">
        <v>142</v>
      </c>
      <c r="W46" s="297" t="s">
        <v>0</v>
      </c>
      <c r="X46" s="297" t="s">
        <v>1</v>
      </c>
      <c r="Y46" s="297" t="s">
        <v>2</v>
      </c>
      <c r="Z46" s="297" t="s">
        <v>3</v>
      </c>
      <c r="AA46" s="1369" t="s">
        <v>464</v>
      </c>
      <c r="AB46" s="1369"/>
      <c r="AC46" s="1370"/>
      <c r="AD46" s="60"/>
      <c r="AE46" s="1371" t="s">
        <v>4</v>
      </c>
      <c r="AF46" s="1371"/>
      <c r="AH46" s="61" t="str">
        <f>AH3</f>
        <v>Total Penalties</v>
      </c>
    </row>
    <row r="47" spans="1:34" ht="24" customHeight="1" x14ac:dyDescent="0.35">
      <c r="A47" s="62"/>
      <c r="B47" s="63"/>
      <c r="C47" s="63"/>
      <c r="D47" s="50"/>
      <c r="E47" s="619"/>
      <c r="F47" s="50"/>
      <c r="G47" s="63"/>
      <c r="H47" s="63"/>
      <c r="I47" s="63"/>
      <c r="J47" s="50"/>
      <c r="K47" s="50"/>
      <c r="L47" s="64"/>
      <c r="M47" s="65"/>
      <c r="N47" s="66">
        <v>1</v>
      </c>
      <c r="O47" s="66">
        <f t="shared" ref="O47:O71" si="4">N47</f>
        <v>1</v>
      </c>
      <c r="Q47" s="738" t="str">
        <f>Q4</f>
        <v/>
      </c>
      <c r="R47" s="62"/>
      <c r="S47" s="63"/>
      <c r="T47" s="63"/>
      <c r="U47" s="50"/>
      <c r="V47" s="619"/>
      <c r="W47" s="50"/>
      <c r="X47" s="63"/>
      <c r="Y47" s="63"/>
      <c r="Z47" s="63"/>
      <c r="AA47" s="50"/>
      <c r="AB47" s="50"/>
      <c r="AC47" s="64"/>
      <c r="AD47" s="65"/>
      <c r="AE47" s="296">
        <v>1</v>
      </c>
      <c r="AF47" s="296">
        <f t="shared" ref="AF47:AF71" si="5">AE47</f>
        <v>1</v>
      </c>
      <c r="AH47" s="738" t="str">
        <f>AH4</f>
        <v/>
      </c>
    </row>
    <row r="48" spans="1:34" ht="24" customHeight="1" x14ac:dyDescent="0.35">
      <c r="A48" s="67"/>
      <c r="B48" s="68"/>
      <c r="C48" s="68"/>
      <c r="D48" s="32"/>
      <c r="E48" s="620"/>
      <c r="F48" s="32"/>
      <c r="G48" s="68"/>
      <c r="H48" s="68"/>
      <c r="I48" s="68"/>
      <c r="J48" s="32"/>
      <c r="K48" s="32"/>
      <c r="L48" s="69"/>
      <c r="M48" s="65"/>
      <c r="N48" s="66">
        <f t="shared" ref="N48:N71" si="6">N47+1</f>
        <v>2</v>
      </c>
      <c r="O48" s="66">
        <f t="shared" si="4"/>
        <v>2</v>
      </c>
      <c r="Q48" s="739"/>
      <c r="R48" s="67"/>
      <c r="S48" s="68"/>
      <c r="T48" s="68"/>
      <c r="U48" s="32"/>
      <c r="V48" s="620"/>
      <c r="W48" s="32"/>
      <c r="X48" s="68"/>
      <c r="Y48" s="68"/>
      <c r="Z48" s="68"/>
      <c r="AA48" s="32"/>
      <c r="AB48" s="32"/>
      <c r="AC48" s="69"/>
      <c r="AD48" s="65"/>
      <c r="AE48" s="296">
        <f t="shared" ref="AE48:AE71" si="7">AE47+1</f>
        <v>2</v>
      </c>
      <c r="AF48" s="296">
        <f t="shared" si="5"/>
        <v>2</v>
      </c>
      <c r="AH48" s="739"/>
    </row>
    <row r="49" spans="1:34" ht="24" customHeight="1" x14ac:dyDescent="0.35">
      <c r="A49" s="62"/>
      <c r="B49" s="63"/>
      <c r="C49" s="63"/>
      <c r="D49" s="50"/>
      <c r="E49" s="619"/>
      <c r="F49" s="50"/>
      <c r="G49" s="63"/>
      <c r="H49" s="63"/>
      <c r="I49" s="63"/>
      <c r="J49" s="50"/>
      <c r="K49" s="50"/>
      <c r="L49" s="64"/>
      <c r="M49" s="65"/>
      <c r="N49" s="66">
        <f t="shared" si="6"/>
        <v>3</v>
      </c>
      <c r="O49" s="66">
        <f t="shared" si="4"/>
        <v>3</v>
      </c>
      <c r="Q49" s="738" t="str">
        <f>Q6</f>
        <v/>
      </c>
      <c r="R49" s="62"/>
      <c r="S49" s="63"/>
      <c r="T49" s="63"/>
      <c r="U49" s="50"/>
      <c r="V49" s="619"/>
      <c r="W49" s="50"/>
      <c r="X49" s="63"/>
      <c r="Y49" s="63"/>
      <c r="Z49" s="63"/>
      <c r="AA49" s="50"/>
      <c r="AB49" s="50"/>
      <c r="AC49" s="64"/>
      <c r="AD49" s="65"/>
      <c r="AE49" s="296">
        <f t="shared" si="7"/>
        <v>3</v>
      </c>
      <c r="AF49" s="296">
        <f t="shared" si="5"/>
        <v>3</v>
      </c>
      <c r="AH49" s="738" t="str">
        <f>AH6</f>
        <v/>
      </c>
    </row>
    <row r="50" spans="1:34" ht="24" customHeight="1" x14ac:dyDescent="0.35">
      <c r="A50" s="67"/>
      <c r="B50" s="68"/>
      <c r="C50" s="68"/>
      <c r="D50" s="32"/>
      <c r="E50" s="620"/>
      <c r="F50" s="32"/>
      <c r="G50" s="68"/>
      <c r="H50" s="68"/>
      <c r="I50" s="68"/>
      <c r="J50" s="32"/>
      <c r="K50" s="32"/>
      <c r="L50" s="69"/>
      <c r="M50" s="65"/>
      <c r="N50" s="66">
        <f t="shared" si="6"/>
        <v>4</v>
      </c>
      <c r="O50" s="66">
        <f t="shared" si="4"/>
        <v>4</v>
      </c>
      <c r="Q50" s="739"/>
      <c r="R50" s="67"/>
      <c r="S50" s="68"/>
      <c r="T50" s="68"/>
      <c r="U50" s="32"/>
      <c r="V50" s="620"/>
      <c r="W50" s="32"/>
      <c r="X50" s="68"/>
      <c r="Y50" s="68"/>
      <c r="Z50" s="68"/>
      <c r="AA50" s="32"/>
      <c r="AB50" s="32"/>
      <c r="AC50" s="69"/>
      <c r="AD50" s="65"/>
      <c r="AE50" s="296">
        <f t="shared" si="7"/>
        <v>4</v>
      </c>
      <c r="AF50" s="296">
        <f t="shared" si="5"/>
        <v>4</v>
      </c>
      <c r="AH50" s="739"/>
    </row>
    <row r="51" spans="1:34" ht="24" customHeight="1" x14ac:dyDescent="0.35">
      <c r="A51" s="62"/>
      <c r="B51" s="63"/>
      <c r="C51" s="63"/>
      <c r="D51" s="50"/>
      <c r="E51" s="619"/>
      <c r="F51" s="50"/>
      <c r="G51" s="63"/>
      <c r="H51" s="63"/>
      <c r="I51" s="63"/>
      <c r="J51" s="50"/>
      <c r="K51" s="50"/>
      <c r="L51" s="64"/>
      <c r="M51" s="65"/>
      <c r="N51" s="66">
        <f t="shared" si="6"/>
        <v>5</v>
      </c>
      <c r="O51" s="66">
        <f t="shared" si="4"/>
        <v>5</v>
      </c>
      <c r="Q51" s="738" t="str">
        <f>Q8</f>
        <v/>
      </c>
      <c r="R51" s="62"/>
      <c r="S51" s="63"/>
      <c r="T51" s="63"/>
      <c r="U51" s="50"/>
      <c r="V51" s="619"/>
      <c r="W51" s="50"/>
      <c r="X51" s="63"/>
      <c r="Y51" s="63"/>
      <c r="Z51" s="63"/>
      <c r="AA51" s="50"/>
      <c r="AB51" s="50"/>
      <c r="AC51" s="64"/>
      <c r="AD51" s="65"/>
      <c r="AE51" s="296">
        <f t="shared" si="7"/>
        <v>5</v>
      </c>
      <c r="AF51" s="296">
        <f t="shared" si="5"/>
        <v>5</v>
      </c>
      <c r="AH51" s="738" t="str">
        <f>AH8</f>
        <v/>
      </c>
    </row>
    <row r="52" spans="1:34" ht="24" customHeight="1" x14ac:dyDescent="0.35">
      <c r="A52" s="67"/>
      <c r="B52" s="68"/>
      <c r="C52" s="68"/>
      <c r="D52" s="32"/>
      <c r="E52" s="620"/>
      <c r="F52" s="32"/>
      <c r="G52" s="68"/>
      <c r="H52" s="68"/>
      <c r="I52" s="68"/>
      <c r="J52" s="32"/>
      <c r="K52" s="32"/>
      <c r="L52" s="69"/>
      <c r="M52" s="65"/>
      <c r="N52" s="66">
        <f t="shared" si="6"/>
        <v>6</v>
      </c>
      <c r="O52" s="66">
        <f t="shared" si="4"/>
        <v>6</v>
      </c>
      <c r="Q52" s="739"/>
      <c r="R52" s="67"/>
      <c r="S52" s="68"/>
      <c r="T52" s="68"/>
      <c r="U52" s="32"/>
      <c r="V52" s="620"/>
      <c r="W52" s="32"/>
      <c r="X52" s="68"/>
      <c r="Y52" s="68"/>
      <c r="Z52" s="68"/>
      <c r="AA52" s="32"/>
      <c r="AB52" s="32"/>
      <c r="AC52" s="69"/>
      <c r="AD52" s="65"/>
      <c r="AE52" s="296">
        <f t="shared" si="7"/>
        <v>6</v>
      </c>
      <c r="AF52" s="296">
        <f t="shared" si="5"/>
        <v>6</v>
      </c>
      <c r="AH52" s="739"/>
    </row>
    <row r="53" spans="1:34" ht="24" customHeight="1" x14ac:dyDescent="0.35">
      <c r="A53" s="62"/>
      <c r="B53" s="63"/>
      <c r="C53" s="63"/>
      <c r="D53" s="50"/>
      <c r="E53" s="619"/>
      <c r="F53" s="50"/>
      <c r="G53" s="63"/>
      <c r="H53" s="63"/>
      <c r="I53" s="63"/>
      <c r="J53" s="50"/>
      <c r="K53" s="50"/>
      <c r="L53" s="64"/>
      <c r="M53" s="65"/>
      <c r="N53" s="66">
        <f t="shared" si="6"/>
        <v>7</v>
      </c>
      <c r="O53" s="66">
        <f t="shared" si="4"/>
        <v>7</v>
      </c>
      <c r="Q53" s="738" t="str">
        <f>Q10</f>
        <v/>
      </c>
      <c r="R53" s="62"/>
      <c r="S53" s="63"/>
      <c r="T53" s="63"/>
      <c r="U53" s="50"/>
      <c r="V53" s="619"/>
      <c r="W53" s="50"/>
      <c r="X53" s="63"/>
      <c r="Y53" s="63"/>
      <c r="Z53" s="63"/>
      <c r="AA53" s="50"/>
      <c r="AB53" s="50"/>
      <c r="AC53" s="64"/>
      <c r="AD53" s="65"/>
      <c r="AE53" s="296">
        <f t="shared" si="7"/>
        <v>7</v>
      </c>
      <c r="AF53" s="296">
        <f t="shared" si="5"/>
        <v>7</v>
      </c>
      <c r="AH53" s="738" t="str">
        <f>AH10</f>
        <v/>
      </c>
    </row>
    <row r="54" spans="1:34" ht="24" customHeight="1" x14ac:dyDescent="0.35">
      <c r="A54" s="67"/>
      <c r="B54" s="68"/>
      <c r="C54" s="68"/>
      <c r="D54" s="32"/>
      <c r="E54" s="620"/>
      <c r="F54" s="32"/>
      <c r="G54" s="68"/>
      <c r="H54" s="68"/>
      <c r="I54" s="68"/>
      <c r="J54" s="32"/>
      <c r="K54" s="32"/>
      <c r="L54" s="69"/>
      <c r="M54" s="65"/>
      <c r="N54" s="66">
        <f t="shared" si="6"/>
        <v>8</v>
      </c>
      <c r="O54" s="66">
        <f t="shared" si="4"/>
        <v>8</v>
      </c>
      <c r="Q54" s="739"/>
      <c r="R54" s="67"/>
      <c r="S54" s="68"/>
      <c r="T54" s="68"/>
      <c r="U54" s="32"/>
      <c r="V54" s="620"/>
      <c r="W54" s="32"/>
      <c r="X54" s="68"/>
      <c r="Y54" s="68"/>
      <c r="Z54" s="68"/>
      <c r="AA54" s="32"/>
      <c r="AB54" s="32"/>
      <c r="AC54" s="69"/>
      <c r="AD54" s="65"/>
      <c r="AE54" s="296">
        <f t="shared" si="7"/>
        <v>8</v>
      </c>
      <c r="AF54" s="296">
        <f t="shared" si="5"/>
        <v>8</v>
      </c>
      <c r="AH54" s="739"/>
    </row>
    <row r="55" spans="1:34" ht="24" customHeight="1" x14ac:dyDescent="0.35">
      <c r="A55" s="62"/>
      <c r="B55" s="63"/>
      <c r="C55" s="63"/>
      <c r="D55" s="50"/>
      <c r="E55" s="619"/>
      <c r="F55" s="50"/>
      <c r="G55" s="63"/>
      <c r="H55" s="63"/>
      <c r="I55" s="63"/>
      <c r="J55" s="50"/>
      <c r="K55" s="50"/>
      <c r="L55" s="64"/>
      <c r="M55" s="65"/>
      <c r="N55" s="66">
        <f t="shared" si="6"/>
        <v>9</v>
      </c>
      <c r="O55" s="66">
        <f t="shared" si="4"/>
        <v>9</v>
      </c>
      <c r="Q55" s="738" t="str">
        <f>Q12</f>
        <v/>
      </c>
      <c r="R55" s="62"/>
      <c r="S55" s="63"/>
      <c r="T55" s="63"/>
      <c r="U55" s="50"/>
      <c r="V55" s="619"/>
      <c r="W55" s="50"/>
      <c r="X55" s="63"/>
      <c r="Y55" s="63"/>
      <c r="Z55" s="63"/>
      <c r="AA55" s="50"/>
      <c r="AB55" s="50"/>
      <c r="AC55" s="64"/>
      <c r="AD55" s="65"/>
      <c r="AE55" s="296">
        <f t="shared" si="7"/>
        <v>9</v>
      </c>
      <c r="AF55" s="296">
        <f t="shared" si="5"/>
        <v>9</v>
      </c>
      <c r="AH55" s="738" t="str">
        <f>AH12</f>
        <v/>
      </c>
    </row>
    <row r="56" spans="1:34" ht="24" customHeight="1" x14ac:dyDescent="0.35">
      <c r="A56" s="67"/>
      <c r="B56" s="68"/>
      <c r="C56" s="68"/>
      <c r="D56" s="32"/>
      <c r="E56" s="620"/>
      <c r="F56" s="32"/>
      <c r="G56" s="68"/>
      <c r="H56" s="68"/>
      <c r="I56" s="68"/>
      <c r="J56" s="32"/>
      <c r="K56" s="32"/>
      <c r="L56" s="69"/>
      <c r="M56" s="65"/>
      <c r="N56" s="66">
        <f t="shared" si="6"/>
        <v>10</v>
      </c>
      <c r="O56" s="66">
        <f t="shared" si="4"/>
        <v>10</v>
      </c>
      <c r="Q56" s="739"/>
      <c r="R56" s="67"/>
      <c r="S56" s="68"/>
      <c r="T56" s="68"/>
      <c r="U56" s="32"/>
      <c r="V56" s="620"/>
      <c r="W56" s="32"/>
      <c r="X56" s="68"/>
      <c r="Y56" s="68"/>
      <c r="Z56" s="68"/>
      <c r="AA56" s="32"/>
      <c r="AB56" s="32"/>
      <c r="AC56" s="69"/>
      <c r="AD56" s="65"/>
      <c r="AE56" s="296">
        <f t="shared" si="7"/>
        <v>10</v>
      </c>
      <c r="AF56" s="296">
        <f t="shared" si="5"/>
        <v>10</v>
      </c>
      <c r="AH56" s="739"/>
    </row>
    <row r="57" spans="1:34" ht="24" customHeight="1" x14ac:dyDescent="0.35">
      <c r="A57" s="62"/>
      <c r="B57" s="63"/>
      <c r="C57" s="63"/>
      <c r="D57" s="50"/>
      <c r="E57" s="619"/>
      <c r="F57" s="50"/>
      <c r="G57" s="63"/>
      <c r="H57" s="63"/>
      <c r="I57" s="63"/>
      <c r="J57" s="50"/>
      <c r="K57" s="50"/>
      <c r="L57" s="64"/>
      <c r="M57" s="65"/>
      <c r="N57" s="66">
        <f t="shared" si="6"/>
        <v>11</v>
      </c>
      <c r="O57" s="66">
        <f t="shared" si="4"/>
        <v>11</v>
      </c>
      <c r="Q57" s="738" t="str">
        <f>Q14</f>
        <v/>
      </c>
      <c r="R57" s="62"/>
      <c r="S57" s="63"/>
      <c r="T57" s="63"/>
      <c r="U57" s="50"/>
      <c r="V57" s="619"/>
      <c r="W57" s="50"/>
      <c r="X57" s="63"/>
      <c r="Y57" s="63"/>
      <c r="Z57" s="63"/>
      <c r="AA57" s="50"/>
      <c r="AB57" s="50"/>
      <c r="AC57" s="64"/>
      <c r="AD57" s="65"/>
      <c r="AE57" s="296">
        <f t="shared" si="7"/>
        <v>11</v>
      </c>
      <c r="AF57" s="296">
        <f t="shared" si="5"/>
        <v>11</v>
      </c>
      <c r="AH57" s="738" t="str">
        <f>AH14</f>
        <v/>
      </c>
    </row>
    <row r="58" spans="1:34" ht="24" customHeight="1" x14ac:dyDescent="0.35">
      <c r="A58" s="67"/>
      <c r="B58" s="68"/>
      <c r="C58" s="68"/>
      <c r="D58" s="32"/>
      <c r="E58" s="620"/>
      <c r="F58" s="32"/>
      <c r="G58" s="68"/>
      <c r="H58" s="68"/>
      <c r="I58" s="68"/>
      <c r="J58" s="32"/>
      <c r="K58" s="32"/>
      <c r="L58" s="69"/>
      <c r="M58" s="65"/>
      <c r="N58" s="66">
        <f t="shared" si="6"/>
        <v>12</v>
      </c>
      <c r="O58" s="66">
        <f t="shared" si="4"/>
        <v>12</v>
      </c>
      <c r="Q58" s="739"/>
      <c r="R58" s="67"/>
      <c r="S58" s="68"/>
      <c r="T58" s="68"/>
      <c r="U58" s="32"/>
      <c r="V58" s="620"/>
      <c r="W58" s="32"/>
      <c r="X58" s="68"/>
      <c r="Y58" s="68"/>
      <c r="Z58" s="68"/>
      <c r="AA58" s="32"/>
      <c r="AB58" s="32"/>
      <c r="AC58" s="69"/>
      <c r="AD58" s="65"/>
      <c r="AE58" s="296">
        <f t="shared" si="7"/>
        <v>12</v>
      </c>
      <c r="AF58" s="296">
        <f t="shared" si="5"/>
        <v>12</v>
      </c>
      <c r="AH58" s="739"/>
    </row>
    <row r="59" spans="1:34" ht="24" customHeight="1" x14ac:dyDescent="0.35">
      <c r="A59" s="62"/>
      <c r="B59" s="63"/>
      <c r="C59" s="63"/>
      <c r="D59" s="50"/>
      <c r="E59" s="619"/>
      <c r="F59" s="50"/>
      <c r="G59" s="63"/>
      <c r="H59" s="63"/>
      <c r="I59" s="63"/>
      <c r="J59" s="50"/>
      <c r="K59" s="50"/>
      <c r="L59" s="64"/>
      <c r="M59" s="65"/>
      <c r="N59" s="66">
        <f t="shared" si="6"/>
        <v>13</v>
      </c>
      <c r="O59" s="66">
        <f t="shared" si="4"/>
        <v>13</v>
      </c>
      <c r="Q59" s="738" t="str">
        <f>Q16</f>
        <v/>
      </c>
      <c r="R59" s="62"/>
      <c r="S59" s="63"/>
      <c r="T59" s="63"/>
      <c r="U59" s="50"/>
      <c r="V59" s="619"/>
      <c r="W59" s="50"/>
      <c r="X59" s="63"/>
      <c r="Y59" s="63"/>
      <c r="Z59" s="63"/>
      <c r="AA59" s="50"/>
      <c r="AB59" s="50"/>
      <c r="AC59" s="64"/>
      <c r="AD59" s="65"/>
      <c r="AE59" s="296">
        <f t="shared" si="7"/>
        <v>13</v>
      </c>
      <c r="AF59" s="296">
        <f t="shared" si="5"/>
        <v>13</v>
      </c>
      <c r="AH59" s="738" t="str">
        <f>AH16</f>
        <v/>
      </c>
    </row>
    <row r="60" spans="1:34" ht="24" customHeight="1" x14ac:dyDescent="0.35">
      <c r="A60" s="67"/>
      <c r="B60" s="68"/>
      <c r="C60" s="68"/>
      <c r="D60" s="32"/>
      <c r="E60" s="620"/>
      <c r="F60" s="32"/>
      <c r="G60" s="68"/>
      <c r="H60" s="68"/>
      <c r="I60" s="68"/>
      <c r="J60" s="32"/>
      <c r="K60" s="32"/>
      <c r="L60" s="69"/>
      <c r="M60" s="65"/>
      <c r="N60" s="66">
        <f t="shared" si="6"/>
        <v>14</v>
      </c>
      <c r="O60" s="66">
        <f t="shared" si="4"/>
        <v>14</v>
      </c>
      <c r="Q60" s="739"/>
      <c r="R60" s="67"/>
      <c r="S60" s="68"/>
      <c r="T60" s="68"/>
      <c r="U60" s="32"/>
      <c r="V60" s="620"/>
      <c r="W60" s="32"/>
      <c r="X60" s="68"/>
      <c r="Y60" s="68"/>
      <c r="Z60" s="68"/>
      <c r="AA60" s="32"/>
      <c r="AB60" s="32"/>
      <c r="AC60" s="69"/>
      <c r="AD60" s="65"/>
      <c r="AE60" s="296">
        <f t="shared" si="7"/>
        <v>14</v>
      </c>
      <c r="AF60" s="296">
        <f t="shared" si="5"/>
        <v>14</v>
      </c>
      <c r="AH60" s="739"/>
    </row>
    <row r="61" spans="1:34" ht="24" customHeight="1" x14ac:dyDescent="0.35">
      <c r="A61" s="62"/>
      <c r="B61" s="63"/>
      <c r="C61" s="63"/>
      <c r="D61" s="50"/>
      <c r="E61" s="619"/>
      <c r="F61" s="50"/>
      <c r="G61" s="63"/>
      <c r="H61" s="63"/>
      <c r="I61" s="63"/>
      <c r="J61" s="50"/>
      <c r="K61" s="50"/>
      <c r="L61" s="64"/>
      <c r="M61" s="65"/>
      <c r="N61" s="66">
        <f t="shared" si="6"/>
        <v>15</v>
      </c>
      <c r="O61" s="66">
        <f t="shared" si="4"/>
        <v>15</v>
      </c>
      <c r="Q61" s="738" t="str">
        <f>Q18</f>
        <v/>
      </c>
      <c r="R61" s="62"/>
      <c r="S61" s="63"/>
      <c r="T61" s="63"/>
      <c r="U61" s="50"/>
      <c r="V61" s="619"/>
      <c r="W61" s="50"/>
      <c r="X61" s="63"/>
      <c r="Y61" s="63"/>
      <c r="Z61" s="63"/>
      <c r="AA61" s="50"/>
      <c r="AB61" s="50"/>
      <c r="AC61" s="64"/>
      <c r="AD61" s="65"/>
      <c r="AE61" s="296">
        <f t="shared" si="7"/>
        <v>15</v>
      </c>
      <c r="AF61" s="296">
        <f t="shared" si="5"/>
        <v>15</v>
      </c>
      <c r="AH61" s="738" t="str">
        <f>AH18</f>
        <v/>
      </c>
    </row>
    <row r="62" spans="1:34" ht="24" customHeight="1" x14ac:dyDescent="0.35">
      <c r="A62" s="67"/>
      <c r="B62" s="68"/>
      <c r="C62" s="68"/>
      <c r="D62" s="32"/>
      <c r="E62" s="620"/>
      <c r="F62" s="32"/>
      <c r="G62" s="68"/>
      <c r="H62" s="68"/>
      <c r="I62" s="68"/>
      <c r="J62" s="32"/>
      <c r="K62" s="32"/>
      <c r="L62" s="69"/>
      <c r="M62" s="65"/>
      <c r="N62" s="66">
        <f t="shared" si="6"/>
        <v>16</v>
      </c>
      <c r="O62" s="66">
        <f t="shared" si="4"/>
        <v>16</v>
      </c>
      <c r="Q62" s="739"/>
      <c r="R62" s="67"/>
      <c r="S62" s="68"/>
      <c r="T62" s="68"/>
      <c r="U62" s="32"/>
      <c r="V62" s="620"/>
      <c r="W62" s="32"/>
      <c r="X62" s="68"/>
      <c r="Y62" s="68"/>
      <c r="Z62" s="68"/>
      <c r="AA62" s="32"/>
      <c r="AB62" s="32"/>
      <c r="AC62" s="69"/>
      <c r="AD62" s="65"/>
      <c r="AE62" s="296">
        <f t="shared" si="7"/>
        <v>16</v>
      </c>
      <c r="AF62" s="296">
        <f t="shared" si="5"/>
        <v>16</v>
      </c>
      <c r="AH62" s="739"/>
    </row>
    <row r="63" spans="1:34" ht="24" customHeight="1" x14ac:dyDescent="0.35">
      <c r="A63" s="62"/>
      <c r="B63" s="63"/>
      <c r="C63" s="63"/>
      <c r="D63" s="50"/>
      <c r="E63" s="619"/>
      <c r="F63" s="50"/>
      <c r="G63" s="63"/>
      <c r="H63" s="63"/>
      <c r="I63" s="63"/>
      <c r="J63" s="50"/>
      <c r="K63" s="50"/>
      <c r="L63" s="64"/>
      <c r="M63" s="65"/>
      <c r="N63" s="66">
        <f t="shared" si="6"/>
        <v>17</v>
      </c>
      <c r="O63" s="66">
        <f t="shared" si="4"/>
        <v>17</v>
      </c>
      <c r="Q63" s="738" t="str">
        <f>Q20</f>
        <v/>
      </c>
      <c r="R63" s="62"/>
      <c r="S63" s="63"/>
      <c r="T63" s="63"/>
      <c r="U63" s="50"/>
      <c r="V63" s="619"/>
      <c r="W63" s="50"/>
      <c r="X63" s="63"/>
      <c r="Y63" s="63"/>
      <c r="Z63" s="63"/>
      <c r="AA63" s="50"/>
      <c r="AB63" s="50"/>
      <c r="AC63" s="64"/>
      <c r="AD63" s="65"/>
      <c r="AE63" s="296">
        <f t="shared" si="7"/>
        <v>17</v>
      </c>
      <c r="AF63" s="296">
        <f t="shared" si="5"/>
        <v>17</v>
      </c>
      <c r="AH63" s="738" t="str">
        <f>AH20</f>
        <v/>
      </c>
    </row>
    <row r="64" spans="1:34" ht="24" customHeight="1" x14ac:dyDescent="0.35">
      <c r="A64" s="67"/>
      <c r="B64" s="68"/>
      <c r="C64" s="68"/>
      <c r="D64" s="32"/>
      <c r="E64" s="620"/>
      <c r="F64" s="32"/>
      <c r="G64" s="68"/>
      <c r="H64" s="68"/>
      <c r="I64" s="68"/>
      <c r="J64" s="32"/>
      <c r="K64" s="32"/>
      <c r="L64" s="69"/>
      <c r="M64" s="65"/>
      <c r="N64" s="66">
        <f t="shared" si="6"/>
        <v>18</v>
      </c>
      <c r="O64" s="66">
        <f t="shared" si="4"/>
        <v>18</v>
      </c>
      <c r="Q64" s="739"/>
      <c r="R64" s="67"/>
      <c r="S64" s="68"/>
      <c r="T64" s="68"/>
      <c r="U64" s="32"/>
      <c r="V64" s="620"/>
      <c r="W64" s="32"/>
      <c r="X64" s="68"/>
      <c r="Y64" s="68"/>
      <c r="Z64" s="68"/>
      <c r="AA64" s="32"/>
      <c r="AB64" s="32"/>
      <c r="AC64" s="69"/>
      <c r="AD64" s="65"/>
      <c r="AE64" s="296">
        <f t="shared" si="7"/>
        <v>18</v>
      </c>
      <c r="AF64" s="296">
        <f t="shared" si="5"/>
        <v>18</v>
      </c>
      <c r="AH64" s="739"/>
    </row>
    <row r="65" spans="1:34" ht="24" customHeight="1" x14ac:dyDescent="0.35">
      <c r="A65" s="62"/>
      <c r="B65" s="63"/>
      <c r="C65" s="63"/>
      <c r="D65" s="50"/>
      <c r="E65" s="619"/>
      <c r="F65" s="50"/>
      <c r="G65" s="63"/>
      <c r="H65" s="63"/>
      <c r="I65" s="63"/>
      <c r="J65" s="50"/>
      <c r="K65" s="50"/>
      <c r="L65" s="64"/>
      <c r="M65" s="65"/>
      <c r="N65" s="66">
        <f t="shared" si="6"/>
        <v>19</v>
      </c>
      <c r="O65" s="66">
        <f t="shared" si="4"/>
        <v>19</v>
      </c>
      <c r="Q65" s="738" t="str">
        <f>Q22</f>
        <v/>
      </c>
      <c r="R65" s="62"/>
      <c r="S65" s="63"/>
      <c r="T65" s="63"/>
      <c r="U65" s="50"/>
      <c r="V65" s="619"/>
      <c r="W65" s="50"/>
      <c r="X65" s="63"/>
      <c r="Y65" s="63"/>
      <c r="Z65" s="63"/>
      <c r="AA65" s="50"/>
      <c r="AB65" s="50"/>
      <c r="AC65" s="64"/>
      <c r="AD65" s="65"/>
      <c r="AE65" s="296">
        <f t="shared" si="7"/>
        <v>19</v>
      </c>
      <c r="AF65" s="296">
        <f t="shared" si="5"/>
        <v>19</v>
      </c>
      <c r="AH65" s="738" t="str">
        <f>AH22</f>
        <v/>
      </c>
    </row>
    <row r="66" spans="1:34" ht="24" customHeight="1" x14ac:dyDescent="0.35">
      <c r="A66" s="67"/>
      <c r="B66" s="68"/>
      <c r="C66" s="68"/>
      <c r="D66" s="32"/>
      <c r="E66" s="620"/>
      <c r="F66" s="32"/>
      <c r="G66" s="68"/>
      <c r="H66" s="68"/>
      <c r="I66" s="68"/>
      <c r="J66" s="32"/>
      <c r="K66" s="32"/>
      <c r="L66" s="69"/>
      <c r="M66" s="65"/>
      <c r="N66" s="66">
        <f t="shared" si="6"/>
        <v>20</v>
      </c>
      <c r="O66" s="66">
        <f t="shared" si="4"/>
        <v>20</v>
      </c>
      <c r="Q66" s="739"/>
      <c r="R66" s="67"/>
      <c r="S66" s="68"/>
      <c r="T66" s="68"/>
      <c r="U66" s="32"/>
      <c r="V66" s="620"/>
      <c r="W66" s="32"/>
      <c r="X66" s="68"/>
      <c r="Y66" s="68"/>
      <c r="Z66" s="68"/>
      <c r="AA66" s="32"/>
      <c r="AB66" s="32"/>
      <c r="AC66" s="69"/>
      <c r="AD66" s="65"/>
      <c r="AE66" s="296">
        <f t="shared" si="7"/>
        <v>20</v>
      </c>
      <c r="AF66" s="296">
        <f t="shared" si="5"/>
        <v>20</v>
      </c>
      <c r="AH66" s="739"/>
    </row>
    <row r="67" spans="1:34" ht="24" customHeight="1" x14ac:dyDescent="0.35">
      <c r="A67" s="62"/>
      <c r="B67" s="63"/>
      <c r="C67" s="63"/>
      <c r="D67" s="50"/>
      <c r="E67" s="619"/>
      <c r="F67" s="50"/>
      <c r="G67" s="63"/>
      <c r="H67" s="63"/>
      <c r="I67" s="63"/>
      <c r="J67" s="50"/>
      <c r="K67" s="50"/>
      <c r="L67" s="64"/>
      <c r="M67" s="65"/>
      <c r="N67" s="66">
        <f t="shared" si="6"/>
        <v>21</v>
      </c>
      <c r="O67" s="66">
        <f t="shared" si="4"/>
        <v>21</v>
      </c>
      <c r="Q67" s="738" t="str">
        <f>Q24</f>
        <v/>
      </c>
      <c r="R67" s="62"/>
      <c r="S67" s="63"/>
      <c r="T67" s="63"/>
      <c r="U67" s="50"/>
      <c r="V67" s="619"/>
      <c r="W67" s="50"/>
      <c r="X67" s="63"/>
      <c r="Y67" s="63"/>
      <c r="Z67" s="63"/>
      <c r="AA67" s="50"/>
      <c r="AB67" s="50"/>
      <c r="AC67" s="64"/>
      <c r="AD67" s="65"/>
      <c r="AE67" s="296">
        <f t="shared" si="7"/>
        <v>21</v>
      </c>
      <c r="AF67" s="296">
        <f t="shared" si="5"/>
        <v>21</v>
      </c>
      <c r="AH67" s="738" t="str">
        <f>AH24</f>
        <v/>
      </c>
    </row>
    <row r="68" spans="1:34" ht="24" customHeight="1" x14ac:dyDescent="0.35">
      <c r="A68" s="67"/>
      <c r="B68" s="68"/>
      <c r="C68" s="68"/>
      <c r="D68" s="32"/>
      <c r="E68" s="620"/>
      <c r="F68" s="32"/>
      <c r="G68" s="68"/>
      <c r="H68" s="68"/>
      <c r="I68" s="68"/>
      <c r="J68" s="32"/>
      <c r="K68" s="32"/>
      <c r="L68" s="69"/>
      <c r="M68" s="65"/>
      <c r="N68" s="66">
        <f t="shared" si="6"/>
        <v>22</v>
      </c>
      <c r="O68" s="66">
        <f t="shared" si="4"/>
        <v>22</v>
      </c>
      <c r="Q68" s="739"/>
      <c r="R68" s="67"/>
      <c r="S68" s="68"/>
      <c r="T68" s="68"/>
      <c r="U68" s="32"/>
      <c r="V68" s="620"/>
      <c r="W68" s="32"/>
      <c r="X68" s="68"/>
      <c r="Y68" s="68"/>
      <c r="Z68" s="68"/>
      <c r="AA68" s="32"/>
      <c r="AB68" s="32"/>
      <c r="AC68" s="69"/>
      <c r="AD68" s="65"/>
      <c r="AE68" s="296">
        <f t="shared" si="7"/>
        <v>22</v>
      </c>
      <c r="AF68" s="296">
        <f t="shared" si="5"/>
        <v>22</v>
      </c>
      <c r="AH68" s="739"/>
    </row>
    <row r="69" spans="1:34" ht="24" customHeight="1" x14ac:dyDescent="0.35">
      <c r="A69" s="62"/>
      <c r="B69" s="63"/>
      <c r="C69" s="63"/>
      <c r="D69" s="50"/>
      <c r="E69" s="619"/>
      <c r="F69" s="50"/>
      <c r="G69" s="63"/>
      <c r="H69" s="63"/>
      <c r="I69" s="63"/>
      <c r="J69" s="50"/>
      <c r="K69" s="50"/>
      <c r="L69" s="64"/>
      <c r="M69" s="65"/>
      <c r="N69" s="66">
        <f t="shared" si="6"/>
        <v>23</v>
      </c>
      <c r="O69" s="66">
        <f t="shared" si="4"/>
        <v>23</v>
      </c>
      <c r="Q69" s="738" t="str">
        <f>Q26</f>
        <v/>
      </c>
      <c r="R69" s="62"/>
      <c r="S69" s="63"/>
      <c r="T69" s="63"/>
      <c r="U69" s="50"/>
      <c r="V69" s="619"/>
      <c r="W69" s="50"/>
      <c r="X69" s="63"/>
      <c r="Y69" s="63"/>
      <c r="Z69" s="63"/>
      <c r="AA69" s="50"/>
      <c r="AB69" s="50"/>
      <c r="AC69" s="64"/>
      <c r="AD69" s="65"/>
      <c r="AE69" s="296">
        <f t="shared" si="7"/>
        <v>23</v>
      </c>
      <c r="AF69" s="296">
        <f t="shared" si="5"/>
        <v>23</v>
      </c>
      <c r="AH69" s="738" t="str">
        <f>AH26</f>
        <v/>
      </c>
    </row>
    <row r="70" spans="1:34" ht="24" customHeight="1" x14ac:dyDescent="0.35">
      <c r="A70" s="67"/>
      <c r="B70" s="68"/>
      <c r="C70" s="68"/>
      <c r="D70" s="32"/>
      <c r="E70" s="620"/>
      <c r="F70" s="32"/>
      <c r="G70" s="68"/>
      <c r="H70" s="68"/>
      <c r="I70" s="68"/>
      <c r="J70" s="32"/>
      <c r="K70" s="32"/>
      <c r="L70" s="69"/>
      <c r="M70" s="65"/>
      <c r="N70" s="66">
        <f t="shared" si="6"/>
        <v>24</v>
      </c>
      <c r="O70" s="66">
        <f t="shared" si="4"/>
        <v>24</v>
      </c>
      <c r="Q70" s="739"/>
      <c r="R70" s="67"/>
      <c r="S70" s="68"/>
      <c r="T70" s="68"/>
      <c r="U70" s="32"/>
      <c r="V70" s="620"/>
      <c r="W70" s="32"/>
      <c r="X70" s="68"/>
      <c r="Y70" s="68"/>
      <c r="Z70" s="68"/>
      <c r="AA70" s="32"/>
      <c r="AB70" s="32"/>
      <c r="AC70" s="69"/>
      <c r="AD70" s="65"/>
      <c r="AE70" s="296">
        <f t="shared" si="7"/>
        <v>24</v>
      </c>
      <c r="AF70" s="296">
        <f t="shared" si="5"/>
        <v>24</v>
      </c>
      <c r="AH70" s="739"/>
    </row>
    <row r="71" spans="1:34" ht="24" customHeight="1" x14ac:dyDescent="0.35">
      <c r="A71" s="62"/>
      <c r="B71" s="63"/>
      <c r="C71" s="63"/>
      <c r="D71" s="50"/>
      <c r="E71" s="619"/>
      <c r="F71" s="50"/>
      <c r="G71" s="63"/>
      <c r="H71" s="63"/>
      <c r="I71" s="63"/>
      <c r="J71" s="50"/>
      <c r="K71" s="50"/>
      <c r="L71" s="64"/>
      <c r="M71" s="65"/>
      <c r="N71" s="66">
        <f t="shared" si="6"/>
        <v>25</v>
      </c>
      <c r="O71" s="66">
        <f t="shared" si="4"/>
        <v>25</v>
      </c>
      <c r="Q71" s="738" t="str">
        <f>Q28</f>
        <v/>
      </c>
      <c r="R71" s="62"/>
      <c r="S71" s="63"/>
      <c r="T71" s="63"/>
      <c r="U71" s="50"/>
      <c r="V71" s="619"/>
      <c r="W71" s="50"/>
      <c r="X71" s="63"/>
      <c r="Y71" s="63"/>
      <c r="Z71" s="63"/>
      <c r="AA71" s="50"/>
      <c r="AB71" s="50"/>
      <c r="AC71" s="64"/>
      <c r="AD71" s="65"/>
      <c r="AE71" s="296">
        <f t="shared" si="7"/>
        <v>25</v>
      </c>
      <c r="AF71" s="296">
        <f t="shared" si="5"/>
        <v>25</v>
      </c>
      <c r="AH71" s="738" t="str">
        <f>AH28</f>
        <v/>
      </c>
    </row>
    <row r="72" spans="1:34" ht="24" customHeight="1" x14ac:dyDescent="0.35">
      <c r="A72" s="67"/>
      <c r="B72" s="68"/>
      <c r="C72" s="68"/>
      <c r="D72" s="32"/>
      <c r="E72" s="620"/>
      <c r="F72" s="32"/>
      <c r="G72" s="68"/>
      <c r="H72" s="68"/>
      <c r="I72" s="68"/>
      <c r="J72" s="32"/>
      <c r="K72" s="32"/>
      <c r="L72" s="69"/>
      <c r="M72" s="65"/>
      <c r="N72" s="66">
        <v>26</v>
      </c>
      <c r="O72" s="66">
        <v>26</v>
      </c>
      <c r="Q72" s="739"/>
      <c r="R72" s="67"/>
      <c r="S72" s="68"/>
      <c r="T72" s="68"/>
      <c r="U72" s="32"/>
      <c r="V72" s="620"/>
      <c r="W72" s="32"/>
      <c r="X72" s="68"/>
      <c r="Y72" s="68"/>
      <c r="Z72" s="68"/>
      <c r="AA72" s="32"/>
      <c r="AB72" s="32"/>
      <c r="AC72" s="69"/>
      <c r="AD72" s="65"/>
      <c r="AE72" s="296">
        <v>26</v>
      </c>
      <c r="AF72" s="296">
        <v>26</v>
      </c>
      <c r="AH72" s="739"/>
    </row>
    <row r="73" spans="1:34" ht="24" customHeight="1" x14ac:dyDescent="0.35">
      <c r="A73" s="62"/>
      <c r="B73" s="63"/>
      <c r="C73" s="63"/>
      <c r="D73" s="50"/>
      <c r="E73" s="619"/>
      <c r="F73" s="50"/>
      <c r="G73" s="63"/>
      <c r="H73" s="63"/>
      <c r="I73" s="63"/>
      <c r="J73" s="50"/>
      <c r="K73" s="50"/>
      <c r="L73" s="64"/>
      <c r="M73" s="65"/>
      <c r="N73" s="66">
        <v>27</v>
      </c>
      <c r="O73" s="66">
        <v>27</v>
      </c>
      <c r="Q73" s="738" t="str">
        <f>Q30</f>
        <v/>
      </c>
      <c r="R73" s="62"/>
      <c r="S73" s="63"/>
      <c r="T73" s="63"/>
      <c r="U73" s="50"/>
      <c r="V73" s="619"/>
      <c r="W73" s="50"/>
      <c r="X73" s="63"/>
      <c r="Y73" s="63"/>
      <c r="Z73" s="63"/>
      <c r="AA73" s="50"/>
      <c r="AB73" s="50"/>
      <c r="AC73" s="64"/>
      <c r="AD73" s="65"/>
      <c r="AE73" s="296">
        <v>27</v>
      </c>
      <c r="AF73" s="296">
        <v>27</v>
      </c>
      <c r="AH73" s="738" t="str">
        <f>AH30</f>
        <v/>
      </c>
    </row>
    <row r="74" spans="1:34" ht="24" customHeight="1" x14ac:dyDescent="0.35">
      <c r="A74" s="67"/>
      <c r="B74" s="68"/>
      <c r="C74" s="68"/>
      <c r="D74" s="32"/>
      <c r="E74" s="620"/>
      <c r="F74" s="32"/>
      <c r="G74" s="68"/>
      <c r="H74" s="68"/>
      <c r="I74" s="68"/>
      <c r="J74" s="32"/>
      <c r="K74" s="32"/>
      <c r="L74" s="69"/>
      <c r="M74" s="65"/>
      <c r="N74" s="66">
        <v>28</v>
      </c>
      <c r="O74" s="66">
        <v>28</v>
      </c>
      <c r="Q74" s="739"/>
      <c r="R74" s="67"/>
      <c r="S74" s="68"/>
      <c r="T74" s="68"/>
      <c r="U74" s="32"/>
      <c r="V74" s="620"/>
      <c r="W74" s="32"/>
      <c r="X74" s="68"/>
      <c r="Y74" s="68"/>
      <c r="Z74" s="68"/>
      <c r="AA74" s="32"/>
      <c r="AB74" s="32"/>
      <c r="AC74" s="69"/>
      <c r="AD74" s="65"/>
      <c r="AE74" s="296">
        <v>28</v>
      </c>
      <c r="AF74" s="296">
        <v>28</v>
      </c>
      <c r="AH74" s="739"/>
    </row>
    <row r="75" spans="1:34" ht="24" customHeight="1" x14ac:dyDescent="0.35">
      <c r="A75" s="62"/>
      <c r="B75" s="63"/>
      <c r="C75" s="63"/>
      <c r="D75" s="50"/>
      <c r="E75" s="619"/>
      <c r="F75" s="50"/>
      <c r="G75" s="63"/>
      <c r="H75" s="63"/>
      <c r="I75" s="63"/>
      <c r="J75" s="50"/>
      <c r="K75" s="50"/>
      <c r="L75" s="64"/>
      <c r="M75" s="65"/>
      <c r="N75" s="66">
        <v>29</v>
      </c>
      <c r="O75" s="66">
        <v>29</v>
      </c>
      <c r="Q75" s="738" t="str">
        <f>Q32</f>
        <v/>
      </c>
      <c r="R75" s="62"/>
      <c r="S75" s="63"/>
      <c r="T75" s="63"/>
      <c r="U75" s="50"/>
      <c r="V75" s="619"/>
      <c r="W75" s="50"/>
      <c r="X75" s="63"/>
      <c r="Y75" s="63"/>
      <c r="Z75" s="63"/>
      <c r="AA75" s="50"/>
      <c r="AB75" s="50"/>
      <c r="AC75" s="64"/>
      <c r="AD75" s="65"/>
      <c r="AE75" s="296">
        <v>29</v>
      </c>
      <c r="AF75" s="296">
        <v>29</v>
      </c>
      <c r="AH75" s="738" t="str">
        <f>AH32</f>
        <v/>
      </c>
    </row>
    <row r="76" spans="1:34" ht="24" customHeight="1" x14ac:dyDescent="0.35">
      <c r="A76" s="67"/>
      <c r="B76" s="68"/>
      <c r="C76" s="68"/>
      <c r="D76" s="32"/>
      <c r="E76" s="620"/>
      <c r="F76" s="32"/>
      <c r="G76" s="68"/>
      <c r="H76" s="68"/>
      <c r="I76" s="68"/>
      <c r="J76" s="32"/>
      <c r="K76" s="32"/>
      <c r="L76" s="69"/>
      <c r="M76" s="65"/>
      <c r="N76" s="66">
        <v>30</v>
      </c>
      <c r="O76" s="66">
        <v>30</v>
      </c>
      <c r="Q76" s="739"/>
      <c r="R76" s="67"/>
      <c r="S76" s="68"/>
      <c r="T76" s="68"/>
      <c r="U76" s="32"/>
      <c r="V76" s="620"/>
      <c r="W76" s="32"/>
      <c r="X76" s="68"/>
      <c r="Y76" s="68"/>
      <c r="Z76" s="68"/>
      <c r="AA76" s="32"/>
      <c r="AB76" s="32"/>
      <c r="AC76" s="69"/>
      <c r="AD76" s="65"/>
      <c r="AE76" s="296">
        <v>30</v>
      </c>
      <c r="AF76" s="296">
        <v>30</v>
      </c>
      <c r="AH76" s="739"/>
    </row>
    <row r="77" spans="1:34" ht="24" customHeight="1" x14ac:dyDescent="0.35">
      <c r="A77" s="62"/>
      <c r="B77" s="63"/>
      <c r="C77" s="63"/>
      <c r="D77" s="50"/>
      <c r="E77" s="619"/>
      <c r="F77" s="50"/>
      <c r="G77" s="63"/>
      <c r="H77" s="63"/>
      <c r="I77" s="63"/>
      <c r="J77" s="50"/>
      <c r="K77" s="50"/>
      <c r="L77" s="64"/>
      <c r="M77" s="65"/>
      <c r="N77" s="66">
        <v>31</v>
      </c>
      <c r="O77" s="66">
        <v>31</v>
      </c>
      <c r="Q77" s="738" t="str">
        <f>Q34</f>
        <v/>
      </c>
      <c r="R77" s="62"/>
      <c r="S77" s="63"/>
      <c r="T77" s="63"/>
      <c r="U77" s="50"/>
      <c r="V77" s="619"/>
      <c r="W77" s="50"/>
      <c r="X77" s="63"/>
      <c r="Y77" s="63"/>
      <c r="Z77" s="63"/>
      <c r="AA77" s="50"/>
      <c r="AB77" s="50"/>
      <c r="AC77" s="64"/>
      <c r="AD77" s="65"/>
      <c r="AE77" s="296">
        <v>31</v>
      </c>
      <c r="AF77" s="296">
        <v>31</v>
      </c>
      <c r="AH77" s="738" t="str">
        <f>AH34</f>
        <v/>
      </c>
    </row>
    <row r="78" spans="1:34" ht="24" customHeight="1" x14ac:dyDescent="0.35">
      <c r="A78" s="67"/>
      <c r="B78" s="68"/>
      <c r="C78" s="68"/>
      <c r="D78" s="32"/>
      <c r="E78" s="620"/>
      <c r="F78" s="32"/>
      <c r="G78" s="68"/>
      <c r="H78" s="68"/>
      <c r="I78" s="68"/>
      <c r="J78" s="32"/>
      <c r="K78" s="32"/>
      <c r="L78" s="69"/>
      <c r="M78" s="65"/>
      <c r="N78" s="66">
        <v>32</v>
      </c>
      <c r="O78" s="66">
        <v>32</v>
      </c>
      <c r="Q78" s="739"/>
      <c r="R78" s="67"/>
      <c r="S78" s="68"/>
      <c r="T78" s="68"/>
      <c r="U78" s="32"/>
      <c r="V78" s="620"/>
      <c r="W78" s="32"/>
      <c r="X78" s="68"/>
      <c r="Y78" s="68"/>
      <c r="Z78" s="68"/>
      <c r="AA78" s="32"/>
      <c r="AB78" s="32"/>
      <c r="AC78" s="69"/>
      <c r="AD78" s="65"/>
      <c r="AE78" s="296">
        <v>32</v>
      </c>
      <c r="AF78" s="296">
        <v>32</v>
      </c>
      <c r="AH78" s="739"/>
    </row>
    <row r="79" spans="1:34" ht="24" customHeight="1" x14ac:dyDescent="0.35">
      <c r="A79" s="62"/>
      <c r="B79" s="63"/>
      <c r="C79" s="63"/>
      <c r="D79" s="50"/>
      <c r="E79" s="619"/>
      <c r="F79" s="50"/>
      <c r="G79" s="63"/>
      <c r="H79" s="63"/>
      <c r="I79" s="63"/>
      <c r="J79" s="50"/>
      <c r="K79" s="50"/>
      <c r="L79" s="64"/>
      <c r="M79" s="65"/>
      <c r="N79" s="66">
        <v>33</v>
      </c>
      <c r="O79" s="66">
        <v>33</v>
      </c>
      <c r="Q79" s="738" t="str">
        <f>Q36</f>
        <v/>
      </c>
      <c r="R79" s="62"/>
      <c r="S79" s="63"/>
      <c r="T79" s="63"/>
      <c r="U79" s="50"/>
      <c r="V79" s="619"/>
      <c r="W79" s="50"/>
      <c r="X79" s="63"/>
      <c r="Y79" s="63"/>
      <c r="Z79" s="63"/>
      <c r="AA79" s="50"/>
      <c r="AB79" s="50"/>
      <c r="AC79" s="64"/>
      <c r="AD79" s="65"/>
      <c r="AE79" s="296">
        <v>33</v>
      </c>
      <c r="AF79" s="296">
        <v>33</v>
      </c>
      <c r="AH79" s="738" t="str">
        <f>AH36</f>
        <v/>
      </c>
    </row>
    <row r="80" spans="1:34" ht="24" customHeight="1" x14ac:dyDescent="0.35">
      <c r="A80" s="67"/>
      <c r="B80" s="68"/>
      <c r="C80" s="68"/>
      <c r="D80" s="32"/>
      <c r="E80" s="620"/>
      <c r="F80" s="32"/>
      <c r="G80" s="68"/>
      <c r="H80" s="68"/>
      <c r="I80" s="68"/>
      <c r="J80" s="32"/>
      <c r="K80" s="32"/>
      <c r="L80" s="69"/>
      <c r="M80" s="65"/>
      <c r="N80" s="66">
        <v>34</v>
      </c>
      <c r="O80" s="66">
        <v>34</v>
      </c>
      <c r="Q80" s="739"/>
      <c r="R80" s="67"/>
      <c r="S80" s="68"/>
      <c r="T80" s="68"/>
      <c r="U80" s="32"/>
      <c r="V80" s="620"/>
      <c r="W80" s="32"/>
      <c r="X80" s="68"/>
      <c r="Y80" s="68"/>
      <c r="Z80" s="68"/>
      <c r="AA80" s="32"/>
      <c r="AB80" s="32"/>
      <c r="AC80" s="69"/>
      <c r="AD80" s="65"/>
      <c r="AE80" s="296">
        <v>34</v>
      </c>
      <c r="AF80" s="296">
        <v>34</v>
      </c>
      <c r="AH80" s="739"/>
    </row>
    <row r="81" spans="1:34" ht="24" customHeight="1" x14ac:dyDescent="0.35">
      <c r="A81" s="62"/>
      <c r="B81" s="63"/>
      <c r="C81" s="63"/>
      <c r="D81" s="50"/>
      <c r="E81" s="619"/>
      <c r="F81" s="50"/>
      <c r="G81" s="63"/>
      <c r="H81" s="63"/>
      <c r="I81" s="63"/>
      <c r="J81" s="50"/>
      <c r="K81" s="50"/>
      <c r="L81" s="64"/>
      <c r="M81" s="65"/>
      <c r="N81" s="66">
        <v>35</v>
      </c>
      <c r="O81" s="66">
        <v>35</v>
      </c>
      <c r="Q81" s="738" t="str">
        <f>Q38</f>
        <v/>
      </c>
      <c r="R81" s="62"/>
      <c r="S81" s="63"/>
      <c r="T81" s="63"/>
      <c r="U81" s="50"/>
      <c r="V81" s="619"/>
      <c r="W81" s="50"/>
      <c r="X81" s="63"/>
      <c r="Y81" s="63"/>
      <c r="Z81" s="63"/>
      <c r="AA81" s="50"/>
      <c r="AB81" s="50"/>
      <c r="AC81" s="64"/>
      <c r="AD81" s="65"/>
      <c r="AE81" s="296">
        <v>35</v>
      </c>
      <c r="AF81" s="296">
        <v>35</v>
      </c>
      <c r="AH81" s="738" t="str">
        <f>AH38</f>
        <v/>
      </c>
    </row>
    <row r="82" spans="1:34" ht="24" customHeight="1" x14ac:dyDescent="0.35">
      <c r="A82" s="67"/>
      <c r="B82" s="68"/>
      <c r="C82" s="68"/>
      <c r="D82" s="32"/>
      <c r="E82" s="620"/>
      <c r="F82" s="32"/>
      <c r="G82" s="68"/>
      <c r="H82" s="68"/>
      <c r="I82" s="68"/>
      <c r="J82" s="32"/>
      <c r="K82" s="32"/>
      <c r="L82" s="69"/>
      <c r="M82" s="65"/>
      <c r="N82" s="66">
        <v>36</v>
      </c>
      <c r="O82" s="66">
        <v>36</v>
      </c>
      <c r="Q82" s="739"/>
      <c r="R82" s="67"/>
      <c r="S82" s="68"/>
      <c r="T82" s="68"/>
      <c r="U82" s="32"/>
      <c r="V82" s="620"/>
      <c r="W82" s="32"/>
      <c r="X82" s="68"/>
      <c r="Y82" s="68"/>
      <c r="Z82" s="68"/>
      <c r="AA82" s="32"/>
      <c r="AB82" s="32"/>
      <c r="AC82" s="69"/>
      <c r="AD82" s="65"/>
      <c r="AE82" s="296">
        <v>36</v>
      </c>
      <c r="AF82" s="296">
        <v>36</v>
      </c>
      <c r="AH82" s="739"/>
    </row>
    <row r="83" spans="1:34" ht="24" customHeight="1" x14ac:dyDescent="0.35">
      <c r="A83" s="62"/>
      <c r="B83" s="63"/>
      <c r="C83" s="63"/>
      <c r="D83" s="50"/>
      <c r="E83" s="619"/>
      <c r="F83" s="50"/>
      <c r="G83" s="63"/>
      <c r="H83" s="63"/>
      <c r="I83" s="63"/>
      <c r="J83" s="50"/>
      <c r="K83" s="50"/>
      <c r="L83" s="64"/>
      <c r="M83" s="65"/>
      <c r="N83" s="66">
        <v>37</v>
      </c>
      <c r="O83" s="66">
        <v>37</v>
      </c>
      <c r="P83" s="70"/>
      <c r="Q83" s="738" t="str">
        <f>Q40</f>
        <v/>
      </c>
      <c r="R83" s="62"/>
      <c r="S83" s="63"/>
      <c r="T83" s="63"/>
      <c r="U83" s="50"/>
      <c r="V83" s="619"/>
      <c r="W83" s="50"/>
      <c r="X83" s="63"/>
      <c r="Y83" s="63"/>
      <c r="Z83" s="63"/>
      <c r="AA83" s="50"/>
      <c r="AB83" s="50"/>
      <c r="AC83" s="64"/>
      <c r="AD83" s="65"/>
      <c r="AE83" s="296">
        <v>37</v>
      </c>
      <c r="AF83" s="296">
        <v>37</v>
      </c>
      <c r="AG83" s="70"/>
      <c r="AH83" s="738" t="str">
        <f>AH40</f>
        <v/>
      </c>
    </row>
    <row r="84" spans="1:34" ht="24" customHeight="1" x14ac:dyDescent="0.35">
      <c r="A84" s="67"/>
      <c r="B84" s="68"/>
      <c r="C84" s="68"/>
      <c r="D84" s="32"/>
      <c r="E84" s="620"/>
      <c r="F84" s="32"/>
      <c r="G84" s="68"/>
      <c r="H84" s="68"/>
      <c r="I84" s="68"/>
      <c r="J84" s="32"/>
      <c r="K84" s="32"/>
      <c r="L84" s="69"/>
      <c r="M84" s="65"/>
      <c r="N84" s="66">
        <v>38</v>
      </c>
      <c r="O84" s="66">
        <v>38</v>
      </c>
      <c r="P84" s="70"/>
      <c r="Q84" s="739"/>
      <c r="R84" s="67"/>
      <c r="S84" s="68"/>
      <c r="T84" s="68"/>
      <c r="U84" s="32"/>
      <c r="V84" s="620"/>
      <c r="W84" s="32"/>
      <c r="X84" s="68"/>
      <c r="Y84" s="68"/>
      <c r="Z84" s="68"/>
      <c r="AA84" s="32"/>
      <c r="AB84" s="32"/>
      <c r="AC84" s="69"/>
      <c r="AD84" s="65"/>
      <c r="AE84" s="296">
        <v>38</v>
      </c>
      <c r="AF84" s="296">
        <v>38</v>
      </c>
      <c r="AG84" s="70"/>
      <c r="AH84" s="739"/>
    </row>
    <row r="85" spans="1:34" ht="24" customHeight="1" x14ac:dyDescent="0.35">
      <c r="A85" s="531"/>
      <c r="B85" s="63"/>
      <c r="C85" s="63"/>
      <c r="D85" s="50"/>
      <c r="E85" s="619"/>
      <c r="F85" s="50"/>
      <c r="G85" s="63"/>
      <c r="H85" s="63"/>
      <c r="I85" s="63"/>
      <c r="J85" s="50"/>
      <c r="K85" s="50"/>
      <c r="L85" s="64"/>
      <c r="M85" s="65"/>
      <c r="N85" s="60"/>
      <c r="O85" s="60"/>
      <c r="P85" s="70"/>
      <c r="Q85" s="738" t="str">
        <f>Q42</f>
        <v/>
      </c>
      <c r="R85" s="62"/>
      <c r="S85" s="63"/>
      <c r="T85" s="63"/>
      <c r="U85" s="50"/>
      <c r="V85" s="619"/>
      <c r="W85" s="50"/>
      <c r="X85" s="63"/>
      <c r="Y85" s="63"/>
      <c r="Z85" s="63"/>
      <c r="AA85" s="50"/>
      <c r="AB85" s="50"/>
      <c r="AC85" s="64"/>
      <c r="AD85" s="65"/>
      <c r="AE85" s="60"/>
      <c r="AF85" s="60"/>
      <c r="AG85" s="70"/>
      <c r="AH85" s="738" t="str">
        <f>AH42</f>
        <v/>
      </c>
    </row>
    <row r="86" spans="1:34" ht="24" customHeight="1" thickBot="1" x14ac:dyDescent="0.4">
      <c r="A86" s="519"/>
      <c r="B86" s="520"/>
      <c r="C86" s="520"/>
      <c r="D86" s="521"/>
      <c r="E86" s="621"/>
      <c r="F86" s="521"/>
      <c r="G86" s="520"/>
      <c r="H86" s="520"/>
      <c r="I86" s="520"/>
      <c r="J86" s="521"/>
      <c r="K86" s="521"/>
      <c r="L86" s="522"/>
      <c r="M86" s="65"/>
      <c r="N86" s="60"/>
      <c r="O86" s="60"/>
      <c r="P86" s="70"/>
      <c r="Q86" s="741"/>
      <c r="R86" s="519"/>
      <c r="S86" s="520"/>
      <c r="T86" s="520"/>
      <c r="U86" s="521"/>
      <c r="V86" s="621"/>
      <c r="W86" s="521"/>
      <c r="X86" s="520"/>
      <c r="Y86" s="520"/>
      <c r="Z86" s="520"/>
      <c r="AA86" s="521"/>
      <c r="AB86" s="521"/>
      <c r="AC86" s="522"/>
      <c r="AD86" s="65"/>
      <c r="AE86" s="60"/>
      <c r="AF86" s="60"/>
      <c r="AG86" s="70"/>
      <c r="AH86" s="741"/>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9" type="noConversion"/>
  <printOptions horizontalCentered="1"/>
  <pageMargins left="0.5" right="0.5" top="0.93" bottom="0.3" header="0.49" footer="0.3"/>
  <pageSetup scale="69" firstPageNumber="0" fitToHeight="2" orientation="portrait" horizontalDpi="4294967294" verticalDpi="4294967294" r:id="rId1"/>
  <headerFooter alignWithMargins="0">
    <oddHeader><![CDATA[&L&"Calibri,Regular"&34&K000000&G&A&R&"Calibri,Regular"&K000000
‘&A’ revision 2404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5" width="1.140625" collapsed="false"/>
    <col min="2" max="2" customWidth="true" style="95" width="10.0" collapsed="false"/>
    <col min="3" max="3" customWidth="true" style="95" width="25.7109375" collapsed="false"/>
    <col min="4" max="5" customWidth="true" style="95" width="1.140625" collapsed="false"/>
    <col min="6" max="6" customWidth="true" style="95" width="10.0" collapsed="false"/>
    <col min="7" max="7" customWidth="true" style="95" width="25.7109375" collapsed="false"/>
    <col min="8" max="8" customWidth="true" style="95" width="1.140625" collapsed="false"/>
    <col min="9" max="9" customWidth="true" style="95" width="1.42578125" collapsed="false"/>
    <col min="10" max="11" customWidth="true" style="95" width="23.140625" collapsed="false"/>
    <col min="12" max="255" customWidth="true" style="95" width="11.42578125" collapsed="false"/>
    <col min="256" max="16384" style="95" width="8.7109375" collapsed="false"/>
  </cols>
  <sheetData>
    <row r="1" spans="1:11" ht="21" customHeight="1" x14ac:dyDescent="0.3">
      <c r="A1" s="605"/>
      <c r="B1" s="1386" t="str">
        <f>IF(ISBLANK(IGRF!$B$12), "", IGRF!$B$12)</f>
        <v/>
      </c>
      <c r="C1" s="1386"/>
      <c r="D1" s="606"/>
      <c r="E1" s="605"/>
      <c r="F1" s="1386" t="str">
        <f>IF(ISBLANK(IGRF!$I$12), "", IGRF!$I$12)</f>
        <v/>
      </c>
      <c r="G1" s="1386"/>
      <c r="H1" s="606"/>
      <c r="J1" s="1385" t="str">
        <f>IF(IGRF!L3="","","Game "&amp;IGRF!L3&amp;"  "&amp;TEXT(IGRF!B7,"dddd")&amp;" @ "&amp;TEXT(IGRF!I7,"hh:mm AM/PM"))</f>
        <v/>
      </c>
      <c r="K1" s="1385"/>
    </row>
    <row r="2" spans="1:11" ht="21" customHeight="1" x14ac:dyDescent="0.3">
      <c r="A2" s="607"/>
      <c r="B2" s="1387" t="str">
        <f>Score!$A$1</f>
        <v>Home Team</v>
      </c>
      <c r="C2" s="1387"/>
      <c r="D2" s="608"/>
      <c r="E2" s="607"/>
      <c r="F2" s="1387" t="str">
        <f>Score!$T$1</f>
        <v>Away Team</v>
      </c>
      <c r="G2" s="1387"/>
      <c r="H2" s="608"/>
      <c r="J2" s="1384" t="str">
        <f>IF(IGRF!B5="","",IGRF!B5)</f>
        <v/>
      </c>
      <c r="K2" s="1384"/>
    </row>
    <row r="3" spans="1:11" x14ac:dyDescent="0.3">
      <c r="A3" s="607"/>
      <c r="B3" s="96"/>
      <c r="C3" s="96"/>
      <c r="D3" s="608"/>
      <c r="E3" s="607"/>
      <c r="F3" s="96"/>
      <c r="G3" s="96"/>
      <c r="H3" s="608"/>
      <c r="J3" s="1384" t="s">
        <v>421</v>
      </c>
      <c r="K3" s="1384"/>
    </row>
    <row r="4" spans="1:11" ht="22.5" customHeight="1" x14ac:dyDescent="0.3">
      <c r="A4" s="607"/>
      <c r="B4" s="97" t="str">
        <f>IF(ISBLANK(IGRF!B14),"",IGRF!B14)</f>
        <v/>
      </c>
      <c r="C4" s="98" t="str">
        <f>IF(ISBLANK(IGRF!C14),"",IGRF!C14)</f>
        <v/>
      </c>
      <c r="D4" s="608"/>
      <c r="E4" s="607"/>
      <c r="F4" s="97" t="str">
        <f>IF(ISBLANK(IGRF!I14),"",IGRF!I14)</f>
        <v/>
      </c>
      <c r="G4" s="98" t="str">
        <f>IF(ISBLANK(IGRF!J14),"",IGRF!J14)</f>
        <v/>
      </c>
      <c r="H4" s="608"/>
      <c r="J4" s="599" t="str">
        <f>IF(ISBLANK(IGRF!C60), "", IGRF!C60)</f>
        <v/>
      </c>
      <c r="K4" s="599" t="str">
        <f>IF(ISBLANK(IGRF!C80), "", IGRF!C80)</f>
        <v/>
      </c>
    </row>
    <row r="5" spans="1:11" ht="22.5" customHeight="1" x14ac:dyDescent="0.3">
      <c r="A5" s="607"/>
      <c r="B5" s="97" t="str">
        <f>IF(ISBLANK(IGRF!B15),"",IGRF!B15)</f>
        <v/>
      </c>
      <c r="C5" s="98" t="str">
        <f>IF(ISBLANK(IGRF!C15),"",IGRF!C15)</f>
        <v/>
      </c>
      <c r="D5" s="608"/>
      <c r="E5" s="607"/>
      <c r="F5" s="97" t="str">
        <f>IF(ISBLANK(IGRF!I15),"",IGRF!I15)</f>
        <v/>
      </c>
      <c r="G5" s="98" t="str">
        <f>IF(ISBLANK(IGRF!J15),"",IGRF!J15)</f>
        <v/>
      </c>
      <c r="H5" s="608"/>
      <c r="J5" s="599" t="str">
        <f>IF(ISBLANK(IGRF!C61), "", IGRF!C61)</f>
        <v/>
      </c>
      <c r="K5" s="599" t="str">
        <f>IF(ISBLANK(IGRF!C81), "", IGRF!C81)</f>
        <v/>
      </c>
    </row>
    <row r="6" spans="1:11" ht="22.5" customHeight="1" x14ac:dyDescent="0.3">
      <c r="A6" s="607"/>
      <c r="B6" s="97" t="str">
        <f>IF(ISBLANK(IGRF!B16),"",IGRF!B16)</f>
        <v/>
      </c>
      <c r="C6" s="98" t="str">
        <f>IF(ISBLANK(IGRF!C16),"",IGRF!C16)</f>
        <v/>
      </c>
      <c r="D6" s="608"/>
      <c r="E6" s="607"/>
      <c r="F6" s="97" t="str">
        <f>IF(ISBLANK(IGRF!I16),"",IGRF!I16)</f>
        <v/>
      </c>
      <c r="G6" s="98" t="str">
        <f>IF(ISBLANK(IGRF!J16),"",IGRF!J16)</f>
        <v/>
      </c>
      <c r="H6" s="608"/>
      <c r="J6" s="599" t="str">
        <f>IF(ISBLANK(IGRF!C62), "", IGRF!C62)</f>
        <v/>
      </c>
      <c r="K6" s="599" t="str">
        <f>IF(ISBLANK(IGRF!C82), "", IGRF!C82)</f>
        <v/>
      </c>
    </row>
    <row r="7" spans="1:11" ht="22.5" customHeight="1" x14ac:dyDescent="0.3">
      <c r="A7" s="607"/>
      <c r="B7" s="97" t="str">
        <f>IF(ISBLANK(IGRF!B17),"",IGRF!B17)</f>
        <v/>
      </c>
      <c r="C7" s="98" t="str">
        <f>IF(ISBLANK(IGRF!C17),"",IGRF!C17)</f>
        <v/>
      </c>
      <c r="D7" s="608"/>
      <c r="E7" s="607"/>
      <c r="F7" s="97" t="str">
        <f>IF(ISBLANK(IGRF!I17),"",IGRF!I17)</f>
        <v/>
      </c>
      <c r="G7" s="98" t="str">
        <f>IF(ISBLANK(IGRF!J17),"",IGRF!J17)</f>
        <v/>
      </c>
      <c r="H7" s="608"/>
      <c r="J7" s="599" t="str">
        <f>IF(ISBLANK(IGRF!C63), "", IGRF!C63)</f>
        <v/>
      </c>
      <c r="K7" s="599" t="str">
        <f>IF(ISBLANK(IGRF!C83), "", IGRF!C83)</f>
        <v/>
      </c>
    </row>
    <row r="8" spans="1:11" ht="22.5" customHeight="1" x14ac:dyDescent="0.3">
      <c r="A8" s="607"/>
      <c r="B8" s="97" t="str">
        <f>IF(ISBLANK(IGRF!B18),"",IGRF!B18)</f>
        <v/>
      </c>
      <c r="C8" s="98" t="str">
        <f>IF(ISBLANK(IGRF!C18),"",IGRF!C18)</f>
        <v/>
      </c>
      <c r="D8" s="608"/>
      <c r="E8" s="607"/>
      <c r="F8" s="97" t="str">
        <f>IF(ISBLANK(IGRF!I18),"",IGRF!I18)</f>
        <v/>
      </c>
      <c r="G8" s="98" t="str">
        <f>IF(ISBLANK(IGRF!J18),"",IGRF!J18)</f>
        <v/>
      </c>
      <c r="H8" s="608"/>
      <c r="J8" s="599" t="str">
        <f>IF(ISBLANK(IGRF!C64), "", IGRF!C64)</f>
        <v/>
      </c>
      <c r="K8" s="599" t="str">
        <f>IF(ISBLANK(IGRF!C84), "", IGRF!C84)</f>
        <v/>
      </c>
    </row>
    <row r="9" spans="1:11" ht="22.5" customHeight="1" x14ac:dyDescent="0.3">
      <c r="A9" s="607"/>
      <c r="B9" s="97" t="str">
        <f>IF(ISBLANK(IGRF!B19),"",IGRF!B19)</f>
        <v/>
      </c>
      <c r="C9" s="98" t="str">
        <f>IF(ISBLANK(IGRF!C19),"",IGRF!C19)</f>
        <v/>
      </c>
      <c r="D9" s="608"/>
      <c r="E9" s="607"/>
      <c r="F9" s="97" t="str">
        <f>IF(ISBLANK(IGRF!I19),"",IGRF!I19)</f>
        <v/>
      </c>
      <c r="G9" s="98" t="str">
        <f>IF(ISBLANK(IGRF!J19),"",IGRF!J19)</f>
        <v/>
      </c>
      <c r="H9" s="608"/>
      <c r="J9" s="599" t="str">
        <f>IF(ISBLANK(IGRF!C65), "", IGRF!C65)</f>
        <v/>
      </c>
      <c r="K9" s="599" t="str">
        <f>IF(ISBLANK(IGRF!C85), "", IGRF!C85)</f>
        <v/>
      </c>
    </row>
    <row r="10" spans="1:11" ht="22.5" customHeight="1" x14ac:dyDescent="0.3">
      <c r="A10" s="607"/>
      <c r="B10" s="97" t="str">
        <f>IF(ISBLANK(IGRF!B20),"",IGRF!B20)</f>
        <v/>
      </c>
      <c r="C10" s="98" t="str">
        <f>IF(ISBLANK(IGRF!C20),"",IGRF!C20)</f>
        <v/>
      </c>
      <c r="D10" s="608"/>
      <c r="E10" s="607"/>
      <c r="F10" s="97" t="str">
        <f>IF(ISBLANK(IGRF!I20),"",IGRF!I20)</f>
        <v/>
      </c>
      <c r="G10" s="98" t="str">
        <f>IF(ISBLANK(IGRF!J20),"",IGRF!J20)</f>
        <v/>
      </c>
      <c r="H10" s="608"/>
      <c r="J10" s="599" t="str">
        <f>IF(ISBLANK(IGRF!C66), "", IGRF!C66)</f>
        <v/>
      </c>
      <c r="K10" s="599" t="str">
        <f>IF(ISBLANK(IGRF!C86), "", IGRF!C86)</f>
        <v/>
      </c>
    </row>
    <row r="11" spans="1:11" ht="22.5" customHeight="1" x14ac:dyDescent="0.3">
      <c r="A11" s="607"/>
      <c r="B11" s="97" t="str">
        <f>IF(ISBLANK(IGRF!B21),"",IGRF!B21)</f>
        <v/>
      </c>
      <c r="C11" s="98" t="str">
        <f>IF(ISBLANK(IGRF!C21),"",IGRF!C21)</f>
        <v/>
      </c>
      <c r="D11" s="608"/>
      <c r="E11" s="607"/>
      <c r="F11" s="97" t="str">
        <f>IF(ISBLANK(IGRF!I21),"",IGRF!I21)</f>
        <v/>
      </c>
      <c r="G11" s="98" t="str">
        <f>IF(ISBLANK(IGRF!J21),"",IGRF!J21)</f>
        <v/>
      </c>
      <c r="H11" s="608"/>
      <c r="J11" s="599" t="str">
        <f>IF(ISBLANK(IGRF!C67), "", IGRF!C67)</f>
        <v/>
      </c>
      <c r="K11" s="599" t="str">
        <f>IF(ISBLANK(IGRF!C87), "", IGRF!C87)</f>
        <v/>
      </c>
    </row>
    <row r="12" spans="1:11" ht="22.5" customHeight="1" x14ac:dyDescent="0.3">
      <c r="A12" s="607"/>
      <c r="B12" s="97" t="str">
        <f>IF(ISBLANK(IGRF!B22),"",IGRF!B22)</f>
        <v/>
      </c>
      <c r="C12" s="98" t="str">
        <f>IF(ISBLANK(IGRF!C22),"",IGRF!C22)</f>
        <v/>
      </c>
      <c r="D12" s="608"/>
      <c r="E12" s="607"/>
      <c r="F12" s="97" t="str">
        <f>IF(ISBLANK(IGRF!I22),"",IGRF!I22)</f>
        <v/>
      </c>
      <c r="G12" s="98" t="str">
        <f>IF(ISBLANK(IGRF!J22),"",IGRF!J22)</f>
        <v/>
      </c>
      <c r="H12" s="608"/>
      <c r="J12" s="599" t="str">
        <f>IF(ISBLANK(IGRF!C68), "", IGRF!C68)</f>
        <v/>
      </c>
      <c r="K12" s="599"/>
    </row>
    <row r="13" spans="1:11" ht="22.5" customHeight="1" x14ac:dyDescent="0.3">
      <c r="A13" s="607"/>
      <c r="B13" s="97" t="str">
        <f>IF(ISBLANK(IGRF!B23),"",IGRF!B23)</f>
        <v/>
      </c>
      <c r="C13" s="98" t="str">
        <f>IF(ISBLANK(IGRF!C23),"",IGRF!C23)</f>
        <v/>
      </c>
      <c r="D13" s="608"/>
      <c r="E13" s="607"/>
      <c r="F13" s="97" t="str">
        <f>IF(ISBLANK(IGRF!I23),"",IGRF!I23)</f>
        <v/>
      </c>
      <c r="G13" s="98" t="str">
        <f>IF(ISBLANK(IGRF!J23),"",IGRF!J23)</f>
        <v/>
      </c>
      <c r="H13" s="608"/>
      <c r="J13" s="599" t="str">
        <f>IF(ISBLANK(IGRF!C69), "", IGRF!C69)</f>
        <v/>
      </c>
      <c r="K13" s="599"/>
    </row>
    <row r="14" spans="1:11" ht="22.5" customHeight="1" x14ac:dyDescent="0.3">
      <c r="A14" s="607"/>
      <c r="B14" s="97" t="str">
        <f>IF(ISBLANK(IGRF!B24),"",IGRF!B24)</f>
        <v/>
      </c>
      <c r="C14" s="98" t="str">
        <f>IF(ISBLANK(IGRF!C24),"",IGRF!C24)</f>
        <v/>
      </c>
      <c r="D14" s="608"/>
      <c r="E14" s="607"/>
      <c r="F14" s="97" t="str">
        <f>IF(ISBLANK(IGRF!I24),"",IGRF!I24)</f>
        <v/>
      </c>
      <c r="G14" s="98" t="str">
        <f>IF(ISBLANK(IGRF!J24),"",IGRF!J24)</f>
        <v/>
      </c>
      <c r="H14" s="608"/>
      <c r="J14" s="599" t="str">
        <f>IF(ISBLANK(IGRF!C70), "", IGRF!C70)</f>
        <v/>
      </c>
      <c r="K14" s="600"/>
    </row>
    <row r="15" spans="1:11" ht="22.5" customHeight="1" x14ac:dyDescent="0.3">
      <c r="A15" s="607"/>
      <c r="B15" s="97" t="str">
        <f>IF(ISBLANK(IGRF!B25),"",IGRF!B25)</f>
        <v/>
      </c>
      <c r="C15" s="98" t="str">
        <f>IF(ISBLANK(IGRF!C25),"",IGRF!C25)</f>
        <v/>
      </c>
      <c r="D15" s="608"/>
      <c r="E15" s="607"/>
      <c r="F15" s="97" t="str">
        <f>IF(ISBLANK(IGRF!I25),"",IGRF!I25)</f>
        <v/>
      </c>
      <c r="G15" s="98" t="str">
        <f>IF(ISBLANK(IGRF!J25),"",IGRF!J25)</f>
        <v/>
      </c>
      <c r="H15" s="608"/>
      <c r="J15" s="599" t="str">
        <f>IF(ISBLANK(IGRF!C71), "", IGRF!C71)</f>
        <v/>
      </c>
      <c r="K15" s="600"/>
    </row>
    <row r="16" spans="1:11" ht="22.5" customHeight="1" x14ac:dyDescent="0.3">
      <c r="A16" s="607"/>
      <c r="B16" s="97" t="str">
        <f>IF(ISBLANK(IGRF!B26),"",IGRF!B26)</f>
        <v/>
      </c>
      <c r="C16" s="98" t="str">
        <f>IF(ISBLANK(IGRF!C26),"",IGRF!C26)</f>
        <v/>
      </c>
      <c r="D16" s="608"/>
      <c r="E16" s="607"/>
      <c r="F16" s="97" t="str">
        <f>IF(ISBLANK(IGRF!I26),"",IGRF!I26)</f>
        <v/>
      </c>
      <c r="G16" s="98" t="str">
        <f>IF(ISBLANK(IGRF!J26),"",IGRF!J26)</f>
        <v/>
      </c>
      <c r="H16" s="608"/>
      <c r="J16" s="599" t="str">
        <f>IF(ISBLANK(IGRF!C72), "", IGRF!C72)</f>
        <v/>
      </c>
      <c r="K16" s="600"/>
    </row>
    <row r="17" spans="1:11" ht="22.5" customHeight="1" x14ac:dyDescent="0.3">
      <c r="A17" s="607"/>
      <c r="B17" s="97" t="str">
        <f>IF(ISBLANK(IGRF!B27),"",IGRF!B27)</f>
        <v/>
      </c>
      <c r="C17" s="98" t="str">
        <f>IF(ISBLANK(IGRF!C27),"",IGRF!C27)</f>
        <v/>
      </c>
      <c r="D17" s="608"/>
      <c r="E17" s="607"/>
      <c r="F17" s="97" t="str">
        <f>IF(ISBLANK(IGRF!I27),"",IGRF!I27)</f>
        <v/>
      </c>
      <c r="G17" s="98" t="str">
        <f>IF(ISBLANK(IGRF!J27),"",IGRF!J27)</f>
        <v/>
      </c>
      <c r="H17" s="608"/>
      <c r="J17" s="599" t="str">
        <f>IF(ISBLANK(IGRF!C73), "", IGRF!C73)</f>
        <v/>
      </c>
      <c r="K17" s="600"/>
    </row>
    <row r="18" spans="1:11" ht="22.5" customHeight="1" x14ac:dyDescent="0.3">
      <c r="A18" s="607"/>
      <c r="B18" s="97" t="str">
        <f>IF(ISBLANK(IGRF!B28),"",IGRF!B28)</f>
        <v/>
      </c>
      <c r="C18" s="98" t="str">
        <f>IF(ISBLANK(IGRF!C28),"",IGRF!C28)</f>
        <v/>
      </c>
      <c r="D18" s="608"/>
      <c r="E18" s="607"/>
      <c r="F18" s="97" t="str">
        <f>IF(ISBLANK(IGRF!I28),"",IGRF!I28)</f>
        <v/>
      </c>
      <c r="G18" s="98" t="str">
        <f>IF(ISBLANK(IGRF!J28),"",IGRF!J28)</f>
        <v/>
      </c>
      <c r="H18" s="608"/>
      <c r="J18" s="599" t="str">
        <f>IF(ISBLANK(IGRF!C74), "", IGRF!C74)</f>
        <v/>
      </c>
      <c r="K18" s="600"/>
    </row>
    <row r="19" spans="1:11" ht="22.5" customHeight="1" x14ac:dyDescent="0.3">
      <c r="A19" s="607"/>
      <c r="B19" s="97" t="str">
        <f>IF(ISBLANK(IGRF!B29),"",IGRF!B29)</f>
        <v/>
      </c>
      <c r="C19" s="98" t="str">
        <f>IF(ISBLANK(IGRF!C29),"",IGRF!C29)</f>
        <v/>
      </c>
      <c r="D19" s="608"/>
      <c r="E19" s="607"/>
      <c r="F19" s="97" t="str">
        <f>IF(ISBLANK(IGRF!I29),"",IGRF!I29)</f>
        <v/>
      </c>
      <c r="G19" s="98" t="str">
        <f>IF(ISBLANK(IGRF!J29),"",IGRF!J29)</f>
        <v/>
      </c>
      <c r="H19" s="608"/>
      <c r="J19" s="599" t="str">
        <f>IF(ISBLANK(IGRF!C75), "", IGRF!C75)</f>
        <v/>
      </c>
      <c r="K19" s="600"/>
    </row>
    <row r="20" spans="1:11" ht="22.5" customHeight="1" x14ac:dyDescent="0.3">
      <c r="A20" s="607"/>
      <c r="B20" s="97" t="str">
        <f>IF(ISBLANK(IGRF!B30),"",IGRF!B30)</f>
        <v/>
      </c>
      <c r="C20" s="98" t="str">
        <f>IF(ISBLANK(IGRF!C30),"",IGRF!C30)</f>
        <v/>
      </c>
      <c r="D20" s="608"/>
      <c r="E20" s="607"/>
      <c r="F20" s="97" t="str">
        <f>IF(ISBLANK(IGRF!I30),"",IGRF!I30)</f>
        <v/>
      </c>
      <c r="G20" s="98" t="str">
        <f>IF(ISBLANK(IGRF!J30),"",IGRF!J30)</f>
        <v/>
      </c>
      <c r="H20" s="608"/>
      <c r="J20" s="599" t="str">
        <f>IF(ISBLANK(IGRF!C76), "", IGRF!C76)</f>
        <v/>
      </c>
      <c r="K20" s="600"/>
    </row>
    <row r="21" spans="1:11" ht="22.5" customHeight="1" x14ac:dyDescent="0.3">
      <c r="A21" s="607"/>
      <c r="B21" s="97" t="str">
        <f>IF(ISBLANK(IGRF!B31),"",IGRF!B31)</f>
        <v/>
      </c>
      <c r="C21" s="98" t="str">
        <f>IF(ISBLANK(IGRF!C31),"",IGRF!C31)</f>
        <v/>
      </c>
      <c r="D21" s="608"/>
      <c r="E21" s="607"/>
      <c r="F21" s="97" t="str">
        <f>IF(ISBLANK(IGRF!I31),"",IGRF!I31)</f>
        <v/>
      </c>
      <c r="G21" s="98" t="str">
        <f>IF(ISBLANK(IGRF!J31),"",IGRF!J31)</f>
        <v/>
      </c>
      <c r="H21" s="608"/>
      <c r="J21" s="599" t="str">
        <f>IF(ISBLANK(IGRF!C77), "", IGRF!C77)</f>
        <v/>
      </c>
      <c r="K21" s="600"/>
    </row>
    <row r="22" spans="1:11" ht="22.5" customHeight="1" x14ac:dyDescent="0.3">
      <c r="A22" s="607"/>
      <c r="B22" s="97" t="str">
        <f>IF(ISBLANK(IGRF!B32),"",IGRF!B32)</f>
        <v/>
      </c>
      <c r="C22" s="98" t="str">
        <f>IF(ISBLANK(IGRF!C32),"",IGRF!C32)</f>
        <v/>
      </c>
      <c r="D22" s="608"/>
      <c r="E22" s="607"/>
      <c r="F22" s="97" t="str">
        <f>IF(ISBLANK(IGRF!I32),"",IGRF!I32)</f>
        <v/>
      </c>
      <c r="G22" s="98" t="str">
        <f>IF(ISBLANK(IGRF!J32),"",IGRF!J32)</f>
        <v/>
      </c>
      <c r="H22" s="608"/>
      <c r="J22" s="599" t="str">
        <f>IF(ISBLANK(IGRF!C78), "", IGRF!C78)</f>
        <v/>
      </c>
      <c r="K22" s="600"/>
    </row>
    <row r="23" spans="1:11" ht="22.5" customHeight="1" thickBot="1" x14ac:dyDescent="0.35">
      <c r="A23" s="609"/>
      <c r="B23" s="610" t="str">
        <f>IF(ISBLANK(IGRF!B33),"",IGRF!B33)</f>
        <v/>
      </c>
      <c r="C23" s="611" t="str">
        <f>IF(ISBLANK(IGRF!C33),"",IGRF!C33)</f>
        <v/>
      </c>
      <c r="D23" s="612"/>
      <c r="E23" s="609"/>
      <c r="F23" s="610" t="str">
        <f>IF(ISBLANK(IGRF!I33),"",IGRF!I33)</f>
        <v/>
      </c>
      <c r="G23" s="611" t="str">
        <f>IF(ISBLANK(IGRF!J33),"",IGRF!J33)</f>
        <v/>
      </c>
      <c r="H23" s="612"/>
      <c r="J23" s="599" t="str">
        <f>IF(ISBLANK(IGRF!C79), "", IGRF!C79)</f>
        <v/>
      </c>
      <c r="K23" s="600"/>
    </row>
    <row r="24" spans="1:11" x14ac:dyDescent="0.3">
      <c r="K24" s="600"/>
    </row>
    <row r="25" spans="1:11" x14ac:dyDescent="0.3">
      <c r="K25" s="600"/>
    </row>
    <row r="26" spans="1:11" x14ac:dyDescent="0.3">
      <c r="K26" s="600"/>
    </row>
    <row r="27" spans="1:11" x14ac:dyDescent="0.3">
      <c r="K27" s="600"/>
    </row>
    <row r="28" spans="1:11" x14ac:dyDescent="0.3">
      <c r="K28" s="600"/>
    </row>
    <row r="29" spans="1:11" x14ac:dyDescent="0.3">
      <c r="K29" s="600"/>
    </row>
    <row r="30" spans="1:11" x14ac:dyDescent="0.3">
      <c r="K30" s="600"/>
    </row>
  </sheetData>
  <sheetProtection selectLockedCells="1" selectUnlockedCells="1"/>
  <mergeCells count="7">
    <mergeCell ref="J3:K3"/>
    <mergeCell ref="J1:K1"/>
    <mergeCell ref="B1:C1"/>
    <mergeCell ref="F1:G1"/>
    <mergeCell ref="B2:C2"/>
    <mergeCell ref="F2:G2"/>
    <mergeCell ref="J2:K2"/>
  </mergeCells>
  <printOptions horizontalCentered="1" verticalCentered="1"/>
  <pageMargins left="0.7" right="0.7" top="0.75" bottom="0.75" header="0.25" footer="0.51180555555555596"/>
  <pageSetup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408" t="str">
        <f>Score!$A$1</f>
        <v>Home Team</v>
      </c>
      <c r="C1" s="1408"/>
      <c r="D1" s="1408"/>
      <c r="E1" s="534" t="str">
        <f>IF(ISBLANK(IGRF!$B$12), "", IGRF!$B$12)</f>
        <v/>
      </c>
      <c r="F1" s="1417"/>
      <c r="G1" s="1417"/>
      <c r="H1" s="1417"/>
      <c r="I1" s="1409" t="str">
        <f>IF(ISBLANK(IGRF!$B$7), "", IGRF!$B$7)</f>
        <v/>
      </c>
      <c r="J1" s="1414">
        <v>1</v>
      </c>
    </row>
    <row r="2" spans="1:10" s="2" customFormat="1" ht="15" customHeight="1" x14ac:dyDescent="0.2">
      <c r="A2" s="1411" t="s">
        <v>192</v>
      </c>
      <c r="B2" s="1408" t="str">
        <f>Score!$T$1</f>
        <v>Away Team</v>
      </c>
      <c r="C2" s="1408"/>
      <c r="D2" s="1408"/>
      <c r="E2" s="1420" t="str">
        <f>IF(ISBLANK(IGRF!$I$12),"",IGRF!$I$12)</f>
        <v/>
      </c>
      <c r="F2" s="1418"/>
      <c r="G2" s="1418"/>
      <c r="H2" s="1418"/>
      <c r="I2" s="1410"/>
      <c r="J2" s="1414"/>
    </row>
    <row r="3" spans="1:10" s="2" customFormat="1" ht="15" customHeight="1" thickBot="1" x14ac:dyDescent="0.25">
      <c r="A3" s="1411"/>
      <c r="B3" s="1408"/>
      <c r="C3" s="1408"/>
      <c r="D3" s="1408"/>
      <c r="E3" s="1421"/>
      <c r="F3" s="1419" t="s">
        <v>185</v>
      </c>
      <c r="G3" s="1419"/>
      <c r="H3" s="1419"/>
      <c r="I3" s="108" t="s">
        <v>190</v>
      </c>
      <c r="J3" s="109" t="str">
        <f>IF(ISBLANK(IGRF!$L$3), "", "GAME " &amp; IGRF!$L$3)</f>
        <v/>
      </c>
    </row>
    <row r="4" spans="1:10" s="6" customFormat="1" ht="15" customHeight="1" thickBot="1" x14ac:dyDescent="0.25">
      <c r="A4" s="21"/>
      <c r="B4" s="1398" t="s">
        <v>43</v>
      </c>
      <c r="C4" s="1398"/>
      <c r="D4" s="1398" t="s">
        <v>44</v>
      </c>
      <c r="E4" s="1398"/>
      <c r="F4" s="1398"/>
      <c r="G4" s="1416" t="s">
        <v>45</v>
      </c>
      <c r="H4" s="1416"/>
      <c r="I4" s="1399" t="s">
        <v>140</v>
      </c>
      <c r="J4" s="1399"/>
    </row>
    <row r="5" spans="1:10" s="6" customFormat="1" ht="21" customHeight="1" thickBot="1" x14ac:dyDescent="0.25">
      <c r="A5" s="22" t="s">
        <v>117</v>
      </c>
      <c r="B5" s="1413"/>
      <c r="C5" s="1413"/>
      <c r="D5" s="1389" t="s">
        <v>657</v>
      </c>
      <c r="E5" s="1390" t="s">
        <v>659</v>
      </c>
      <c r="F5" s="1391"/>
      <c r="G5" s="1389" t="s">
        <v>653</v>
      </c>
      <c r="H5" s="1425"/>
      <c r="I5" s="1415" t="str">
        <f>B1</f>
        <v>Home Team</v>
      </c>
      <c r="J5" s="1392"/>
    </row>
    <row r="6" spans="1:10" s="6" customFormat="1" ht="21" customHeight="1" thickBot="1" x14ac:dyDescent="0.25">
      <c r="A6" s="23" t="s">
        <v>121</v>
      </c>
      <c r="B6" s="1397"/>
      <c r="C6" s="1397"/>
      <c r="D6" s="1389"/>
      <c r="E6" s="1390"/>
      <c r="F6" s="1391"/>
      <c r="G6" s="1389"/>
      <c r="H6" s="1426"/>
      <c r="I6" s="1415"/>
      <c r="J6" s="1392"/>
    </row>
    <row r="7" spans="1:10" s="6" customFormat="1" ht="21" customHeight="1" thickBot="1" x14ac:dyDescent="0.25">
      <c r="A7" s="22" t="s">
        <v>117</v>
      </c>
      <c r="B7" s="1413"/>
      <c r="C7" s="1413"/>
      <c r="D7" s="1389" t="s">
        <v>653</v>
      </c>
      <c r="E7" s="1390" t="s">
        <v>658</v>
      </c>
      <c r="F7" s="1391"/>
      <c r="G7" s="1389" t="s">
        <v>653</v>
      </c>
      <c r="H7" s="1403" t="s">
        <v>116</v>
      </c>
      <c r="I7" s="1392" t="str">
        <f>B2</f>
        <v>Away Team</v>
      </c>
      <c r="J7" s="1392"/>
    </row>
    <row r="8" spans="1:10" s="6" customFormat="1" ht="21" customHeight="1" thickBot="1" x14ac:dyDescent="0.25">
      <c r="A8" s="23" t="s">
        <v>121</v>
      </c>
      <c r="B8" s="1397"/>
      <c r="C8" s="1397"/>
      <c r="D8" s="1389"/>
      <c r="E8" s="1390"/>
      <c r="F8" s="1391"/>
      <c r="G8" s="1389"/>
      <c r="H8" s="1404"/>
      <c r="I8" s="1392"/>
      <c r="J8" s="1392"/>
    </row>
    <row r="9" spans="1:10" x14ac:dyDescent="0.2">
      <c r="A9" s="1394" t="s">
        <v>514</v>
      </c>
      <c r="B9" s="1394"/>
      <c r="C9" s="1394"/>
      <c r="D9" s="1394"/>
      <c r="E9" s="1394"/>
      <c r="F9" s="1394"/>
      <c r="G9" s="1394"/>
      <c r="H9" s="1395"/>
      <c r="I9" s="1394"/>
      <c r="J9" s="1394"/>
    </row>
    <row r="10" spans="1:10" s="56" customFormat="1" ht="15" customHeight="1" x14ac:dyDescent="0.2">
      <c r="A10" s="53" t="s">
        <v>156</v>
      </c>
      <c r="B10" s="54" t="s">
        <v>46</v>
      </c>
      <c r="C10" s="54" t="s">
        <v>47</v>
      </c>
      <c r="D10" s="54" t="s">
        <v>48</v>
      </c>
      <c r="E10" s="1412" t="s">
        <v>49</v>
      </c>
      <c r="F10" s="1412"/>
      <c r="G10" s="1412"/>
      <c r="H10" s="295"/>
      <c r="I10" s="54" t="s">
        <v>50</v>
      </c>
      <c r="J10" s="55" t="s">
        <v>51</v>
      </c>
    </row>
    <row r="11" spans="1:10" s="7" customFormat="1" ht="25.9" customHeight="1" x14ac:dyDescent="0.2">
      <c r="A11" s="48" t="str">
        <f>IF(ISNUMBER(SK!B3), SK!A3, "")</f>
        <v/>
      </c>
      <c r="B11" s="49" t="n">
        <v>68.0</v>
      </c>
      <c r="C11" s="50"/>
      <c r="D11" s="50" t="s">
        <v>662</v>
      </c>
      <c r="E11" s="1422" t="s">
        <v>663</v>
      </c>
      <c r="F11" s="1423"/>
      <c r="G11" s="1423"/>
      <c r="H11" s="142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47.0</v>
      </c>
      <c r="C12" s="32"/>
      <c r="D12" s="32"/>
      <c r="E12" s="1405"/>
      <c r="F12" s="1406"/>
      <c r="G12" s="1406"/>
      <c r="H12" s="1407"/>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39.0</v>
      </c>
      <c r="C13" s="27"/>
      <c r="D13" s="27"/>
      <c r="E13" s="1400"/>
      <c r="F13" s="1401"/>
      <c r="G13" s="1401"/>
      <c r="H13" s="1402"/>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74.0</v>
      </c>
      <c r="C14" s="32"/>
      <c r="D14" s="32"/>
      <c r="E14" s="1405"/>
      <c r="F14" s="1406"/>
      <c r="G14" s="1406"/>
      <c r="H14" s="1407"/>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26.0</v>
      </c>
      <c r="C15" s="27"/>
      <c r="D15" s="27" t="s">
        <v>668</v>
      </c>
      <c r="E15" s="1400" t="s">
        <v>669</v>
      </c>
      <c r="F15" s="1401"/>
      <c r="G15" s="1401"/>
      <c r="H15" s="1402"/>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50.0</v>
      </c>
      <c r="C16" s="32"/>
      <c r="D16" s="32"/>
      <c r="E16" s="1405"/>
      <c r="F16" s="1406"/>
      <c r="G16" s="1406"/>
      <c r="H16" s="1407"/>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44.0</v>
      </c>
      <c r="C17" s="27"/>
      <c r="D17" s="27"/>
      <c r="E17" s="1400"/>
      <c r="F17" s="1401"/>
      <c r="G17" s="1401"/>
      <c r="H17" s="1402"/>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24.0</v>
      </c>
      <c r="C18" s="32"/>
      <c r="D18" s="32"/>
      <c r="E18" s="1405"/>
      <c r="F18" s="1406"/>
      <c r="G18" s="1406"/>
      <c r="H18" s="1407"/>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70.0</v>
      </c>
      <c r="C19" s="27"/>
      <c r="D19" s="27"/>
      <c r="E19" s="1400"/>
      <c r="F19" s="1401"/>
      <c r="G19" s="1401"/>
      <c r="H19" s="1402"/>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106.0</v>
      </c>
      <c r="C20" s="32"/>
      <c r="D20" s="32" t="s">
        <v>668</v>
      </c>
      <c r="E20" s="1405" t="s">
        <v>670</v>
      </c>
      <c r="F20" s="1406"/>
      <c r="G20" s="1406"/>
      <c r="H20" s="1407"/>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26.0</v>
      </c>
      <c r="C21" s="27"/>
      <c r="D21" s="27"/>
      <c r="E21" s="1400"/>
      <c r="F21" s="1401"/>
      <c r="G21" s="1401"/>
      <c r="H21" s="1402"/>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28.0</v>
      </c>
      <c r="C22" s="32"/>
      <c r="D22" s="32"/>
      <c r="E22" s="1405"/>
      <c r="F22" s="1406"/>
      <c r="G22" s="1406"/>
      <c r="H22" s="1407"/>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34.0</v>
      </c>
      <c r="C23" s="27"/>
      <c r="D23" s="27"/>
      <c r="E23" s="1400"/>
      <c r="F23" s="1401"/>
      <c r="G23" s="1401"/>
      <c r="H23" s="1402"/>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69.0</v>
      </c>
      <c r="C24" s="32"/>
      <c r="D24" s="32" t="s">
        <v>672</v>
      </c>
      <c r="E24" s="1405" t="s">
        <v>673</v>
      </c>
      <c r="F24" s="1406"/>
      <c r="G24" s="1406"/>
      <c r="H24" s="1407"/>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120.0</v>
      </c>
      <c r="C25" s="27"/>
      <c r="D25" s="27"/>
      <c r="E25" s="1400"/>
      <c r="F25" s="1401"/>
      <c r="G25" s="1401"/>
      <c r="H25" s="1402"/>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35.0</v>
      </c>
      <c r="C26" s="32"/>
      <c r="D26" s="32"/>
      <c r="E26" s="1405"/>
      <c r="F26" s="1406"/>
      <c r="G26" s="1406"/>
      <c r="H26" s="1407"/>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66.0</v>
      </c>
      <c r="C27" s="27"/>
      <c r="D27" s="27"/>
      <c r="E27" s="1400"/>
      <c r="F27" s="1401"/>
      <c r="G27" s="1401"/>
      <c r="H27" s="1402"/>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62.0</v>
      </c>
      <c r="C28" s="32"/>
      <c r="D28" s="32"/>
      <c r="E28" s="1405"/>
      <c r="F28" s="1406"/>
      <c r="G28" s="1406"/>
      <c r="H28" s="1407"/>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120.0</v>
      </c>
      <c r="C29" s="27"/>
      <c r="D29" s="27"/>
      <c r="E29" s="1400"/>
      <c r="F29" s="1401"/>
      <c r="G29" s="1401"/>
      <c r="H29" s="1402"/>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26.0</v>
      </c>
      <c r="C30" s="32"/>
      <c r="D30" s="32" t="s">
        <v>668</v>
      </c>
      <c r="E30" s="1405" t="s">
        <v>674</v>
      </c>
      <c r="F30" s="1406"/>
      <c r="G30" s="1406"/>
      <c r="H30" s="1407"/>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20.0</v>
      </c>
      <c r="C31" s="27"/>
      <c r="D31" s="27"/>
      <c r="E31" s="1400"/>
      <c r="F31" s="1401"/>
      <c r="G31" s="1401"/>
      <c r="H31" s="1402"/>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25.0</v>
      </c>
      <c r="C32" s="32"/>
      <c r="D32" s="32"/>
      <c r="E32" s="1405"/>
      <c r="F32" s="1406"/>
      <c r="G32" s="1406"/>
      <c r="H32" s="1407"/>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t="n">
        <v>28.0</v>
      </c>
      <c r="C33" s="27"/>
      <c r="D33" s="27"/>
      <c r="E33" s="1400"/>
      <c r="F33" s="1401"/>
      <c r="G33" s="1401"/>
      <c r="H33" s="1402"/>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405"/>
      <c r="F34" s="1406"/>
      <c r="G34" s="1406"/>
      <c r="H34" s="1407"/>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400"/>
      <c r="F35" s="1401"/>
      <c r="G35" s="1401"/>
      <c r="H35" s="1402"/>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405"/>
      <c r="F36" s="1406"/>
      <c r="G36" s="1406"/>
      <c r="H36" s="1407"/>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400"/>
      <c r="F37" s="1401"/>
      <c r="G37" s="1401"/>
      <c r="H37" s="1402"/>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405"/>
      <c r="F38" s="1406"/>
      <c r="G38" s="1406"/>
      <c r="H38" s="1407"/>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400"/>
      <c r="F39" s="1401"/>
      <c r="G39" s="1401"/>
      <c r="H39" s="1402"/>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405"/>
      <c r="F40" s="1406"/>
      <c r="G40" s="1406"/>
      <c r="H40" s="1407"/>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400"/>
      <c r="F41" s="1401"/>
      <c r="G41" s="1401"/>
      <c r="H41" s="1402"/>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405"/>
      <c r="F42" s="1406"/>
      <c r="G42" s="1406"/>
      <c r="H42" s="1407"/>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400"/>
      <c r="F43" s="1401"/>
      <c r="G43" s="1401"/>
      <c r="H43" s="1402"/>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405"/>
      <c r="F44" s="1406"/>
      <c r="G44" s="1406"/>
      <c r="H44" s="1407"/>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400"/>
      <c r="F45" s="1401"/>
      <c r="G45" s="1401"/>
      <c r="H45" s="1402"/>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405"/>
      <c r="F46" s="1406"/>
      <c r="G46" s="1406"/>
      <c r="H46" s="1407"/>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400"/>
      <c r="F47" s="1401"/>
      <c r="G47" s="1401"/>
      <c r="H47" s="1402"/>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427"/>
      <c r="F48" s="1428"/>
      <c r="G48" s="1428"/>
      <c r="H48" s="1429"/>
      <c r="I48" s="33" t="str">
        <f t="shared" si="2"/>
        <v/>
      </c>
      <c r="J48" s="34" t="str">
        <f ca="1">IF(OR(A48="",B48="",B48=0),"",60*SUM(INDIRECT(ADDRESS(MATCH(A48,SK!A$3:A$78,0)+2,COLUMN(SK!E$2),1,,"SK")),INDIRECT(ADDRESS(MATCH(A48,SK!Q$3:Q$78,0)+2,COLUMN(SK!U$2),1,,"SK")))/IF(B48&lt;1,B48*1440,B48))</f>
        <v/>
      </c>
    </row>
    <row r="49" spans="1:10" x14ac:dyDescent="0.2">
      <c r="A49" s="591" t="s">
        <v>52</v>
      </c>
      <c r="B49" s="592"/>
      <c r="C49" s="592" t="s">
        <v>330</v>
      </c>
      <c r="D49" s="592"/>
      <c r="E49" s="592"/>
      <c r="F49" s="592"/>
      <c r="G49" s="592"/>
      <c r="H49" s="592"/>
      <c r="I49" s="592"/>
      <c r="J49" s="593"/>
    </row>
    <row r="50" spans="1:10" x14ac:dyDescent="0.2">
      <c r="A50" s="594" t="s">
        <v>53</v>
      </c>
      <c r="B50" s="39"/>
      <c r="C50" s="39" t="s">
        <v>515</v>
      </c>
      <c r="D50" s="39"/>
      <c r="E50" s="39"/>
      <c r="F50" s="39"/>
      <c r="G50" s="39"/>
      <c r="H50" s="39"/>
      <c r="I50" s="39"/>
      <c r="J50" s="40"/>
    </row>
    <row r="51" spans="1:10" ht="13.5" thickBot="1" x14ac:dyDescent="0.25">
      <c r="A51" s="595" t="s">
        <v>54</v>
      </c>
      <c r="B51" s="596"/>
      <c r="C51" s="597" t="s">
        <v>193</v>
      </c>
      <c r="D51" s="596"/>
      <c r="E51" s="596"/>
      <c r="F51" s="596"/>
      <c r="G51" s="596"/>
      <c r="H51" s="596"/>
      <c r="I51" s="596"/>
      <c r="J51" s="598"/>
    </row>
    <row r="52" spans="1:10" s="2" customFormat="1" ht="28.9" customHeight="1" x14ac:dyDescent="0.2">
      <c r="A52" s="57" t="s">
        <v>191</v>
      </c>
      <c r="B52" s="1408" t="str">
        <f>Score!$A$1</f>
        <v>Home Team</v>
      </c>
      <c r="C52" s="1408"/>
      <c r="D52" s="1408"/>
      <c r="E52" s="588" t="str">
        <f>E1</f>
        <v/>
      </c>
      <c r="F52" s="1430"/>
      <c r="G52" s="1430"/>
      <c r="H52" s="1430"/>
      <c r="I52" s="1409" t="str">
        <f>IF(ISBLANK(IGRF!$B$7), "", IGRF!$B$7)</f>
        <v/>
      </c>
      <c r="J52" s="1414">
        <v>2</v>
      </c>
    </row>
    <row r="53" spans="1:10" s="2" customFormat="1" ht="15" customHeight="1" x14ac:dyDescent="0.2">
      <c r="A53" s="1411" t="s">
        <v>192</v>
      </c>
      <c r="B53" s="1408" t="str">
        <f>Score!$T$1</f>
        <v>Away Team</v>
      </c>
      <c r="C53" s="1408"/>
      <c r="D53" s="1408"/>
      <c r="E53" s="1420" t="str">
        <f>E2</f>
        <v/>
      </c>
      <c r="F53" s="1418"/>
      <c r="G53" s="1418"/>
      <c r="H53" s="1418"/>
      <c r="I53" s="1410"/>
      <c r="J53" s="1414"/>
    </row>
    <row r="54" spans="1:10" s="2" customFormat="1" ht="15" customHeight="1" thickBot="1" x14ac:dyDescent="0.25">
      <c r="A54" s="1411"/>
      <c r="B54" s="1408"/>
      <c r="C54" s="1408"/>
      <c r="D54" s="1408"/>
      <c r="E54" s="1431"/>
      <c r="F54" s="1419" t="s">
        <v>185</v>
      </c>
      <c r="G54" s="1419"/>
      <c r="H54" s="1419"/>
      <c r="I54" s="108" t="s">
        <v>190</v>
      </c>
      <c r="J54" s="109" t="str">
        <f>J3</f>
        <v/>
      </c>
    </row>
    <row r="55" spans="1:10" s="6" customFormat="1" ht="15" customHeight="1" thickBot="1" x14ac:dyDescent="0.25">
      <c r="A55" s="21"/>
      <c r="B55" s="1398" t="s">
        <v>43</v>
      </c>
      <c r="C55" s="1398"/>
      <c r="D55" s="1398" t="s">
        <v>44</v>
      </c>
      <c r="E55" s="1398"/>
      <c r="F55" s="1398"/>
      <c r="G55" s="1416" t="s">
        <v>45</v>
      </c>
      <c r="H55" s="1416"/>
      <c r="I55" s="1399" t="s">
        <v>140</v>
      </c>
      <c r="J55" s="1399"/>
    </row>
    <row r="56" spans="1:10" ht="21" customHeight="1" thickBot="1" x14ac:dyDescent="0.25">
      <c r="A56" s="22" t="s">
        <v>117</v>
      </c>
      <c r="B56" s="1388"/>
      <c r="C56" s="1388"/>
      <c r="D56" s="1389" t="s">
        <v>116</v>
      </c>
      <c r="E56" s="1390" t="s">
        <v>116</v>
      </c>
      <c r="F56" s="1391" t="s">
        <v>675</v>
      </c>
      <c r="G56" s="1389" t="s">
        <v>676</v>
      </c>
      <c r="H56" s="1425" t="s">
        <v>116</v>
      </c>
      <c r="I56" s="1392" t="str">
        <f>I5</f>
        <v>Home Team</v>
      </c>
      <c r="J56" s="1392"/>
    </row>
    <row r="57" spans="1:10" ht="21" customHeight="1" thickBot="1" x14ac:dyDescent="0.25">
      <c r="A57" s="23" t="s">
        <v>121</v>
      </c>
      <c r="B57" s="1393" t="str">
        <f>IF(B6="", "",B6 )</f>
        <v/>
      </c>
      <c r="C57" s="1393"/>
      <c r="D57" s="1389"/>
      <c r="E57" s="1390"/>
      <c r="F57" s="1391"/>
      <c r="G57" s="1389"/>
      <c r="H57" s="1426"/>
      <c r="I57" s="1392"/>
      <c r="J57" s="1392"/>
    </row>
    <row r="58" spans="1:10" ht="21" customHeight="1" thickBot="1" x14ac:dyDescent="0.25">
      <c r="A58" s="22" t="s">
        <v>117</v>
      </c>
      <c r="B58" s="1388"/>
      <c r="C58" s="1388"/>
      <c r="D58" s="1389" t="s">
        <v>116</v>
      </c>
      <c r="E58" s="1390" t="s">
        <v>116</v>
      </c>
      <c r="F58" s="1391" t="s">
        <v>680</v>
      </c>
      <c r="G58" s="1389" t="s">
        <v>678</v>
      </c>
      <c r="H58" s="1403" t="s">
        <v>116</v>
      </c>
      <c r="I58" s="1392" t="str">
        <f>I7</f>
        <v>Away Team</v>
      </c>
      <c r="J58" s="1392"/>
    </row>
    <row r="59" spans="1:10" ht="21" customHeight="1" thickBot="1" x14ac:dyDescent="0.25">
      <c r="A59" s="23" t="s">
        <v>121</v>
      </c>
      <c r="B59" s="1393" t="str">
        <f>IF(B8="", "",B8 )</f>
        <v/>
      </c>
      <c r="C59" s="1393"/>
      <c r="D59" s="1389"/>
      <c r="E59" s="1390"/>
      <c r="F59" s="1391"/>
      <c r="G59" s="1389"/>
      <c r="H59" s="1404"/>
      <c r="I59" s="1392"/>
      <c r="J59" s="1392"/>
    </row>
    <row r="60" spans="1:10" ht="13.5" thickBot="1" x14ac:dyDescent="0.25">
      <c r="A60" s="1394" t="str">
        <f>A9</f>
        <v>Identify Captains and Alternates before game. Indicate time on period clock when TO or OR used.</v>
      </c>
      <c r="B60" s="1394"/>
      <c r="C60" s="1394"/>
      <c r="D60" s="1394"/>
      <c r="E60" s="1394"/>
      <c r="F60" s="1394"/>
      <c r="G60" s="1394"/>
      <c r="H60" s="1395"/>
      <c r="I60" s="1394"/>
      <c r="J60" s="1394"/>
    </row>
    <row r="61" spans="1:10" s="6" customFormat="1" ht="15" customHeight="1" x14ac:dyDescent="0.2">
      <c r="A61" s="45" t="s">
        <v>156</v>
      </c>
      <c r="B61" s="46" t="s">
        <v>46</v>
      </c>
      <c r="C61" s="46" t="s">
        <v>47</v>
      </c>
      <c r="D61" s="46" t="s">
        <v>48</v>
      </c>
      <c r="E61" s="1396" t="s">
        <v>49</v>
      </c>
      <c r="F61" s="1396"/>
      <c r="G61" s="1396"/>
      <c r="H61" s="343"/>
      <c r="I61" s="46" t="s">
        <v>50</v>
      </c>
      <c r="J61" s="47" t="s">
        <v>51</v>
      </c>
    </row>
    <row r="62" spans="1:10" ht="25.9" customHeight="1" x14ac:dyDescent="0.2">
      <c r="A62" s="25" t="str">
        <f>IF(ISNUMBER(SK!B88), SK!A88, "")</f>
        <v/>
      </c>
      <c r="B62" s="26" t="n">
        <v>120.0</v>
      </c>
      <c r="C62" s="27"/>
      <c r="D62" s="27"/>
      <c r="E62" s="1400"/>
      <c r="F62" s="1401"/>
      <c r="G62" s="1401"/>
      <c r="H62" s="1402"/>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28.0</v>
      </c>
      <c r="C63" s="32"/>
      <c r="D63" s="32"/>
      <c r="E63" s="1405"/>
      <c r="F63" s="1406"/>
      <c r="G63" s="1406"/>
      <c r="H63" s="1407"/>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3.0</v>
      </c>
      <c r="C64" s="27"/>
      <c r="D64" s="27" t="s">
        <v>672</v>
      </c>
      <c r="E64" s="1400" t="s">
        <v>682</v>
      </c>
      <c r="F64" s="1401"/>
      <c r="G64" s="1401"/>
      <c r="H64" s="1402"/>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113.0</v>
      </c>
      <c r="C65" s="32"/>
      <c r="D65" s="32" t="s">
        <v>672</v>
      </c>
      <c r="E65" s="1405" t="s">
        <v>683</v>
      </c>
      <c r="F65" s="1406"/>
      <c r="G65" s="1406"/>
      <c r="H65" s="1407"/>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120.0</v>
      </c>
      <c r="C66" s="27"/>
      <c r="D66" s="27" t="s">
        <v>672</v>
      </c>
      <c r="E66" s="1400" t="s">
        <v>684</v>
      </c>
      <c r="F66" s="1401"/>
      <c r="G66" s="1401"/>
      <c r="H66" s="1402"/>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47.0</v>
      </c>
      <c r="C67" s="32"/>
      <c r="D67" s="32"/>
      <c r="E67" s="1405"/>
      <c r="F67" s="1406"/>
      <c r="G67" s="1406"/>
      <c r="H67" s="1407"/>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44.0</v>
      </c>
      <c r="C68" s="27"/>
      <c r="D68" s="27" t="s">
        <v>668</v>
      </c>
      <c r="E68" s="1400" t="s">
        <v>685</v>
      </c>
      <c r="F68" s="1401"/>
      <c r="G68" s="1401"/>
      <c r="H68" s="1402"/>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21.0</v>
      </c>
      <c r="C69" s="32"/>
      <c r="D69" s="32" t="s">
        <v>672</v>
      </c>
      <c r="E69" s="1405" t="s">
        <v>686</v>
      </c>
      <c r="F69" s="1406"/>
      <c r="G69" s="1406"/>
      <c r="H69" s="1407"/>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24.0</v>
      </c>
      <c r="C70" s="27"/>
      <c r="D70" s="27"/>
      <c r="E70" s="1400"/>
      <c r="F70" s="1401"/>
      <c r="G70" s="1401"/>
      <c r="H70" s="1402"/>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71.0</v>
      </c>
      <c r="C71" s="32"/>
      <c r="D71" s="32"/>
      <c r="E71" s="1405"/>
      <c r="F71" s="1406"/>
      <c r="G71" s="1406"/>
      <c r="H71" s="1407"/>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44.0</v>
      </c>
      <c r="C72" s="27"/>
      <c r="D72" s="27"/>
      <c r="E72" s="1400"/>
      <c r="F72" s="1401"/>
      <c r="G72" s="1401"/>
      <c r="H72" s="1402"/>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3.0</v>
      </c>
      <c r="C73" s="32"/>
      <c r="D73" s="32" t="s">
        <v>672</v>
      </c>
      <c r="E73" s="1405" t="s">
        <v>687</v>
      </c>
      <c r="F73" s="1406"/>
      <c r="G73" s="1406"/>
      <c r="H73" s="1407"/>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38.0</v>
      </c>
      <c r="C74" s="27"/>
      <c r="D74" s="27" t="s">
        <v>688</v>
      </c>
      <c r="E74" s="1400" t="s">
        <v>689</v>
      </c>
      <c r="F74" s="1401"/>
      <c r="G74" s="1401"/>
      <c r="H74" s="1402"/>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41.0</v>
      </c>
      <c r="C75" s="32"/>
      <c r="D75" s="32"/>
      <c r="E75" s="1405"/>
      <c r="F75" s="1406"/>
      <c r="G75" s="1406"/>
      <c r="H75" s="1407"/>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39.0</v>
      </c>
      <c r="C76" s="27"/>
      <c r="D76" s="27" t="s">
        <v>688</v>
      </c>
      <c r="E76" s="1400" t="s">
        <v>690</v>
      </c>
      <c r="F76" s="1401"/>
      <c r="G76" s="1401"/>
      <c r="H76" s="1402"/>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38.0</v>
      </c>
      <c r="C77" s="32"/>
      <c r="D77" s="32"/>
      <c r="E77" s="1405"/>
      <c r="F77" s="1406"/>
      <c r="G77" s="1406"/>
      <c r="H77" s="1407"/>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101.0</v>
      </c>
      <c r="C78" s="27"/>
      <c r="D78" s="27" t="s">
        <v>691</v>
      </c>
      <c r="E78" s="1400" t="s">
        <v>692</v>
      </c>
      <c r="F78" s="1401"/>
      <c r="G78" s="1401"/>
      <c r="H78" s="1402"/>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22.0</v>
      </c>
      <c r="C79" s="32"/>
      <c r="D79" s="32" t="s">
        <v>672</v>
      </c>
      <c r="E79" s="1405" t="s">
        <v>693</v>
      </c>
      <c r="F79" s="1406"/>
      <c r="G79" s="1406"/>
      <c r="H79" s="1407"/>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28.0</v>
      </c>
      <c r="C80" s="27"/>
      <c r="D80" s="27" t="s">
        <v>672</v>
      </c>
      <c r="E80" s="1400" t="s">
        <v>694</v>
      </c>
      <c r="F80" s="1401"/>
      <c r="G80" s="1401"/>
      <c r="H80" s="1402"/>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46.0</v>
      </c>
      <c r="C81" s="32"/>
      <c r="D81" s="32"/>
      <c r="E81" s="1405"/>
      <c r="F81" s="1406"/>
      <c r="G81" s="1406"/>
      <c r="H81" s="1407"/>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6.0</v>
      </c>
      <c r="C82" s="27"/>
      <c r="D82" s="27" t="s">
        <v>672</v>
      </c>
      <c r="E82" s="1400" t="s">
        <v>695</v>
      </c>
      <c r="F82" s="1401"/>
      <c r="G82" s="1401"/>
      <c r="H82" s="1402"/>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t="n">
        <v>59.0</v>
      </c>
      <c r="C83" s="32"/>
      <c r="D83" s="32" t="s">
        <v>672</v>
      </c>
      <c r="E83" s="1405" t="s">
        <v>696</v>
      </c>
      <c r="F83" s="1406"/>
      <c r="G83" s="1406"/>
      <c r="H83" s="1407"/>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400"/>
      <c r="F84" s="1401"/>
      <c r="G84" s="1401"/>
      <c r="H84" s="1402"/>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405"/>
      <c r="F85" s="1406"/>
      <c r="G85" s="1406"/>
      <c r="H85" s="1407"/>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400"/>
      <c r="F86" s="1401"/>
      <c r="G86" s="1401"/>
      <c r="H86" s="1402"/>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405"/>
      <c r="F87" s="1406"/>
      <c r="G87" s="1406"/>
      <c r="H87" s="1407"/>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400"/>
      <c r="F88" s="1401"/>
      <c r="G88" s="1401"/>
      <c r="H88" s="1402"/>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405"/>
      <c r="F89" s="1406"/>
      <c r="G89" s="1406"/>
      <c r="H89" s="1407"/>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400"/>
      <c r="F90" s="1401"/>
      <c r="G90" s="1401"/>
      <c r="H90" s="1402"/>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405"/>
      <c r="F91" s="1406"/>
      <c r="G91" s="1406"/>
      <c r="H91" s="1407"/>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400"/>
      <c r="F92" s="1401"/>
      <c r="G92" s="1401"/>
      <c r="H92" s="1402"/>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405"/>
      <c r="F93" s="1406"/>
      <c r="G93" s="1406"/>
      <c r="H93" s="1407"/>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400"/>
      <c r="F94" s="1401"/>
      <c r="G94" s="1401"/>
      <c r="H94" s="1402"/>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405"/>
      <c r="F95" s="1406"/>
      <c r="G95" s="1406"/>
      <c r="H95" s="1407"/>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400"/>
      <c r="F96" s="1401"/>
      <c r="G96" s="1401"/>
      <c r="H96" s="1402"/>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405"/>
      <c r="F97" s="1406"/>
      <c r="G97" s="1406"/>
      <c r="H97" s="1407"/>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400"/>
      <c r="F98" s="1401"/>
      <c r="G98" s="1401"/>
      <c r="H98" s="1402"/>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427"/>
      <c r="F99" s="1428"/>
      <c r="G99" s="1428"/>
      <c r="H99" s="142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330</v>
      </c>
      <c r="D100" s="36"/>
      <c r="E100" s="36"/>
      <c r="F100" s="36"/>
      <c r="G100" s="36"/>
      <c r="H100" s="36"/>
      <c r="I100" s="36"/>
      <c r="J100" s="37"/>
    </row>
    <row r="101" spans="1:10" x14ac:dyDescent="0.2">
      <c r="A101" s="38" t="s">
        <v>53</v>
      </c>
      <c r="B101" s="39"/>
      <c r="C101" s="39" t="s">
        <v>515</v>
      </c>
      <c r="D101" s="39"/>
      <c r="E101" s="39"/>
      <c r="F101" s="39"/>
      <c r="G101" s="39"/>
      <c r="H101" s="39"/>
      <c r="I101" s="39"/>
      <c r="J101" s="40"/>
    </row>
    <row r="102" spans="1:10" ht="13.5" thickBot="1" x14ac:dyDescent="0.25">
      <c r="A102" s="41" t="s">
        <v>54</v>
      </c>
      <c r="B102" s="42"/>
      <c r="C102" s="43" t="s">
        <v>193</v>
      </c>
      <c r="D102" s="42"/>
      <c r="E102" s="42"/>
      <c r="F102" s="42"/>
      <c r="G102" s="42"/>
      <c r="H102" s="342"/>
      <c r="I102" s="42"/>
      <c r="J102" s="44"/>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9" type="noConversion"/>
  <printOptions horizontalCentered="1"/>
  <pageMargins left="0.75" right="0.75" top="1.2" bottom="0.4" header="0.75" footer="0.4"/>
  <pageSetup scale="59" firstPageNumber="0" fitToHeight="2" orientation="portrait" horizontalDpi="4294967294" verticalDpi="4294967294" r:id="rId1"/>
  <headerFooter alignWithMargins="0">
    <oddHeader><![CDATA[&L&"Calibri,Regular"&36&K000000&G&34&A&R&"Calibri,Regular"&K000000
‘&A’ revision 2404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80" workbookViewId="0">
      <selection sqref="A1:B2"/>
    </sheetView>
  </sheetViews>
  <sheetFormatPr defaultColWidth="9.140625" defaultRowHeight="15" x14ac:dyDescent="0.25"/>
  <cols>
    <col min="1" max="1" customWidth="true" style="861" width="24.7109375" collapsed="false"/>
    <col min="2" max="2" customWidth="true" style="873" width="21.140625" collapsed="false"/>
    <col min="3" max="6" customWidth="true" style="861" width="52.28515625" collapsed="false"/>
    <col min="7" max="16384" style="861" width="9.140625" collapsed="false"/>
  </cols>
  <sheetData>
    <row r="1" spans="1:6" ht="15" customHeight="1" x14ac:dyDescent="0.25">
      <c r="A1" s="1435" t="str">
        <f>IF(IGRF!L3="","","Game "&amp;IGRF!L3&amp;"  "&amp;TEXT(IGRF!B7,"dddd")&amp;" @ "&amp;TEXT(IGRF!I7,"hh:mm AM/PM"))</f>
        <v/>
      </c>
      <c r="B1" s="1436"/>
      <c r="C1" s="1439" t="str">
        <f>IF(Score!A1="Home Team","", Score!A1)</f>
        <v/>
      </c>
      <c r="D1" s="1440"/>
      <c r="E1" s="1441" t="str">
        <f>IF(Score!T1="Away Team","",Score!T1)</f>
        <v/>
      </c>
      <c r="F1" s="1442"/>
    </row>
    <row r="2" spans="1:6" ht="15" customHeight="1" x14ac:dyDescent="0.25">
      <c r="A2" s="1437"/>
      <c r="B2" s="1438"/>
      <c r="C2" s="862" t="s">
        <v>484</v>
      </c>
      <c r="D2" s="863" t="s">
        <v>485</v>
      </c>
      <c r="E2" s="862" t="s">
        <v>484</v>
      </c>
      <c r="F2" s="863" t="s">
        <v>485</v>
      </c>
    </row>
    <row r="3" spans="1:6" ht="15.75" thickBot="1" x14ac:dyDescent="0.3">
      <c r="A3" s="1443" t="str">
        <f>"Head NSO: "&amp;IGRF!C60</f>
        <v xml:space="preserve">Head NSO: </v>
      </c>
      <c r="B3" s="1444"/>
      <c r="C3" s="864" t="s">
        <v>486</v>
      </c>
      <c r="D3" s="865" t="s">
        <v>487</v>
      </c>
      <c r="E3" s="864" t="s">
        <v>486</v>
      </c>
      <c r="F3" s="865" t="s">
        <v>487</v>
      </c>
    </row>
    <row r="4" spans="1:6" ht="15.75" thickBot="1" x14ac:dyDescent="0.3">
      <c r="A4" s="1445" t="str">
        <f>"Head Ref: "&amp;IGRF!C80</f>
        <v xml:space="preserve">Head Ref: </v>
      </c>
      <c r="B4" s="1446"/>
      <c r="C4" s="866" t="s">
        <v>488</v>
      </c>
      <c r="D4" s="867" t="s">
        <v>489</v>
      </c>
      <c r="E4" s="866" t="s">
        <v>488</v>
      </c>
      <c r="F4" s="867" t="s">
        <v>489</v>
      </c>
    </row>
    <row r="5" spans="1:6" s="870" customFormat="1" ht="22.5" customHeight="1" thickBot="1" x14ac:dyDescent="0.35">
      <c r="A5" s="868" t="s">
        <v>490</v>
      </c>
      <c r="B5" s="869" t="s">
        <v>491</v>
      </c>
      <c r="C5" s="1447" t="s">
        <v>492</v>
      </c>
      <c r="D5" s="1448"/>
      <c r="E5" s="1448"/>
      <c r="F5" s="1449"/>
    </row>
    <row r="6" spans="1:6" ht="59.25" customHeight="1" x14ac:dyDescent="0.25">
      <c r="A6" s="871" t="str">
        <f>IF(IGRF!C60="","",IGRF!C60)</f>
        <v/>
      </c>
      <c r="B6" s="872" t="str">
        <f>IF(IGRF!A60="","",IGRF!A60)</f>
        <v>Head Non-Skating Official</v>
      </c>
      <c r="C6" s="1450"/>
      <c r="D6" s="1451"/>
      <c r="E6" s="1451"/>
      <c r="F6" s="1452"/>
    </row>
    <row r="7" spans="1:6" ht="59.25" customHeight="1" x14ac:dyDescent="0.25">
      <c r="A7" s="871" t="str">
        <f>IF(IGRF!C61="","",IGRF!C61)</f>
        <v/>
      </c>
      <c r="B7" s="872" t="str">
        <f>IF(IGRF!A61="","",IGRF!A61)</f>
        <v>Jam Timer</v>
      </c>
      <c r="C7" s="1432"/>
      <c r="D7" s="1433"/>
      <c r="E7" s="1433"/>
      <c r="F7" s="1434"/>
    </row>
    <row r="8" spans="1:6" ht="59.25" customHeight="1" x14ac:dyDescent="0.25">
      <c r="A8" s="871" t="str">
        <f>IF(IGRF!C62="","",IGRF!C62)</f>
        <v/>
      </c>
      <c r="B8" s="872" t="str">
        <f>IF(IGRF!A62="","",IGRF!A62)</f>
        <v>Penalty Lineup Tracker</v>
      </c>
      <c r="C8" s="1432"/>
      <c r="D8" s="1433"/>
      <c r="E8" s="1433"/>
      <c r="F8" s="1434"/>
    </row>
    <row r="9" spans="1:6" ht="59.25" customHeight="1" x14ac:dyDescent="0.25">
      <c r="A9" s="871" t="str">
        <f>IF(IGRF!C63="","",IGRF!C63)</f>
        <v/>
      </c>
      <c r="B9" s="872" t="str">
        <f>IF(IGRF!A63="","",IGRF!A63)</f>
        <v>Penalty Lineup Tracker</v>
      </c>
      <c r="C9" s="1432"/>
      <c r="D9" s="1433"/>
      <c r="E9" s="1433"/>
      <c r="F9" s="1434"/>
    </row>
    <row r="10" spans="1:6" ht="59.25" customHeight="1" x14ac:dyDescent="0.25">
      <c r="A10" s="871" t="str">
        <f>IF(IGRF!C64="","",IGRF!C64)</f>
        <v/>
      </c>
      <c r="B10" s="872" t="str">
        <f>IF(IGRF!A64="","",IGRF!A64)</f>
        <v>ScoreBoard Operator</v>
      </c>
      <c r="C10" s="1432"/>
      <c r="D10" s="1433"/>
      <c r="E10" s="1433"/>
      <c r="F10" s="1434"/>
    </row>
    <row r="11" spans="1:6" ht="59.25" customHeight="1" x14ac:dyDescent="0.25">
      <c r="A11" s="871" t="str">
        <f>IF(IGRF!C65="","",IGRF!C65)</f>
        <v/>
      </c>
      <c r="B11" s="872" t="str">
        <f>IF(IGRF!A65="","",IGRF!A65)</f>
        <v>Scorekeeper</v>
      </c>
      <c r="C11" s="1432"/>
      <c r="D11" s="1433"/>
      <c r="E11" s="1433"/>
      <c r="F11" s="1434"/>
    </row>
    <row r="12" spans="1:6" ht="59.25" customHeight="1" x14ac:dyDescent="0.25">
      <c r="A12" s="871" t="str">
        <f>IF(IGRF!C66="","",IGRF!C66)</f>
        <v/>
      </c>
      <c r="B12" s="872" t="str">
        <f>IF(IGRF!A66="","",IGRF!A66)</f>
        <v>Scorekeeper</v>
      </c>
      <c r="C12" s="1432"/>
      <c r="D12" s="1433"/>
      <c r="E12" s="1433"/>
      <c r="F12" s="1434"/>
    </row>
    <row r="13" spans="1:6" ht="59.25" customHeight="1" x14ac:dyDescent="0.25">
      <c r="A13" s="871" t="str">
        <f>IF(IGRF!C67="","",IGRF!C67)</f>
        <v/>
      </c>
      <c r="B13" s="872" t="str">
        <f>IF(IGRF!A67="","",IGRF!A67)</f>
        <v>Penalty Box Manager</v>
      </c>
      <c r="C13" s="1432"/>
      <c r="D13" s="1433"/>
      <c r="E13" s="1433"/>
      <c r="F13" s="1434"/>
    </row>
    <row r="14" spans="1:6" ht="59.25" customHeight="1" x14ac:dyDescent="0.25">
      <c r="A14" s="871" t="str">
        <f>IF(IGRF!C68="","",IGRF!C68)</f>
        <v/>
      </c>
      <c r="B14" s="872" t="str">
        <f>IF(IGRF!A68="","",IGRF!A68)</f>
        <v>Penalty Box Timer</v>
      </c>
      <c r="C14" s="1432"/>
      <c r="D14" s="1433"/>
      <c r="E14" s="1433"/>
      <c r="F14" s="1434"/>
    </row>
    <row r="15" spans="1:6" ht="59.25" customHeight="1" x14ac:dyDescent="0.25">
      <c r="A15" s="871" t="str">
        <f>IF(IGRF!C69="","",IGRF!C69)</f>
        <v/>
      </c>
      <c r="B15" s="872" t="str">
        <f>IF(IGRF!A69="","",IGRF!A69)</f>
        <v>Penalty Box Timer</v>
      </c>
      <c r="C15" s="1432"/>
      <c r="D15" s="1433"/>
      <c r="E15" s="1433"/>
      <c r="F15" s="1434"/>
    </row>
    <row r="16" spans="1:6" ht="59.25" customHeight="1" x14ac:dyDescent="0.25">
      <c r="A16" s="871" t="str">
        <f>IF(IGRF!C70="","",IGRF!C70)</f>
        <v/>
      </c>
      <c r="B16" s="872" t="str">
        <f>IF(IGRF!A70="","",IGRF!A70)</f>
        <v>Non-Skating Official Alternate</v>
      </c>
      <c r="C16" s="1432"/>
      <c r="D16" s="1433"/>
      <c r="E16" s="1433"/>
      <c r="F16" s="1434"/>
    </row>
    <row r="17" spans="1:6" ht="59.25" customHeight="1" x14ac:dyDescent="0.25">
      <c r="A17" s="871" t="str">
        <f>IF(IGRF!C71="","",IGRF!C71)</f>
        <v/>
      </c>
      <c r="B17" s="872" t="str">
        <f>IF(IGRF!A71="","",IGRF!A71)</f>
        <v/>
      </c>
      <c r="C17" s="1432"/>
      <c r="D17" s="1433"/>
      <c r="E17" s="1433"/>
      <c r="F17" s="1434"/>
    </row>
    <row r="18" spans="1:6" ht="59.25" customHeight="1" x14ac:dyDescent="0.25">
      <c r="A18" s="871" t="str">
        <f>IF(IGRF!C72="","",IGRF!C72)</f>
        <v/>
      </c>
      <c r="B18" s="872" t="str">
        <f>IF(IGRF!A72="","",IGRF!A72)</f>
        <v/>
      </c>
      <c r="C18" s="1432"/>
      <c r="D18" s="1433"/>
      <c r="E18" s="1433"/>
      <c r="F18" s="1434"/>
    </row>
    <row r="19" spans="1:6" ht="59.25" customHeight="1" x14ac:dyDescent="0.25">
      <c r="A19" s="871" t="str">
        <f>IF(IGRF!C73="","",IGRF!C73)</f>
        <v/>
      </c>
      <c r="B19" s="872" t="str">
        <f>IF(IGRF!A73="","",IGRF!A73)</f>
        <v/>
      </c>
      <c r="C19" s="1432"/>
      <c r="D19" s="1433"/>
      <c r="E19" s="1433"/>
      <c r="F19" s="1434"/>
    </row>
    <row r="20" spans="1:6" ht="59.25" customHeight="1" thickBot="1" x14ac:dyDescent="0.3">
      <c r="A20" s="871" t="str">
        <f>IF(IGRF!C74="","",IGRF!C74)</f>
        <v/>
      </c>
      <c r="B20" s="872" t="str">
        <f>IF(IGRF!A74="","",IGRF!A74)</f>
        <v/>
      </c>
      <c r="C20" s="1453"/>
      <c r="D20" s="1454"/>
      <c r="E20" s="1454"/>
      <c r="F20" s="1455"/>
    </row>
    <row r="21" spans="1:6" ht="124.5" customHeight="1" thickBot="1" x14ac:dyDescent="0.3">
      <c r="A21" s="1456" t="s">
        <v>493</v>
      </c>
      <c r="B21" s="1457"/>
      <c r="C21" s="1457"/>
      <c r="D21" s="1457"/>
      <c r="E21" s="1457"/>
      <c r="F21" s="1458"/>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scale="5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80" workbookViewId="0">
      <selection sqref="A1:B2"/>
    </sheetView>
  </sheetViews>
  <sheetFormatPr defaultColWidth="9.140625" defaultRowHeight="15" x14ac:dyDescent="0.25"/>
  <cols>
    <col min="1" max="1" customWidth="true" style="861" width="24.7109375" collapsed="false"/>
    <col min="2" max="2" customWidth="true" style="873" width="21.140625" collapsed="false"/>
    <col min="3" max="6" customWidth="true" style="861" width="37.42578125" collapsed="false"/>
    <col min="7" max="16384" style="861" width="9.140625" collapsed="false"/>
  </cols>
  <sheetData>
    <row r="1" spans="1:6" ht="15" customHeight="1" x14ac:dyDescent="0.25">
      <c r="A1" s="1435" t="str">
        <f>'Eval Notes - NSO'!A1:B2</f>
        <v/>
      </c>
      <c r="B1" s="1436"/>
      <c r="C1" s="1439" t="str">
        <f>'Eval Notes - NSO'!C1:D1</f>
        <v/>
      </c>
      <c r="D1" s="1440"/>
      <c r="E1" s="1441" t="str">
        <f>'Eval Notes - NSO'!E1:F1</f>
        <v/>
      </c>
      <c r="F1" s="1442"/>
    </row>
    <row r="2" spans="1:6" ht="15" customHeight="1" x14ac:dyDescent="0.25">
      <c r="A2" s="1437"/>
      <c r="B2" s="1438"/>
      <c r="C2" s="874" t="s">
        <v>484</v>
      </c>
      <c r="D2" s="875" t="s">
        <v>485</v>
      </c>
      <c r="E2" s="874" t="s">
        <v>484</v>
      </c>
      <c r="F2" s="875" t="s">
        <v>485</v>
      </c>
    </row>
    <row r="3" spans="1:6" ht="15.75" thickBot="1" x14ac:dyDescent="0.3">
      <c r="A3" s="1459" t="str">
        <f>'Eval Notes - NSO'!A3:B3</f>
        <v xml:space="preserve">Head NSO: </v>
      </c>
      <c r="B3" s="1460"/>
      <c r="C3" s="864" t="s">
        <v>486</v>
      </c>
      <c r="D3" s="876" t="s">
        <v>487</v>
      </c>
      <c r="E3" s="864" t="s">
        <v>486</v>
      </c>
      <c r="F3" s="876" t="s">
        <v>487</v>
      </c>
    </row>
    <row r="4" spans="1:6" ht="15.75" thickBot="1" x14ac:dyDescent="0.3">
      <c r="A4" s="1445" t="str">
        <f>'Eval Notes - NSO'!A4:B4</f>
        <v xml:space="preserve">Head Ref: </v>
      </c>
      <c r="B4" s="1446"/>
      <c r="C4" s="866" t="s">
        <v>488</v>
      </c>
      <c r="D4" s="867" t="s">
        <v>489</v>
      </c>
      <c r="E4" s="866" t="s">
        <v>488</v>
      </c>
      <c r="F4" s="867" t="s">
        <v>489</v>
      </c>
    </row>
    <row r="5" spans="1:6" s="870" customFormat="1" ht="22.5" customHeight="1" thickBot="1" x14ac:dyDescent="0.35">
      <c r="A5" s="868" t="s">
        <v>490</v>
      </c>
      <c r="B5" s="869" t="s">
        <v>491</v>
      </c>
      <c r="C5" s="1447" t="s">
        <v>492</v>
      </c>
      <c r="D5" s="1448"/>
      <c r="E5" s="1448"/>
      <c r="F5" s="1449"/>
    </row>
    <row r="6" spans="1:6" ht="75" customHeight="1" x14ac:dyDescent="0.25">
      <c r="A6" s="871" t="str">
        <f>IF(IGRF!C80="","",IGRF!C80)</f>
        <v/>
      </c>
      <c r="B6" s="872" t="str">
        <f>IF(IGRF!A80="","",IGRF!A80)</f>
        <v>Head Referee</v>
      </c>
      <c r="C6" s="1461"/>
      <c r="D6" s="1462"/>
      <c r="E6" s="1462"/>
      <c r="F6" s="1463"/>
    </row>
    <row r="7" spans="1:6" ht="75" customHeight="1" x14ac:dyDescent="0.25">
      <c r="A7" s="871" t="str">
        <f>IF(IGRF!C81="","",IGRF!C81)</f>
        <v/>
      </c>
      <c r="B7" s="872" t="str">
        <f>IF(IGRF!A81="","",IGRF!A81)</f>
        <v>Inside Pack Referee</v>
      </c>
      <c r="C7" s="1432"/>
      <c r="D7" s="1433"/>
      <c r="E7" s="1433"/>
      <c r="F7" s="1434"/>
    </row>
    <row r="8" spans="1:6" ht="75" customHeight="1" x14ac:dyDescent="0.25">
      <c r="A8" s="871" t="str">
        <f>IF(IGRF!C82="","",IGRF!C82)</f>
        <v/>
      </c>
      <c r="B8" s="872" t="str">
        <f>IF(IGRF!A82="","",IGRF!A82)</f>
        <v>Jammer Referee</v>
      </c>
      <c r="C8" s="1432"/>
      <c r="D8" s="1433"/>
      <c r="E8" s="1433"/>
      <c r="F8" s="1434"/>
    </row>
    <row r="9" spans="1:6" ht="75" customHeight="1" x14ac:dyDescent="0.25">
      <c r="A9" s="871" t="str">
        <f>IF(IGRF!C83="","",IGRF!C83)</f>
        <v/>
      </c>
      <c r="B9" s="872" t="str">
        <f>IF(IGRF!A83="","",IGRF!A83)</f>
        <v>Jammer Referee</v>
      </c>
      <c r="C9" s="1432"/>
      <c r="D9" s="1433"/>
      <c r="E9" s="1433"/>
      <c r="F9" s="1434"/>
    </row>
    <row r="10" spans="1:6" ht="75" customHeight="1" x14ac:dyDescent="0.25">
      <c r="A10" s="871" t="str">
        <f>IF(IGRF!C84="","",IGRF!C84)</f>
        <v/>
      </c>
      <c r="B10" s="872" t="str">
        <f>IF(IGRF!A84="","",IGRF!A84)</f>
        <v>Outside Pack Referee</v>
      </c>
      <c r="C10" s="1432"/>
      <c r="D10" s="1433"/>
      <c r="E10" s="1433"/>
      <c r="F10" s="1434"/>
    </row>
    <row r="11" spans="1:6" ht="75" customHeight="1" x14ac:dyDescent="0.25">
      <c r="A11" s="871" t="str">
        <f>IF(IGRF!C85="","",IGRF!C85)</f>
        <v/>
      </c>
      <c r="B11" s="872" t="str">
        <f>IF(IGRF!A85="","",IGRF!A85)</f>
        <v>Outside Pack Referee</v>
      </c>
      <c r="C11" s="1432"/>
      <c r="D11" s="1433"/>
      <c r="E11" s="1433"/>
      <c r="F11" s="1434"/>
    </row>
    <row r="12" spans="1:6" ht="75" customHeight="1" x14ac:dyDescent="0.25">
      <c r="A12" s="871" t="str">
        <f>IF(IGRF!C86="","",IGRF!C86)</f>
        <v/>
      </c>
      <c r="B12" s="872" t="str">
        <f>IF(IGRF!A86="","",IGRF!A86)</f>
        <v>Outside Pack Referee</v>
      </c>
      <c r="C12" s="1432"/>
      <c r="D12" s="1433"/>
      <c r="E12" s="1433"/>
      <c r="F12" s="1434"/>
    </row>
    <row r="13" spans="1:6" ht="75" customHeight="1" thickBot="1" x14ac:dyDescent="0.3">
      <c r="A13" s="871" t="str">
        <f>IF(IGRF!C87="","",IGRF!C87)</f>
        <v/>
      </c>
      <c r="B13" s="872" t="str">
        <f>IF(IGRF!A87="","",IGRF!A87)</f>
        <v>Referee Alternate</v>
      </c>
      <c r="C13" s="1432"/>
      <c r="D13" s="1433"/>
      <c r="E13" s="1433"/>
      <c r="F13" s="1434"/>
    </row>
    <row r="14" spans="1:6" ht="168.75" customHeight="1" thickBot="1" x14ac:dyDescent="0.3">
      <c r="A14" s="1456" t="s">
        <v>493</v>
      </c>
      <c r="B14" s="1457"/>
      <c r="C14" s="1457"/>
      <c r="D14" s="1457"/>
      <c r="E14" s="1457"/>
      <c r="F14" s="1458"/>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scale="6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zoomScaleNormal="100" workbookViewId="0">
      <selection activeCell="D22" sqref="D22"/>
    </sheetView>
  </sheetViews>
  <sheetFormatPr defaultColWidth="8.7109375" defaultRowHeight="12.75" x14ac:dyDescent="0.2"/>
  <cols>
    <col min="1" max="1" customWidth="true" style="551" width="7.42578125" collapsed="false"/>
    <col min="2" max="2" bestFit="true" customWidth="true" style="551" width="10.42578125" collapsed="false"/>
    <col min="3" max="6" customWidth="true" style="551" width="16.42578125" collapsed="false"/>
    <col min="7" max="7" customWidth="true" width="7.42578125" collapsed="false"/>
  </cols>
  <sheetData>
    <row r="1" spans="1:6" ht="129.75" customHeight="1" x14ac:dyDescent="0.2"/>
    <row r="2" spans="1:6" ht="15.75" x14ac:dyDescent="0.25">
      <c r="B2" s="1468" t="str">
        <f>'Eval Notes - NSO'!$A$1</f>
        <v/>
      </c>
      <c r="C2" s="1468"/>
      <c r="D2" s="1468"/>
      <c r="E2" s="1468"/>
      <c r="F2" s="1468"/>
    </row>
    <row r="3" spans="1:6" ht="7.5" customHeight="1" x14ac:dyDescent="0.25">
      <c r="D3" s="877"/>
      <c r="E3" s="877"/>
    </row>
    <row r="4" spans="1:6" ht="15" x14ac:dyDescent="0.25">
      <c r="D4" s="1469" t="str">
        <f>'Eval Notes - NSO'!A3</f>
        <v xml:space="preserve">Head NSO: </v>
      </c>
      <c r="E4" s="1469"/>
    </row>
    <row r="5" spans="1:6" ht="15" x14ac:dyDescent="0.25">
      <c r="D5" s="1470" t="str">
        <f>'Eval Notes - NSO'!A4</f>
        <v xml:space="preserve">Head Ref: </v>
      </c>
      <c r="E5" s="1470"/>
    </row>
    <row r="6" spans="1:6" ht="67.5" customHeight="1" x14ac:dyDescent="0.3">
      <c r="B6" s="878"/>
      <c r="C6" s="1471" t="str">
        <f>'Eval Notes - NSO'!C1</f>
        <v/>
      </c>
      <c r="D6" s="1471"/>
      <c r="E6" s="1471" t="str">
        <f>'Eval Notes - NSO'!E1</f>
        <v/>
      </c>
      <c r="F6" s="1471"/>
    </row>
    <row r="7" spans="1:6" ht="4.5" customHeight="1" thickBot="1" x14ac:dyDescent="0.35">
      <c r="B7" s="878"/>
      <c r="C7" s="879"/>
      <c r="D7" s="879"/>
      <c r="E7" s="879"/>
      <c r="F7" s="879"/>
    </row>
    <row r="8" spans="1:6" s="886" customFormat="1" ht="15.75" x14ac:dyDescent="0.2">
      <c r="A8" s="880"/>
      <c r="B8" s="881"/>
      <c r="C8" s="882" t="s">
        <v>494</v>
      </c>
      <c r="D8" s="883" t="s">
        <v>164</v>
      </c>
      <c r="E8" s="884" t="s">
        <v>494</v>
      </c>
      <c r="F8" s="885" t="s">
        <v>164</v>
      </c>
    </row>
    <row r="9" spans="1:6" s="886" customFormat="1" ht="24" customHeight="1" x14ac:dyDescent="0.2">
      <c r="A9" s="880"/>
      <c r="B9" s="887" t="s">
        <v>145</v>
      </c>
      <c r="C9" s="888"/>
      <c r="D9" s="889"/>
      <c r="E9" s="890"/>
      <c r="F9" s="891"/>
    </row>
    <row r="10" spans="1:6" s="886" customFormat="1" ht="24" customHeight="1" x14ac:dyDescent="0.2">
      <c r="A10" s="880"/>
      <c r="B10" s="887" t="s">
        <v>147</v>
      </c>
      <c r="C10" s="888"/>
      <c r="D10" s="889"/>
      <c r="E10" s="890"/>
      <c r="F10" s="891"/>
    </row>
    <row r="11" spans="1:6" s="886" customFormat="1" ht="24" customHeight="1" thickBot="1" x14ac:dyDescent="0.25">
      <c r="A11" s="880"/>
      <c r="B11" s="887" t="s">
        <v>7</v>
      </c>
      <c r="C11" s="892"/>
      <c r="D11" s="893"/>
      <c r="E11" s="894"/>
      <c r="F11" s="895"/>
    </row>
    <row r="12" spans="1:6" ht="6" customHeight="1" thickBot="1" x14ac:dyDescent="0.25">
      <c r="B12" s="896"/>
    </row>
    <row r="13" spans="1:6" ht="24" customHeight="1" x14ac:dyDescent="0.2">
      <c r="B13" s="897" t="s">
        <v>495</v>
      </c>
      <c r="C13" s="1464" t="str">
        <f>IF(ISBLANK(IGRF!B12), "", IGRF!B12)</f>
        <v/>
      </c>
      <c r="D13" s="1465"/>
      <c r="E13" s="1466" t="str">
        <f>IF(ISBLANK(IGRF!I12), "", IGRF!I12)</f>
        <v/>
      </c>
      <c r="F13" s="1467"/>
    </row>
    <row r="14" spans="1:6" ht="24" customHeight="1" x14ac:dyDescent="0.2">
      <c r="B14" s="897" t="s">
        <v>496</v>
      </c>
      <c r="C14" s="1472"/>
      <c r="D14" s="1473"/>
      <c r="E14" s="1474"/>
      <c r="F14" s="1475"/>
    </row>
    <row r="15" spans="1:6" ht="24" customHeight="1" x14ac:dyDescent="0.2">
      <c r="B15" s="897" t="s">
        <v>497</v>
      </c>
      <c r="C15" s="1476" t="str">
        <f>IF(ISBLANK(IGRF!B49), "", IGRF!B49)</f>
        <v/>
      </c>
      <c r="D15" s="1477"/>
      <c r="E15" s="1478" t="str">
        <f>IF(ISBLANK(IGRF!I49), "", IGRF!I49)</f>
        <v/>
      </c>
      <c r="F15" s="1479"/>
    </row>
    <row r="16" spans="1:6" ht="24" customHeight="1" x14ac:dyDescent="0.2">
      <c r="B16" s="897" t="s">
        <v>498</v>
      </c>
      <c r="C16" s="1476"/>
      <c r="D16" s="1477"/>
      <c r="E16" s="1478"/>
      <c r="F16" s="1479"/>
    </row>
    <row r="17" spans="1:6" ht="24" customHeight="1" x14ac:dyDescent="0.2">
      <c r="B17" s="897" t="s">
        <v>499</v>
      </c>
      <c r="C17" s="1472"/>
      <c r="D17" s="1473"/>
      <c r="E17" s="1474"/>
      <c r="F17" s="1475"/>
    </row>
    <row r="18" spans="1:6" ht="24" customHeight="1" x14ac:dyDescent="0.2">
      <c r="B18" s="897" t="s">
        <v>500</v>
      </c>
      <c r="C18" s="898" t="s">
        <v>501</v>
      </c>
      <c r="D18" s="899" t="s">
        <v>502</v>
      </c>
      <c r="E18" s="900" t="s">
        <v>501</v>
      </c>
      <c r="F18" s="901" t="s">
        <v>502</v>
      </c>
    </row>
    <row r="19" spans="1:6" ht="61.5" customHeight="1" thickBot="1" x14ac:dyDescent="0.25">
      <c r="B19" s="902" t="s">
        <v>503</v>
      </c>
      <c r="C19" s="1481"/>
      <c r="D19" s="1482"/>
      <c r="E19" s="1483"/>
      <c r="F19" s="1484"/>
    </row>
    <row r="20" spans="1:6" ht="6.75" customHeight="1" x14ac:dyDescent="0.2"/>
    <row r="21" spans="1:6" ht="22.5" customHeight="1" x14ac:dyDescent="0.3">
      <c r="A21" s="903" t="s">
        <v>504</v>
      </c>
      <c r="B21" s="1480" t="s">
        <v>505</v>
      </c>
      <c r="C21" s="1480"/>
      <c r="D21" s="1480"/>
      <c r="E21" s="1480"/>
      <c r="F21" s="1480"/>
    </row>
    <row r="22" spans="1:6" ht="22.5" customHeight="1" x14ac:dyDescent="0.3">
      <c r="B22" s="903" t="s">
        <v>504</v>
      </c>
      <c r="C22" s="904" t="str">
        <f>C6</f>
        <v/>
      </c>
      <c r="D22" s="904"/>
      <c r="E22" s="904"/>
      <c r="F22" s="904"/>
    </row>
    <row r="23" spans="1:6" ht="22.5" customHeight="1" x14ac:dyDescent="0.3">
      <c r="B23" s="903" t="s">
        <v>504</v>
      </c>
      <c r="C23" s="904" t="str">
        <f>E6</f>
        <v/>
      </c>
      <c r="D23" s="904"/>
      <c r="E23" s="904"/>
      <c r="F23" s="904"/>
    </row>
    <row r="24" spans="1:6" ht="22.5" customHeight="1" x14ac:dyDescent="0.3">
      <c r="A24" s="903" t="s">
        <v>504</v>
      </c>
      <c r="B24" s="1480" t="s">
        <v>506</v>
      </c>
      <c r="C24" s="1480"/>
      <c r="D24" s="1480"/>
      <c r="E24" s="1480"/>
      <c r="F24" s="1480"/>
    </row>
    <row r="25" spans="1:6" ht="22.5" customHeight="1" x14ac:dyDescent="0.3">
      <c r="A25" s="905"/>
      <c r="B25" s="906" t="s">
        <v>507</v>
      </c>
      <c r="C25" s="907" t="s">
        <v>128</v>
      </c>
      <c r="D25" s="907"/>
      <c r="E25" s="907"/>
      <c r="F25" s="907"/>
    </row>
    <row r="26" spans="1:6" ht="22.5" customHeight="1" x14ac:dyDescent="0.3">
      <c r="A26" s="905"/>
      <c r="B26" s="906" t="s">
        <v>507</v>
      </c>
      <c r="C26" s="908" t="s">
        <v>508</v>
      </c>
      <c r="D26" s="908"/>
      <c r="E26" s="908"/>
      <c r="F26" s="908"/>
    </row>
    <row r="27" spans="1:6" ht="22.5" customHeight="1" x14ac:dyDescent="0.3">
      <c r="A27" s="903" t="s">
        <v>504</v>
      </c>
      <c r="B27" s="1480" t="s">
        <v>509</v>
      </c>
      <c r="C27" s="1480"/>
      <c r="D27" s="1480"/>
      <c r="E27" s="1480"/>
      <c r="F27" s="1480"/>
    </row>
    <row r="28" spans="1:6" ht="22.5" customHeight="1" x14ac:dyDescent="0.3">
      <c r="A28" s="905"/>
      <c r="B28" s="903" t="s">
        <v>504</v>
      </c>
      <c r="C28" s="907" t="s">
        <v>510</v>
      </c>
      <c r="E28" s="907"/>
      <c r="F28" s="907"/>
    </row>
    <row r="29" spans="1:6" ht="22.5" customHeight="1" x14ac:dyDescent="0.3">
      <c r="A29" s="905"/>
      <c r="B29" s="903" t="s">
        <v>504</v>
      </c>
      <c r="C29" s="907" t="s">
        <v>511</v>
      </c>
      <c r="E29" s="907"/>
      <c r="F29" s="907"/>
    </row>
    <row r="30" spans="1:6" ht="22.5" customHeight="1" x14ac:dyDescent="0.3">
      <c r="A30" s="903" t="s">
        <v>504</v>
      </c>
      <c r="B30" s="1480" t="s">
        <v>512</v>
      </c>
      <c r="C30" s="1480"/>
      <c r="D30" s="1480"/>
      <c r="E30" s="1480"/>
      <c r="F30" s="1480"/>
    </row>
    <row r="31" spans="1:6" ht="22.5" customHeight="1" x14ac:dyDescent="0.3">
      <c r="A31" s="903" t="s">
        <v>504</v>
      </c>
      <c r="B31" s="1480" t="s">
        <v>513</v>
      </c>
      <c r="C31" s="1480"/>
      <c r="D31" s="1480"/>
      <c r="E31" s="1480"/>
      <c r="F31" s="1480"/>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scale="9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5" t="s">
        <v>145</v>
      </c>
      <c r="V2" s="105"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85" t="s">
        <v>32</v>
      </c>
      <c r="B7" s="1485"/>
      <c r="C7" s="1485"/>
      <c r="D7" s="106"/>
      <c r="E7" s="106"/>
      <c r="F7" s="106"/>
      <c r="G7" s="106"/>
      <c r="H7" s="106"/>
      <c r="I7" s="106"/>
      <c r="J7" s="106"/>
      <c r="K7" s="106"/>
      <c r="L7" s="106"/>
      <c r="M7" s="106"/>
      <c r="N7" s="106"/>
      <c r="O7" s="106"/>
      <c r="P7" s="106"/>
      <c r="Q7" s="106"/>
      <c r="R7" s="106"/>
      <c r="T7" s="1485" t="s">
        <v>32</v>
      </c>
      <c r="U7" s="1485"/>
      <c r="V7" s="1485"/>
      <c r="W7" s="106"/>
      <c r="X7" s="106"/>
      <c r="Y7" s="106"/>
      <c r="Z7" s="106"/>
      <c r="AA7" s="106"/>
      <c r="AB7" s="106"/>
      <c r="AC7" s="106"/>
      <c r="AD7" s="106"/>
      <c r="AE7" s="106"/>
      <c r="AF7" s="106"/>
      <c r="AG7" s="106"/>
      <c r="AH7" s="106"/>
      <c r="AI7" s="106"/>
      <c r="AJ7" s="106"/>
      <c r="AK7" s="106"/>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4"/>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85" t="s">
        <v>40</v>
      </c>
      <c r="B30" s="1485"/>
      <c r="C30" s="1485"/>
      <c r="D30" s="106"/>
      <c r="E30" s="106"/>
      <c r="F30" s="106"/>
      <c r="G30" s="106"/>
      <c r="H30" s="106"/>
      <c r="I30" s="106"/>
      <c r="J30" s="106"/>
      <c r="K30" s="106"/>
      <c r="L30" s="106"/>
      <c r="M30" s="106"/>
      <c r="N30" s="106"/>
      <c r="O30" s="106"/>
      <c r="P30" s="106"/>
      <c r="Q30" s="106"/>
      <c r="R30" s="106"/>
      <c r="T30" s="1485" t="s">
        <v>40</v>
      </c>
      <c r="U30" s="1485"/>
      <c r="V30" s="1485"/>
      <c r="W30" s="106"/>
      <c r="X30" s="106"/>
      <c r="Y30" s="106"/>
      <c r="Z30" s="106"/>
      <c r="AA30" s="106"/>
      <c r="AB30" s="106"/>
      <c r="AC30" s="106"/>
      <c r="AD30" s="106"/>
      <c r="AE30" s="106"/>
      <c r="AF30" s="106"/>
      <c r="AG30" s="106"/>
      <c r="AH30" s="106"/>
      <c r="AI30" s="106"/>
      <c r="AJ30" s="106"/>
      <c r="AK30" s="106"/>
    </row>
    <row r="31" spans="1:37" x14ac:dyDescent="0.2">
      <c r="A31" s="153">
        <v>0</v>
      </c>
      <c r="B31" s="153" t="s">
        <v>24</v>
      </c>
      <c r="C31" s="153" t="s">
        <v>25</v>
      </c>
      <c r="D31" s="153" t="s">
        <v>104</v>
      </c>
      <c r="E31" s="104"/>
      <c r="F31" s="158" t="s">
        <v>105</v>
      </c>
      <c r="G31" s="158" t="s">
        <v>105</v>
      </c>
      <c r="H31" s="158" t="s">
        <v>105</v>
      </c>
      <c r="I31" s="158" t="s">
        <v>105</v>
      </c>
      <c r="J31" s="153" t="s">
        <v>34</v>
      </c>
      <c r="K31" s="104"/>
      <c r="L31" s="153" t="s">
        <v>36</v>
      </c>
      <c r="M31" s="104"/>
      <c r="N31" s="155" t="s">
        <v>13</v>
      </c>
      <c r="O31" s="153" t="s">
        <v>106</v>
      </c>
      <c r="P31" s="104"/>
      <c r="Q31" s="153" t="s">
        <v>7</v>
      </c>
      <c r="R31" s="104"/>
      <c r="S31" s="104"/>
      <c r="T31" s="153">
        <v>0</v>
      </c>
      <c r="U31" s="153" t="s">
        <v>24</v>
      </c>
      <c r="V31" s="153" t="s">
        <v>25</v>
      </c>
      <c r="W31" s="153" t="s">
        <v>104</v>
      </c>
      <c r="X31" s="104"/>
      <c r="Y31" s="158" t="s">
        <v>105</v>
      </c>
      <c r="Z31" s="158" t="s">
        <v>105</v>
      </c>
      <c r="AA31" s="158" t="s">
        <v>105</v>
      </c>
      <c r="AB31" s="158" t="s">
        <v>105</v>
      </c>
      <c r="AC31" s="153" t="s">
        <v>34</v>
      </c>
      <c r="AD31" s="104"/>
      <c r="AE31" s="153" t="s">
        <v>36</v>
      </c>
      <c r="AF31" s="104"/>
      <c r="AG31" s="155" t="s">
        <v>13</v>
      </c>
      <c r="AH31" s="153" t="s">
        <v>106</v>
      </c>
      <c r="AI31" s="104"/>
      <c r="AJ31" s="153" t="s">
        <v>7</v>
      </c>
      <c r="AK31" s="104"/>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85" t="s">
        <v>41</v>
      </c>
      <c r="B53" s="1485"/>
      <c r="C53" s="1485"/>
      <c r="D53" s="106"/>
      <c r="E53" s="106"/>
      <c r="F53" s="106"/>
      <c r="G53" s="106"/>
      <c r="H53" s="106"/>
      <c r="I53" s="106"/>
      <c r="J53" s="106"/>
      <c r="K53" s="106"/>
      <c r="L53" s="106"/>
      <c r="M53" s="106"/>
      <c r="N53" s="106"/>
      <c r="O53" s="106"/>
      <c r="P53" s="106"/>
      <c r="Q53" s="106"/>
      <c r="R53" s="106"/>
      <c r="T53" s="1485" t="s">
        <v>41</v>
      </c>
      <c r="U53" s="1485"/>
      <c r="V53" s="1485"/>
      <c r="W53" s="106"/>
      <c r="X53" s="106"/>
      <c r="Y53" s="106"/>
      <c r="Z53" s="106"/>
      <c r="AA53" s="106"/>
      <c r="AB53" s="106"/>
      <c r="AC53" s="106"/>
      <c r="AD53" s="106"/>
      <c r="AE53" s="106"/>
      <c r="AF53" s="106"/>
      <c r="AG53" s="106"/>
      <c r="AH53" s="106"/>
      <c r="AI53" s="106"/>
      <c r="AJ53" s="106"/>
      <c r="AK53" s="106"/>
    </row>
    <row r="54" spans="1:37" x14ac:dyDescent="0.2">
      <c r="A54" s="153">
        <v>0</v>
      </c>
      <c r="B54" s="153" t="s">
        <v>24</v>
      </c>
      <c r="C54" s="153" t="s">
        <v>25</v>
      </c>
      <c r="D54" s="153" t="s">
        <v>104</v>
      </c>
      <c r="E54" s="104"/>
      <c r="F54" s="158" t="s">
        <v>105</v>
      </c>
      <c r="G54" s="158" t="s">
        <v>105</v>
      </c>
      <c r="H54" s="158" t="s">
        <v>105</v>
      </c>
      <c r="I54" s="158" t="s">
        <v>105</v>
      </c>
      <c r="J54" s="153" t="s">
        <v>34</v>
      </c>
      <c r="K54" s="104"/>
      <c r="L54" s="153" t="s">
        <v>36</v>
      </c>
      <c r="M54" s="104"/>
      <c r="N54" s="155" t="s">
        <v>13</v>
      </c>
      <c r="O54" s="153" t="s">
        <v>106</v>
      </c>
      <c r="P54" s="104"/>
      <c r="Q54" s="153" t="s">
        <v>7</v>
      </c>
      <c r="R54" s="104"/>
      <c r="S54" s="104"/>
      <c r="T54" s="153">
        <v>0</v>
      </c>
      <c r="U54" s="153" t="s">
        <v>24</v>
      </c>
      <c r="V54" s="153" t="s">
        <v>25</v>
      </c>
      <c r="W54" s="153" t="s">
        <v>104</v>
      </c>
      <c r="X54" s="104"/>
      <c r="Y54" s="158" t="s">
        <v>105</v>
      </c>
      <c r="Z54" s="158" t="s">
        <v>105</v>
      </c>
      <c r="AA54" s="158" t="s">
        <v>105</v>
      </c>
      <c r="AB54" s="158" t="s">
        <v>105</v>
      </c>
      <c r="AC54" s="153" t="s">
        <v>34</v>
      </c>
      <c r="AD54" s="104"/>
      <c r="AE54" s="153" t="s">
        <v>36</v>
      </c>
      <c r="AF54" s="104"/>
      <c r="AG54" s="155" t="s">
        <v>13</v>
      </c>
      <c r="AH54" s="153" t="s">
        <v>106</v>
      </c>
      <c r="AI54" s="104"/>
      <c r="AJ54" s="153" t="s">
        <v>7</v>
      </c>
      <c r="AK54" s="104"/>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85" t="s">
        <v>42</v>
      </c>
      <c r="B76" s="1485"/>
      <c r="C76" s="1485"/>
      <c r="D76" s="106"/>
      <c r="E76" s="106"/>
      <c r="F76" s="106"/>
      <c r="G76" s="106"/>
      <c r="H76" s="106"/>
      <c r="I76" s="106"/>
      <c r="J76" s="106"/>
      <c r="K76" s="106"/>
      <c r="L76" s="106"/>
      <c r="M76" s="106"/>
      <c r="N76" s="106"/>
      <c r="O76" s="106"/>
      <c r="P76" s="106"/>
      <c r="Q76" s="106"/>
      <c r="R76" s="106"/>
      <c r="T76" s="1485" t="s">
        <v>42</v>
      </c>
      <c r="U76" s="1485"/>
      <c r="V76" s="1485"/>
      <c r="W76" s="106"/>
      <c r="X76" s="106"/>
      <c r="Y76" s="106"/>
      <c r="Z76" s="106"/>
      <c r="AA76" s="106"/>
      <c r="AB76" s="106"/>
      <c r="AC76" s="106"/>
      <c r="AD76" s="106"/>
      <c r="AE76" s="106"/>
      <c r="AF76" s="106"/>
      <c r="AG76" s="106"/>
      <c r="AH76" s="106"/>
      <c r="AI76" s="106"/>
      <c r="AJ76" s="106"/>
      <c r="AK76" s="106"/>
    </row>
    <row r="77" spans="1:37" x14ac:dyDescent="0.2">
      <c r="A77" s="153">
        <v>0</v>
      </c>
      <c r="B77" s="153" t="s">
        <v>24</v>
      </c>
      <c r="C77" s="153" t="s">
        <v>25</v>
      </c>
      <c r="D77" s="153" t="s">
        <v>104</v>
      </c>
      <c r="E77" s="104"/>
      <c r="F77" s="158" t="s">
        <v>105</v>
      </c>
      <c r="G77" s="158" t="s">
        <v>105</v>
      </c>
      <c r="H77" s="158" t="s">
        <v>105</v>
      </c>
      <c r="I77" s="158" t="s">
        <v>105</v>
      </c>
      <c r="J77" s="153" t="s">
        <v>34</v>
      </c>
      <c r="K77" s="104"/>
      <c r="L77" s="153" t="s">
        <v>36</v>
      </c>
      <c r="M77" s="104"/>
      <c r="N77" s="155" t="s">
        <v>13</v>
      </c>
      <c r="O77" s="153" t="s">
        <v>106</v>
      </c>
      <c r="P77" s="104"/>
      <c r="Q77" s="153" t="s">
        <v>7</v>
      </c>
      <c r="R77" s="104"/>
      <c r="S77" s="104"/>
      <c r="T77" s="153">
        <v>0</v>
      </c>
      <c r="U77" s="153" t="s">
        <v>24</v>
      </c>
      <c r="V77" s="153" t="s">
        <v>25</v>
      </c>
      <c r="W77" s="153" t="s">
        <v>104</v>
      </c>
      <c r="X77" s="104"/>
      <c r="Y77" s="158" t="s">
        <v>105</v>
      </c>
      <c r="Z77" s="158" t="s">
        <v>105</v>
      </c>
      <c r="AA77" s="158" t="s">
        <v>105</v>
      </c>
      <c r="AB77" s="158" t="s">
        <v>105</v>
      </c>
      <c r="AC77" s="153" t="s">
        <v>34</v>
      </c>
      <c r="AD77" s="104"/>
      <c r="AE77" s="153" t="s">
        <v>36</v>
      </c>
      <c r="AF77" s="104"/>
      <c r="AG77" s="155" t="s">
        <v>13</v>
      </c>
      <c r="AH77" s="153" t="s">
        <v>106</v>
      </c>
      <c r="AI77" s="104"/>
      <c r="AJ77" s="153" t="s">
        <v>7</v>
      </c>
      <c r="AK77" s="104"/>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159" t="str">
        <f>IF($U78="","",SUMPRODUCT(--(Lineups!$AG$4:$AG$41=$U78),--(Lineups!$AB$4:$AB$41="X"),Lineups!$W$4:$W$41)+SUMPRODUCT(--(Lineups!$AA$5:$AA$42="SP*"),--(Lineups!$AG$4:$AG$41=$U78),--(Lineups!$AB$4:$AB$41="X"),Lineups!$W$5:$W$42))</f>
        <v/>
      </c>
      <c r="Z78" s="159" t="str">
        <f>IF($U78="","",SUMPRODUCT(--(Lineups!$AK$4:$AK$41=$U78),Lineups!$W$4:$W$41) + SUMPRODUCT(--(Lineups!$AA$5:$AA$42="SP*"),--(Lineups!$AK$4:$AK$41=$U78),Lineups!$W$5:$W$42))</f>
        <v/>
      </c>
      <c r="AA78" s="159" t="str">
        <f>IF($U78="","",SUMPRODUCT(--(Lineups!$AO$4:$AO$41=$U78),Lineups!$W$4:$W$41) + SUMPRODUCT(--(Lineups!$AA$5:$AA$42="SP*"),--(Lineups!$AO$4:$AO$41=$U78),Lineups!$W$5:$W$42))</f>
        <v/>
      </c>
      <c r="AB78" s="159"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159" t="str">
        <f>IF($U79="","",SUMPRODUCT(--(Lineups!$AG$4:$AG$41=$U79),--(Lineups!$AB$4:$AB$41="X"),Lineups!$W$4:$W$41)+SUMPRODUCT(--(Lineups!$AA$5:$AA$42="SP*"),--(Lineups!$AG$4:$AG$41=$U79),--(Lineups!$AB$4:$AB$41="X"),Lineups!$W$5:$W$42))</f>
        <v/>
      </c>
      <c r="Z79" s="159" t="str">
        <f>IF($U79="","",SUMPRODUCT(--(Lineups!$AK$4:$AK$41=$U79),Lineups!$W$4:$W$41) + SUMPRODUCT(--(Lineups!$AA$5:$AA$42="SP*"),--(Lineups!$AK$4:$AK$41=$U79),Lineups!$W$5:$W$42))</f>
        <v/>
      </c>
      <c r="AA79" s="159" t="str">
        <f>IF($U79="","",SUMPRODUCT(--(Lineups!$AO$4:$AO$41=$U79),Lineups!$W$4:$W$41) + SUMPRODUCT(--(Lineups!$AA$5:$AA$42="SP*"),--(Lineups!$AO$4:$AO$41=$U79),Lineups!$W$5:$W$42))</f>
        <v/>
      </c>
      <c r="AB79" s="159"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159" t="str">
        <f>IF($U80="","",SUMPRODUCT(--(Lineups!$AG$4:$AG$41=$U80),--(Lineups!$AB$4:$AB$41="X"),Lineups!$W$4:$W$41)+SUMPRODUCT(--(Lineups!$AA$5:$AA$42="SP*"),--(Lineups!$AG$4:$AG$41=$U80),--(Lineups!$AB$4:$AB$41="X"),Lineups!$W$5:$W$42))</f>
        <v/>
      </c>
      <c r="Z80" s="159" t="str">
        <f>IF($U80="","",SUMPRODUCT(--(Lineups!$AK$4:$AK$41=$U80),Lineups!$W$4:$W$41) + SUMPRODUCT(--(Lineups!$AA$5:$AA$42="SP*"),--(Lineups!$AK$4:$AK$41=$U80),Lineups!$W$5:$W$42))</f>
        <v/>
      </c>
      <c r="AA80" s="159" t="str">
        <f>IF($U80="","",SUMPRODUCT(--(Lineups!$AO$4:$AO$41=$U80),Lineups!$W$4:$W$41) + SUMPRODUCT(--(Lineups!$AA$5:$AA$42="SP*"),--(Lineups!$AO$4:$AO$41=$U80),Lineups!$W$5:$W$42))</f>
        <v/>
      </c>
      <c r="AB80" s="159"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159" t="str">
        <f>IF($U81="","",SUMPRODUCT(--(Lineups!$AG$4:$AG$41=$U81),--(Lineups!$AB$4:$AB$41="X"),Lineups!$W$4:$W$41)+SUMPRODUCT(--(Lineups!$AA$5:$AA$42="SP*"),--(Lineups!$AG$4:$AG$41=$U81),--(Lineups!$AB$4:$AB$41="X"),Lineups!$W$5:$W$42))</f>
        <v/>
      </c>
      <c r="Z81" s="159" t="str">
        <f>IF($U81="","",SUMPRODUCT(--(Lineups!$AK$4:$AK$41=$U81),Lineups!$W$4:$W$41) + SUMPRODUCT(--(Lineups!$AA$5:$AA$42="SP*"),--(Lineups!$AK$4:$AK$41=$U81),Lineups!$W$5:$W$42))</f>
        <v/>
      </c>
      <c r="AA81" s="159" t="str">
        <f>IF($U81="","",SUMPRODUCT(--(Lineups!$AO$4:$AO$41=$U81),Lineups!$W$4:$W$41) + SUMPRODUCT(--(Lineups!$AA$5:$AA$42="SP*"),--(Lineups!$AO$4:$AO$41=$U81),Lineups!$W$5:$W$42))</f>
        <v/>
      </c>
      <c r="AB81" s="159"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159" t="str">
        <f>IF($U82="","",SUMPRODUCT(--(Lineups!$AG$4:$AG$41=$U82),--(Lineups!$AB$4:$AB$41="X"),Lineups!$W$4:$W$41)+SUMPRODUCT(--(Lineups!$AA$5:$AA$42="SP*"),--(Lineups!$AG$4:$AG$41=$U82),--(Lineups!$AB$4:$AB$41="X"),Lineups!$W$5:$W$42))</f>
        <v/>
      </c>
      <c r="Z82" s="159" t="str">
        <f>IF($U82="","",SUMPRODUCT(--(Lineups!$AK$4:$AK$41=$U82),Lineups!$W$4:$W$41) + SUMPRODUCT(--(Lineups!$AA$5:$AA$42="SP*"),--(Lineups!$AK$4:$AK$41=$U82),Lineups!$W$5:$W$42))</f>
        <v/>
      </c>
      <c r="AA82" s="159" t="str">
        <f>IF($U82="","",SUMPRODUCT(--(Lineups!$AO$4:$AO$41=$U82),Lineups!$W$4:$W$41) + SUMPRODUCT(--(Lineups!$AA$5:$AA$42="SP*"),--(Lineups!$AO$4:$AO$41=$U82),Lineups!$W$5:$W$42))</f>
        <v/>
      </c>
      <c r="AB82" s="159"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159" t="str">
        <f>IF($U83="","",SUMPRODUCT(--(Lineups!$AG$4:$AG$41=$U83),--(Lineups!$AB$4:$AB$41="X"),Lineups!$W$4:$W$41)+SUMPRODUCT(--(Lineups!$AA$5:$AA$42="SP*"),--(Lineups!$AG$4:$AG$41=$U83),--(Lineups!$AB$4:$AB$41="X"),Lineups!$W$5:$W$42))</f>
        <v/>
      </c>
      <c r="Z83" s="159" t="str">
        <f>IF($U83="","",SUMPRODUCT(--(Lineups!$AK$4:$AK$41=$U83),Lineups!$W$4:$W$41) + SUMPRODUCT(--(Lineups!$AA$5:$AA$42="SP*"),--(Lineups!$AK$4:$AK$41=$U83),Lineups!$W$5:$W$42))</f>
        <v/>
      </c>
      <c r="AA83" s="159" t="str">
        <f>IF($U83="","",SUMPRODUCT(--(Lineups!$AO$4:$AO$41=$U83),Lineups!$W$4:$W$41) + SUMPRODUCT(--(Lineups!$AA$5:$AA$42="SP*"),--(Lineups!$AO$4:$AO$41=$U83),Lineups!$W$5:$W$42))</f>
        <v/>
      </c>
      <c r="AB83" s="159"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159" t="str">
        <f>IF($U84="","",SUMPRODUCT(--(Lineups!$AG$4:$AG$41=$U84),--(Lineups!$AB$4:$AB$41="X"),Lineups!$W$4:$W$41)+SUMPRODUCT(--(Lineups!$AA$5:$AA$42="SP*"),--(Lineups!$AG$4:$AG$41=$U84),--(Lineups!$AB$4:$AB$41="X"),Lineups!$W$5:$W$42))</f>
        <v/>
      </c>
      <c r="Z84" s="159" t="str">
        <f>IF($U84="","",SUMPRODUCT(--(Lineups!$AK$4:$AK$41=$U84),Lineups!$W$4:$W$41) + SUMPRODUCT(--(Lineups!$AA$5:$AA$42="SP*"),--(Lineups!$AK$4:$AK$41=$U84),Lineups!$W$5:$W$42))</f>
        <v/>
      </c>
      <c r="AA84" s="159" t="str">
        <f>IF($U84="","",SUMPRODUCT(--(Lineups!$AO$4:$AO$41=$U84),Lineups!$W$4:$W$41) + SUMPRODUCT(--(Lineups!$AA$5:$AA$42="SP*"),--(Lineups!$AO$4:$AO$41=$U84),Lineups!$W$5:$W$42))</f>
        <v/>
      </c>
      <c r="AB84" s="159"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159" t="str">
        <f>IF($U85="","",SUMPRODUCT(--(Lineups!$AG$4:$AG$41=$U85),--(Lineups!$AB$4:$AB$41="X"),Lineups!$W$4:$W$41)+SUMPRODUCT(--(Lineups!$AA$5:$AA$42="SP*"),--(Lineups!$AG$4:$AG$41=$U85),--(Lineups!$AB$4:$AB$41="X"),Lineups!$W$5:$W$42))</f>
        <v/>
      </c>
      <c r="Z85" s="159" t="str">
        <f>IF($U85="","",SUMPRODUCT(--(Lineups!$AK$4:$AK$41=$U85),Lineups!$W$4:$W$41) + SUMPRODUCT(--(Lineups!$AA$5:$AA$42="SP*"),--(Lineups!$AK$4:$AK$41=$U85),Lineups!$W$5:$W$42))</f>
        <v/>
      </c>
      <c r="AA85" s="159" t="str">
        <f>IF($U85="","",SUMPRODUCT(--(Lineups!$AO$4:$AO$41=$U85),Lineups!$W$4:$W$41) + SUMPRODUCT(--(Lineups!$AA$5:$AA$42="SP*"),--(Lineups!$AO$4:$AO$41=$U85),Lineups!$W$5:$W$42))</f>
        <v/>
      </c>
      <c r="AB85" s="159"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159" t="str">
        <f>IF($U86="","",SUMPRODUCT(--(Lineups!$AG$4:$AG$41=$U86),--(Lineups!$AB$4:$AB$41="X"),Lineups!$W$4:$W$41)+SUMPRODUCT(--(Lineups!$AA$5:$AA$42="SP*"),--(Lineups!$AG$4:$AG$41=$U86),--(Lineups!$AB$4:$AB$41="X"),Lineups!$W$5:$W$42))</f>
        <v/>
      </c>
      <c r="Z86" s="159" t="str">
        <f>IF($U86="","",SUMPRODUCT(--(Lineups!$AK$4:$AK$41=$U86),Lineups!$W$4:$W$41) + SUMPRODUCT(--(Lineups!$AA$5:$AA$42="SP*"),--(Lineups!$AK$4:$AK$41=$U86),Lineups!$W$5:$W$42))</f>
        <v/>
      </c>
      <c r="AA86" s="159" t="str">
        <f>IF($U86="","",SUMPRODUCT(--(Lineups!$AO$4:$AO$41=$U86),Lineups!$W$4:$W$41) + SUMPRODUCT(--(Lineups!$AA$5:$AA$42="SP*"),--(Lineups!$AO$4:$AO$41=$U86),Lineups!$W$5:$W$42))</f>
        <v/>
      </c>
      <c r="AB86" s="159"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159" t="str">
        <f>IF($U87="","",SUMPRODUCT(--(Lineups!$AG$4:$AG$41=$U87),--(Lineups!$AB$4:$AB$41="X"),Lineups!$W$4:$W$41)+SUMPRODUCT(--(Lineups!$AA$5:$AA$42="SP*"),--(Lineups!$AG$4:$AG$41=$U87),--(Lineups!$AB$4:$AB$41="X"),Lineups!$W$5:$W$42))</f>
        <v/>
      </c>
      <c r="Z87" s="159" t="str">
        <f>IF($U87="","",SUMPRODUCT(--(Lineups!$AK$4:$AK$41=$U87),Lineups!$W$4:$W$41) + SUMPRODUCT(--(Lineups!$AA$5:$AA$42="SP*"),--(Lineups!$AK$4:$AK$41=$U87),Lineups!$W$5:$W$42))</f>
        <v/>
      </c>
      <c r="AA87" s="159" t="str">
        <f>IF($U87="","",SUMPRODUCT(--(Lineups!$AO$4:$AO$41=$U87),Lineups!$W$4:$W$41) + SUMPRODUCT(--(Lineups!$AA$5:$AA$42="SP*"),--(Lineups!$AO$4:$AO$41=$U87),Lineups!$W$5:$W$42))</f>
        <v/>
      </c>
      <c r="AB87" s="159"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159" t="str">
        <f>IF($U88="","",SUMPRODUCT(--(Lineups!$AG$4:$AG$41=$U88),--(Lineups!$AB$4:$AB$41="X"),Lineups!$W$4:$W$41)+SUMPRODUCT(--(Lineups!$AA$5:$AA$42="SP*"),--(Lineups!$AG$4:$AG$41=$U88),--(Lineups!$AB$4:$AB$41="X"),Lineups!$W$5:$W$42))</f>
        <v/>
      </c>
      <c r="Z88" s="159" t="str">
        <f>IF($U88="","",SUMPRODUCT(--(Lineups!$AK$4:$AK$41=$U88),Lineups!$W$4:$W$41) + SUMPRODUCT(--(Lineups!$AA$5:$AA$42="SP*"),--(Lineups!$AK$4:$AK$41=$U88),Lineups!$W$5:$W$42))</f>
        <v/>
      </c>
      <c r="AA88" s="159" t="str">
        <f>IF($U88="","",SUMPRODUCT(--(Lineups!$AO$4:$AO$41=$U88),Lineups!$W$4:$W$41) + SUMPRODUCT(--(Lineups!$AA$5:$AA$42="SP*"),--(Lineups!$AO$4:$AO$41=$U88),Lineups!$W$5:$W$42))</f>
        <v/>
      </c>
      <c r="AB88" s="159"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159" t="str">
        <f>IF($U89="","",SUMPRODUCT(--(Lineups!$AG$4:$AG$41=$U89),--(Lineups!$AB$4:$AB$41="X"),Lineups!$W$4:$W$41)+SUMPRODUCT(--(Lineups!$AA$5:$AA$42="SP*"),--(Lineups!$AG$4:$AG$41=$U89),--(Lineups!$AB$4:$AB$41="X"),Lineups!$W$5:$W$42))</f>
        <v/>
      </c>
      <c r="Z89" s="159" t="str">
        <f>IF($U89="","",SUMPRODUCT(--(Lineups!$AK$4:$AK$41=$U89),Lineups!$W$4:$W$41) + SUMPRODUCT(--(Lineups!$AA$5:$AA$42="SP*"),--(Lineups!$AK$4:$AK$41=$U89),Lineups!$W$5:$W$42))</f>
        <v/>
      </c>
      <c r="AA89" s="159" t="str">
        <f>IF($U89="","",SUMPRODUCT(--(Lineups!$AO$4:$AO$41=$U89),Lineups!$W$4:$W$41) + SUMPRODUCT(--(Lineups!$AA$5:$AA$42="SP*"),--(Lineups!$AO$4:$AO$41=$U89),Lineups!$W$5:$W$42))</f>
        <v/>
      </c>
      <c r="AB89" s="159"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159" t="str">
        <f>IF($U90="","",SUMPRODUCT(--(Lineups!$AG$4:$AG$41=$U90),--(Lineups!$AB$4:$AB$41="X"),Lineups!$W$4:$W$41)+SUMPRODUCT(--(Lineups!$AA$5:$AA$42="SP*"),--(Lineups!$AG$4:$AG$41=$U90),--(Lineups!$AB$4:$AB$41="X"),Lineups!$W$5:$W$42))</f>
        <v/>
      </c>
      <c r="Z90" s="159" t="str">
        <f>IF($U90="","",SUMPRODUCT(--(Lineups!$AK$4:$AK$41=$U90),Lineups!$W$4:$W$41) + SUMPRODUCT(--(Lineups!$AA$5:$AA$42="SP*"),--(Lineups!$AK$4:$AK$41=$U90),Lineups!$W$5:$W$42))</f>
        <v/>
      </c>
      <c r="AA90" s="159" t="str">
        <f>IF($U90="","",SUMPRODUCT(--(Lineups!$AO$4:$AO$41=$U90),Lineups!$W$4:$W$41) + SUMPRODUCT(--(Lineups!$AA$5:$AA$42="SP*"),--(Lineups!$AO$4:$AO$41=$U90),Lineups!$W$5:$W$42))</f>
        <v/>
      </c>
      <c r="AB90" s="159"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159" t="str">
        <f>IF($U91="","",SUMPRODUCT(--(Lineups!$AG$4:$AG$41=$U91),--(Lineups!$AB$4:$AB$41="X"),Lineups!$W$4:$W$41)+SUMPRODUCT(--(Lineups!$AA$5:$AA$42="SP*"),--(Lineups!$AG$4:$AG$41=$U91),--(Lineups!$AB$4:$AB$41="X"),Lineups!$W$5:$W$42))</f>
        <v/>
      </c>
      <c r="Z91" s="159" t="str">
        <f>IF($U91="","",SUMPRODUCT(--(Lineups!$AK$4:$AK$41=$U91),Lineups!$W$4:$W$41) + SUMPRODUCT(--(Lineups!$AA$5:$AA$42="SP*"),--(Lineups!$AK$4:$AK$41=$U91),Lineups!$W$5:$W$42))</f>
        <v/>
      </c>
      <c r="AA91" s="159" t="str">
        <f>IF($U91="","",SUMPRODUCT(--(Lineups!$AO$4:$AO$41=$U91),Lineups!$W$4:$W$41) + SUMPRODUCT(--(Lineups!$AA$5:$AA$42="SP*"),--(Lineups!$AO$4:$AO$41=$U91),Lineups!$W$5:$W$42))</f>
        <v/>
      </c>
      <c r="AB91" s="159"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159" t="str">
        <f>IF($U92="","",SUMPRODUCT(--(Lineups!$AG$4:$AG$41=$U92),--(Lineups!$AB$4:$AB$41="X"),Lineups!$W$4:$W$41)+SUMPRODUCT(--(Lineups!$AA$5:$AA$42="SP*"),--(Lineups!$AG$4:$AG$41=$U92),--(Lineups!$AB$4:$AB$41="X"),Lineups!$W$5:$W$42))</f>
        <v/>
      </c>
      <c r="Z92" s="159" t="str">
        <f>IF($U92="","",SUMPRODUCT(--(Lineups!$AK$4:$AK$41=$U92),Lineups!$W$4:$W$41) + SUMPRODUCT(--(Lineups!$AA$5:$AA$42="SP*"),--(Lineups!$AK$4:$AK$41=$U92),Lineups!$W$5:$W$42))</f>
        <v/>
      </c>
      <c r="AA92" s="159" t="str">
        <f>IF($U92="","",SUMPRODUCT(--(Lineups!$AO$4:$AO$41=$U92),Lineups!$W$4:$W$41) + SUMPRODUCT(--(Lineups!$AA$5:$AA$42="SP*"),--(Lineups!$AO$4:$AO$41=$U92),Lineups!$W$5:$W$42))</f>
        <v/>
      </c>
      <c r="AB92" s="159"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159" t="str">
        <f>IF($U93="","",SUMPRODUCT(--(Lineups!$AG$4:$AG$41=$U93),--(Lineups!$AB$4:$AB$41="X"),Lineups!$W$4:$W$41)+SUMPRODUCT(--(Lineups!$AA$5:$AA$42="SP*"),--(Lineups!$AG$4:$AG$41=$U93),--(Lineups!$AB$4:$AB$41="X"),Lineups!$W$5:$W$42))</f>
        <v/>
      </c>
      <c r="Z93" s="159" t="str">
        <f>IF($U93="","",SUMPRODUCT(--(Lineups!$AK$4:$AK$41=$U93),Lineups!$W$4:$W$41) + SUMPRODUCT(--(Lineups!$AA$5:$AA$42="SP*"),--(Lineups!$AK$4:$AK$41=$U93),Lineups!$W$5:$W$42))</f>
        <v/>
      </c>
      <c r="AA93" s="159" t="str">
        <f>IF($U93="","",SUMPRODUCT(--(Lineups!$AO$4:$AO$41=$U93),Lineups!$W$4:$W$41) + SUMPRODUCT(--(Lineups!$AA$5:$AA$42="SP*"),--(Lineups!$AO$4:$AO$41=$U93),Lineups!$W$5:$W$42))</f>
        <v/>
      </c>
      <c r="AB93" s="159"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159" t="str">
        <f>IF($U94="","",SUMPRODUCT(--(Lineups!$AG$4:$AG$41=$U94),--(Lineups!$AB$4:$AB$41="X"),Lineups!$W$4:$W$41)+SUMPRODUCT(--(Lineups!$AA$5:$AA$42="SP*"),--(Lineups!$AG$4:$AG$41=$U94),--(Lineups!$AB$4:$AB$41="X"),Lineups!$W$5:$W$42))</f>
        <v/>
      </c>
      <c r="Z94" s="159" t="str">
        <f>IF($U94="","",SUMPRODUCT(--(Lineups!$AK$4:$AK$41=$U94),Lineups!$W$4:$W$41) + SUMPRODUCT(--(Lineups!$AA$5:$AA$42="SP*"),--(Lineups!$AK$4:$AK$41=$U94),Lineups!$W$5:$W$42))</f>
        <v/>
      </c>
      <c r="AA94" s="159" t="str">
        <f>IF($U94="","",SUMPRODUCT(--(Lineups!$AO$4:$AO$41=$U94),Lineups!$W$4:$W$41) + SUMPRODUCT(--(Lineups!$AA$5:$AA$42="SP*"),--(Lineups!$AO$4:$AO$41=$U94),Lineups!$W$5:$W$42))</f>
        <v/>
      </c>
      <c r="AB94" s="159"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159" t="str">
        <f>IF($U95="","",SUMPRODUCT(--(Lineups!$AG$4:$AG$41=$U95),--(Lineups!$AB$4:$AB$41="X"),Lineups!$W$4:$W$41)+SUMPRODUCT(--(Lineups!$AA$5:$AA$42="SP*"),--(Lineups!$AG$4:$AG$41=$U95),--(Lineups!$AB$4:$AB$41="X"),Lineups!$W$5:$W$42))</f>
        <v/>
      </c>
      <c r="Z95" s="159" t="str">
        <f>IF($U95="","",SUMPRODUCT(--(Lineups!$AK$4:$AK$41=$U95),Lineups!$W$4:$W$41) + SUMPRODUCT(--(Lineups!$AA$5:$AA$42="SP*"),--(Lineups!$AK$4:$AK$41=$U95),Lineups!$W$5:$W$42))</f>
        <v/>
      </c>
      <c r="AA95" s="159" t="str">
        <f>IF($U95="","",SUMPRODUCT(--(Lineups!$AO$4:$AO$41=$U95),Lineups!$W$4:$W$41) + SUMPRODUCT(--(Lineups!$AA$5:$AA$42="SP*"),--(Lineups!$AO$4:$AO$41=$U95),Lineups!$W$5:$W$42))</f>
        <v/>
      </c>
      <c r="AB95" s="159"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159" t="str">
        <f>IF($U96="","",SUMPRODUCT(--(Lineups!$AG$4:$AG$41=$U96),--(Lineups!$AB$4:$AB$41="X"),Lineups!$W$4:$W$41)+SUMPRODUCT(--(Lineups!$AA$5:$AA$42="SP*"),--(Lineups!$AG$4:$AG$41=$U96),--(Lineups!$AB$4:$AB$41="X"),Lineups!$W$5:$W$42))</f>
        <v/>
      </c>
      <c r="Z96" s="159" t="str">
        <f>IF($U96="","",SUMPRODUCT(--(Lineups!$AK$4:$AK$41=$U96),Lineups!$W$4:$W$41) + SUMPRODUCT(--(Lineups!$AA$5:$AA$42="SP*"),--(Lineups!$AK$4:$AK$41=$U96),Lineups!$W$5:$W$42))</f>
        <v/>
      </c>
      <c r="AA96" s="159" t="str">
        <f>IF($U96="","",SUMPRODUCT(--(Lineups!$AO$4:$AO$41=$U96),Lineups!$W$4:$W$41) + SUMPRODUCT(--(Lineups!$AA$5:$AA$42="SP*"),--(Lineups!$AO$4:$AO$41=$U96),Lineups!$W$5:$W$42))</f>
        <v/>
      </c>
      <c r="AB96" s="159"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159" t="str">
        <f>IF($U97="","",SUMPRODUCT(--(Lineups!$AG$4:$AG$41=$U97),--(Lineups!$AB$4:$AB$41="X"),Lineups!$W$4:$W$41)+SUMPRODUCT(--(Lineups!$AA$5:$AA$42="SP*"),--(Lineups!$AG$4:$AG$41=$U97),--(Lineups!$AB$4:$AB$41="X"),Lineups!$W$5:$W$42))</f>
        <v/>
      </c>
      <c r="Z97" s="159" t="str">
        <f>IF($U97="","",SUMPRODUCT(--(Lineups!$AK$4:$AK$41=$U97),Lineups!$W$4:$W$41) + SUMPRODUCT(--(Lineups!$AA$5:$AA$42="SP*"),--(Lineups!$AK$4:$AK$41=$U97),Lineups!$W$5:$W$42))</f>
        <v/>
      </c>
      <c r="AA97" s="159" t="str">
        <f>IF($U97="","",SUMPRODUCT(--(Lineups!$AO$4:$AO$41=$U97),Lineups!$W$4:$W$41) + SUMPRODUCT(--(Lineups!$AA$5:$AA$42="SP*"),--(Lineups!$AO$4:$AO$41=$U97),Lineups!$W$5:$W$42))</f>
        <v/>
      </c>
      <c r="AB97" s="159"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5" t="s">
        <v>147</v>
      </c>
      <c r="V101" s="105"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85" t="s">
        <v>32</v>
      </c>
      <c r="B106" s="1485"/>
      <c r="C106" s="1485"/>
      <c r="D106" s="106"/>
      <c r="E106" s="106"/>
      <c r="F106" s="106"/>
      <c r="G106" s="106"/>
      <c r="H106" s="106"/>
      <c r="I106" s="106"/>
      <c r="J106" s="106"/>
      <c r="K106" s="106"/>
      <c r="L106" s="106"/>
      <c r="M106" s="106"/>
      <c r="N106" s="106"/>
      <c r="O106" s="106"/>
      <c r="P106" s="106"/>
      <c r="Q106" s="106"/>
      <c r="R106" s="106"/>
      <c r="T106" s="1485" t="s">
        <v>32</v>
      </c>
      <c r="U106" s="1485"/>
      <c r="V106" s="1485"/>
      <c r="W106" s="106"/>
      <c r="X106" s="106"/>
      <c r="Y106" s="106"/>
      <c r="Z106" s="106"/>
      <c r="AA106" s="106"/>
      <c r="AB106" s="106"/>
      <c r="AC106" s="106"/>
      <c r="AD106" s="106"/>
      <c r="AE106" s="106"/>
      <c r="AF106" s="106"/>
      <c r="AG106" s="106"/>
      <c r="AH106" s="106"/>
      <c r="AI106" s="106"/>
      <c r="AJ106" s="106"/>
      <c r="AK106" s="106"/>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4"/>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85" t="s">
        <v>40</v>
      </c>
      <c r="B129" s="1485"/>
      <c r="C129" s="1485"/>
      <c r="D129" s="106"/>
      <c r="E129" s="106"/>
      <c r="F129" s="106"/>
      <c r="G129" s="106"/>
      <c r="H129" s="106"/>
      <c r="I129" s="106"/>
      <c r="J129" s="106"/>
      <c r="K129" s="106"/>
      <c r="L129" s="106"/>
      <c r="M129" s="106"/>
      <c r="N129" s="106"/>
      <c r="O129" s="106"/>
      <c r="P129" s="106"/>
      <c r="Q129" s="106"/>
      <c r="R129" s="106"/>
      <c r="T129" s="1485" t="s">
        <v>40</v>
      </c>
      <c r="U129" s="1485"/>
      <c r="V129" s="1485"/>
      <c r="W129" s="106"/>
      <c r="X129" s="106"/>
      <c r="Y129" s="106"/>
      <c r="Z129" s="106"/>
      <c r="AA129" s="106"/>
      <c r="AB129" s="106"/>
      <c r="AC129" s="106"/>
      <c r="AD129" s="106"/>
      <c r="AE129" s="106"/>
      <c r="AF129" s="106"/>
      <c r="AG129" s="106"/>
      <c r="AH129" s="106"/>
      <c r="AI129" s="106"/>
      <c r="AJ129" s="106"/>
      <c r="AK129" s="106"/>
    </row>
    <row r="130" spans="1:37" x14ac:dyDescent="0.2">
      <c r="A130" s="153">
        <v>0</v>
      </c>
      <c r="B130" s="153" t="s">
        <v>24</v>
      </c>
      <c r="C130" s="153" t="s">
        <v>25</v>
      </c>
      <c r="D130" s="153" t="s">
        <v>104</v>
      </c>
      <c r="E130" s="104"/>
      <c r="F130" s="158" t="s">
        <v>105</v>
      </c>
      <c r="G130" s="158" t="s">
        <v>105</v>
      </c>
      <c r="H130" s="158" t="s">
        <v>105</v>
      </c>
      <c r="I130" s="158" t="s">
        <v>105</v>
      </c>
      <c r="J130" s="153" t="s">
        <v>34</v>
      </c>
      <c r="K130" s="104"/>
      <c r="L130" s="153" t="s">
        <v>36</v>
      </c>
      <c r="M130" s="104"/>
      <c r="N130" s="155" t="s">
        <v>13</v>
      </c>
      <c r="O130" s="153" t="s">
        <v>106</v>
      </c>
      <c r="P130" s="104"/>
      <c r="Q130" s="153" t="s">
        <v>7</v>
      </c>
      <c r="R130" s="104"/>
      <c r="T130" s="153">
        <v>0</v>
      </c>
      <c r="U130" s="153" t="s">
        <v>24</v>
      </c>
      <c r="V130" s="153" t="s">
        <v>25</v>
      </c>
      <c r="W130" s="153" t="s">
        <v>104</v>
      </c>
      <c r="X130" s="104"/>
      <c r="Y130" s="158" t="s">
        <v>105</v>
      </c>
      <c r="Z130" s="158" t="s">
        <v>105</v>
      </c>
      <c r="AA130" s="158" t="s">
        <v>105</v>
      </c>
      <c r="AB130" s="158" t="s">
        <v>105</v>
      </c>
      <c r="AC130" s="153" t="s">
        <v>34</v>
      </c>
      <c r="AD130" s="104"/>
      <c r="AE130" s="153" t="s">
        <v>36</v>
      </c>
      <c r="AF130" s="104"/>
      <c r="AG130" s="155" t="s">
        <v>13</v>
      </c>
      <c r="AH130" s="153" t="s">
        <v>106</v>
      </c>
      <c r="AI130" s="104"/>
      <c r="AJ130" s="153" t="s">
        <v>7</v>
      </c>
      <c r="AK130" s="104"/>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85" t="s">
        <v>41</v>
      </c>
      <c r="B152" s="1485"/>
      <c r="C152" s="1485"/>
      <c r="D152" s="106"/>
      <c r="E152" s="106"/>
      <c r="F152" s="106"/>
      <c r="G152" s="106"/>
      <c r="H152" s="106"/>
      <c r="I152" s="106"/>
      <c r="J152" s="106"/>
      <c r="K152" s="106"/>
      <c r="L152" s="106"/>
      <c r="M152" s="106"/>
      <c r="N152" s="106"/>
      <c r="O152" s="106"/>
      <c r="P152" s="106"/>
      <c r="Q152" s="106"/>
      <c r="R152" s="106"/>
      <c r="T152" s="1485" t="s">
        <v>41</v>
      </c>
      <c r="U152" s="1485"/>
      <c r="V152" s="1485"/>
      <c r="W152" s="106"/>
      <c r="X152" s="106"/>
      <c r="Y152" s="106"/>
      <c r="Z152" s="106"/>
      <c r="AA152" s="106"/>
      <c r="AB152" s="106"/>
      <c r="AC152" s="106"/>
      <c r="AD152" s="106"/>
      <c r="AE152" s="106"/>
      <c r="AF152" s="106"/>
      <c r="AG152" s="106"/>
      <c r="AH152" s="106"/>
      <c r="AI152" s="106"/>
      <c r="AJ152" s="106"/>
      <c r="AK152" s="106"/>
    </row>
    <row r="153" spans="1:37" x14ac:dyDescent="0.2">
      <c r="A153" s="153">
        <v>0</v>
      </c>
      <c r="B153" s="153" t="s">
        <v>24</v>
      </c>
      <c r="C153" s="153" t="s">
        <v>25</v>
      </c>
      <c r="D153" s="153" t="s">
        <v>104</v>
      </c>
      <c r="E153" s="104"/>
      <c r="F153" s="158" t="s">
        <v>105</v>
      </c>
      <c r="G153" s="158" t="s">
        <v>105</v>
      </c>
      <c r="H153" s="158" t="s">
        <v>105</v>
      </c>
      <c r="I153" s="158" t="s">
        <v>105</v>
      </c>
      <c r="J153" s="153" t="s">
        <v>34</v>
      </c>
      <c r="K153" s="104"/>
      <c r="L153" s="153" t="s">
        <v>36</v>
      </c>
      <c r="M153" s="104"/>
      <c r="N153" s="155" t="s">
        <v>13</v>
      </c>
      <c r="O153" s="153" t="s">
        <v>106</v>
      </c>
      <c r="P153" s="104"/>
      <c r="Q153" s="153" t="s">
        <v>7</v>
      </c>
      <c r="R153" s="104"/>
      <c r="T153" s="153">
        <v>0</v>
      </c>
      <c r="U153" s="153" t="s">
        <v>24</v>
      </c>
      <c r="V153" s="153" t="s">
        <v>25</v>
      </c>
      <c r="W153" s="153" t="s">
        <v>104</v>
      </c>
      <c r="X153" s="104"/>
      <c r="Y153" s="158" t="s">
        <v>105</v>
      </c>
      <c r="Z153" s="158" t="s">
        <v>105</v>
      </c>
      <c r="AA153" s="158" t="s">
        <v>105</v>
      </c>
      <c r="AB153" s="158" t="s">
        <v>105</v>
      </c>
      <c r="AC153" s="153" t="s">
        <v>34</v>
      </c>
      <c r="AD153" s="104"/>
      <c r="AE153" s="153" t="s">
        <v>36</v>
      </c>
      <c r="AF153" s="104"/>
      <c r="AG153" s="155" t="s">
        <v>13</v>
      </c>
      <c r="AH153" s="153" t="s">
        <v>106</v>
      </c>
      <c r="AI153" s="104"/>
      <c r="AJ153" s="153" t="s">
        <v>7</v>
      </c>
      <c r="AK153" s="104"/>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85" t="s">
        <v>42</v>
      </c>
      <c r="B175" s="1485"/>
      <c r="C175" s="1485"/>
      <c r="D175" s="106"/>
      <c r="E175" s="106"/>
      <c r="F175" s="106"/>
      <c r="G175" s="106"/>
      <c r="H175" s="106"/>
      <c r="I175" s="106"/>
      <c r="J175" s="106"/>
      <c r="K175" s="106"/>
      <c r="L175" s="106"/>
      <c r="M175" s="106"/>
      <c r="N175" s="106"/>
      <c r="O175" s="106"/>
      <c r="P175" s="106"/>
      <c r="Q175" s="106"/>
      <c r="R175" s="106"/>
      <c r="T175" s="1485" t="s">
        <v>42</v>
      </c>
      <c r="U175" s="1485"/>
      <c r="V175" s="1485"/>
      <c r="W175" s="106"/>
      <c r="X175" s="106"/>
      <c r="Y175" s="106"/>
      <c r="Z175" s="106"/>
      <c r="AA175" s="106"/>
      <c r="AB175" s="106"/>
      <c r="AC175" s="106"/>
      <c r="AD175" s="106"/>
      <c r="AE175" s="106"/>
      <c r="AF175" s="106"/>
      <c r="AG175" s="106"/>
      <c r="AH175" s="106"/>
      <c r="AI175" s="106"/>
      <c r="AJ175" s="106"/>
      <c r="AK175" s="106"/>
    </row>
    <row r="176" spans="1:37" x14ac:dyDescent="0.2">
      <c r="A176" s="153">
        <v>0</v>
      </c>
      <c r="B176" s="153" t="s">
        <v>24</v>
      </c>
      <c r="C176" s="153" t="s">
        <v>25</v>
      </c>
      <c r="D176" s="153" t="s">
        <v>104</v>
      </c>
      <c r="E176" s="104"/>
      <c r="F176" s="158" t="s">
        <v>105</v>
      </c>
      <c r="G176" s="158" t="s">
        <v>105</v>
      </c>
      <c r="H176" s="158" t="s">
        <v>105</v>
      </c>
      <c r="I176" s="158" t="s">
        <v>105</v>
      </c>
      <c r="J176" s="153" t="s">
        <v>34</v>
      </c>
      <c r="K176" s="104"/>
      <c r="L176" s="153" t="s">
        <v>36</v>
      </c>
      <c r="M176" s="104"/>
      <c r="N176" s="155" t="s">
        <v>13</v>
      </c>
      <c r="O176" s="153" t="s">
        <v>106</v>
      </c>
      <c r="P176" s="104"/>
      <c r="Q176" s="153" t="s">
        <v>7</v>
      </c>
      <c r="R176" s="104"/>
      <c r="T176" s="153">
        <v>0</v>
      </c>
      <c r="U176" s="153" t="s">
        <v>24</v>
      </c>
      <c r="V176" s="153" t="s">
        <v>25</v>
      </c>
      <c r="W176" s="153" t="s">
        <v>104</v>
      </c>
      <c r="X176" s="104"/>
      <c r="Y176" s="158" t="s">
        <v>105</v>
      </c>
      <c r="Z176" s="158" t="s">
        <v>105</v>
      </c>
      <c r="AA176" s="158" t="s">
        <v>105</v>
      </c>
      <c r="AB176" s="158" t="s">
        <v>105</v>
      </c>
      <c r="AC176" s="153" t="s">
        <v>34</v>
      </c>
      <c r="AD176" s="104"/>
      <c r="AE176" s="153" t="s">
        <v>36</v>
      </c>
      <c r="AF176" s="104"/>
      <c r="AG176" s="155" t="s">
        <v>13</v>
      </c>
      <c r="AH176" s="153" t="s">
        <v>106</v>
      </c>
      <c r="AI176" s="104"/>
      <c r="AJ176" s="153" t="s">
        <v>7</v>
      </c>
      <c r="AK176" s="104"/>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9" type="noConversion"/>
  <pageMargins left="0.7" right="0.7" top="0.75" bottom="0.75" header="0.51180555555555551" footer="0.51180555555555551"/>
  <pageSetup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Normal="100"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2" width="5.7109375" collapsed="false"/>
    <col min="5" max="20" customWidth="true" style="432" width="3.7109375" collapsed="false"/>
    <col min="21" max="22" customWidth="true" style="432" width="5.7109375" collapsed="false"/>
    <col min="23" max="35" customWidth="true" style="432" width="3.7109375" collapsed="false"/>
    <col min="36" max="36" customWidth="true" style="432" width="6.7109375" collapsed="false"/>
    <col min="37" max="37" customWidth="true" style="432" width="11.42578125" collapsed="false"/>
    <col min="38" max="50" customWidth="true" style="432"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7"/>
      <c r="B1" s="427"/>
      <c r="C1" s="427"/>
      <c r="D1" s="425"/>
      <c r="E1" s="504" t="s">
        <v>314</v>
      </c>
      <c r="F1" s="505"/>
      <c r="G1" s="506"/>
      <c r="H1" s="506"/>
      <c r="I1" s="506"/>
      <c r="J1" s="428"/>
      <c r="K1" s="428"/>
      <c r="L1" s="428"/>
      <c r="M1" s="428"/>
      <c r="N1" s="428"/>
      <c r="O1" s="428"/>
      <c r="P1" s="428"/>
      <c r="Q1" s="428"/>
      <c r="R1" s="428"/>
      <c r="S1" s="428"/>
      <c r="T1" s="428"/>
      <c r="U1" s="428"/>
      <c r="V1" s="1495" t="s">
        <v>255</v>
      </c>
      <c r="W1" s="1496" t="s">
        <v>172</v>
      </c>
      <c r="X1" s="1496"/>
      <c r="Y1" s="1496"/>
      <c r="Z1" s="1496"/>
      <c r="AA1" s="1496"/>
      <c r="AB1" s="1496"/>
      <c r="AC1" s="1496"/>
      <c r="AD1" s="1496"/>
      <c r="AE1" s="1496"/>
      <c r="AF1" s="1496"/>
      <c r="AG1" s="1496"/>
      <c r="AH1" s="1496"/>
      <c r="AI1" s="1496"/>
      <c r="AJ1" s="1496"/>
    </row>
    <row r="2" spans="1:36" s="432" customFormat="1" ht="12.75" customHeight="1" thickBot="1" x14ac:dyDescent="0.25">
      <c r="A2" s="429" t="s">
        <v>6</v>
      </c>
      <c r="B2" s="429" t="s">
        <v>24</v>
      </c>
      <c r="C2" s="429" t="s">
        <v>25</v>
      </c>
      <c r="D2" s="429"/>
      <c r="E2" s="429" t="s">
        <v>130</v>
      </c>
      <c r="F2" s="429" t="s">
        <v>121</v>
      </c>
      <c r="G2" s="429" t="s">
        <v>113</v>
      </c>
      <c r="H2" s="429" t="s">
        <v>124</v>
      </c>
      <c r="I2" s="429" t="s">
        <v>118</v>
      </c>
      <c r="J2" s="429" t="s">
        <v>119</v>
      </c>
      <c r="K2" s="429" t="s">
        <v>115</v>
      </c>
      <c r="L2" s="429" t="s">
        <v>126</v>
      </c>
      <c r="M2" s="429" t="s">
        <v>117</v>
      </c>
      <c r="N2" s="429" t="s">
        <v>443</v>
      </c>
      <c r="O2" s="429" t="s">
        <v>127</v>
      </c>
      <c r="P2" s="429" t="s">
        <v>116</v>
      </c>
      <c r="Q2" s="429" t="s">
        <v>129</v>
      </c>
      <c r="R2" s="429" t="s">
        <v>123</v>
      </c>
      <c r="S2" s="429"/>
      <c r="T2" s="429"/>
      <c r="U2" s="430" t="s">
        <v>7</v>
      </c>
      <c r="V2" s="1495"/>
      <c r="W2" s="431" t="s">
        <v>282</v>
      </c>
      <c r="X2" s="431" t="s">
        <v>130</v>
      </c>
      <c r="Y2" s="431" t="s">
        <v>121</v>
      </c>
      <c r="Z2" s="431" t="s">
        <v>113</v>
      </c>
      <c r="AA2" s="431" t="s">
        <v>124</v>
      </c>
      <c r="AB2" s="431" t="s">
        <v>118</v>
      </c>
      <c r="AC2" s="431" t="s">
        <v>119</v>
      </c>
      <c r="AD2" s="431" t="s">
        <v>115</v>
      </c>
      <c r="AE2" s="431" t="s">
        <v>126</v>
      </c>
      <c r="AF2" s="431" t="s">
        <v>117</v>
      </c>
      <c r="AG2" s="431" t="s">
        <v>443</v>
      </c>
      <c r="AH2" s="431" t="s">
        <v>127</v>
      </c>
      <c r="AI2" s="431" t="s">
        <v>129</v>
      </c>
      <c r="AJ2" s="431"/>
    </row>
    <row r="3" spans="1:36" s="74" customFormat="1" x14ac:dyDescent="0.2">
      <c r="A3" s="1492">
        <v>1</v>
      </c>
      <c r="B3" s="1493" t="str">
        <f>IF(IGRF!B14="","",IGRF!B14)</f>
        <v/>
      </c>
      <c r="C3" s="1494" t="str">
        <f>IF(IGRF!C14="","",IGRF!C14)</f>
        <v/>
      </c>
      <c r="D3" s="432" t="s">
        <v>5</v>
      </c>
      <c r="E3" s="425" t="str">
        <f>IF($B3="","",COUNTIF(Penalties!$B4:$J4,E$2))</f>
        <v/>
      </c>
      <c r="F3" s="425" t="str">
        <f>IF($B3="","",COUNTIF(Penalties!$B4:$J4,F$2))</f>
        <v/>
      </c>
      <c r="G3" s="425" t="str">
        <f>IF($B3="","",COUNTIF(Penalties!$B4:$J4,G$2))</f>
        <v/>
      </c>
      <c r="H3" s="425" t="str">
        <f>IF($B3="","",COUNTIF(Penalties!$B4:$J4,H$2))</f>
        <v/>
      </c>
      <c r="I3" s="425" t="str">
        <f>IF($B3="","",COUNTIF(Penalties!$B4:$J4,I$2))</f>
        <v/>
      </c>
      <c r="J3" s="425" t="str">
        <f>IF($B3="","",COUNTIF(Penalties!$B4:$J4,J$2))</f>
        <v/>
      </c>
      <c r="K3" s="425" t="str">
        <f>IF($B3="","",COUNTIF(Penalties!$B4:$J4,K$2))</f>
        <v/>
      </c>
      <c r="L3" s="425" t="str">
        <f>IF($B3="","",COUNTIF(Penalties!$B4:$J4,L$2))</f>
        <v/>
      </c>
      <c r="M3" s="425" t="str">
        <f>IF($B3="","",COUNTIF(Penalties!$B4:$J4,M$2))</f>
        <v/>
      </c>
      <c r="N3" s="425" t="str">
        <f>IF($B3="","",COUNTIF(Penalties!$B4:$J4,N$2))</f>
        <v/>
      </c>
      <c r="O3" s="425" t="str">
        <f>IF($B3="","",COUNTIF(Penalties!$B4:$J4,O$2))</f>
        <v/>
      </c>
      <c r="P3" s="425" t="str">
        <f>IF($B3="","",COUNTIF(Penalties!$B4:$J4,P$2))</f>
        <v/>
      </c>
      <c r="Q3" s="425" t="str">
        <f>IF($B3="","",COUNTIF(Penalties!$B4:$J4,Q$2))</f>
        <v/>
      </c>
      <c r="R3" s="425" t="str">
        <f>IF($B3="","",COUNTIF(Penalties!$B4:$J4,R$2))</f>
        <v/>
      </c>
      <c r="S3" s="425"/>
      <c r="T3" s="425"/>
      <c r="U3" s="433" t="str">
        <f>IF(B3="","",SUM(E3:T3))</f>
        <v/>
      </c>
      <c r="V3" s="434" t="str">
        <f>IF(B3="","",SUM(E3:T3)*0.5)</f>
        <v/>
      </c>
      <c r="W3" s="435" t="str">
        <f>IF($B3="","",IF(Penalties!$K4=W$2,1,""))</f>
        <v/>
      </c>
      <c r="X3" s="435" t="str">
        <f>IF($B3="","",IF(Penalties!$K4=X$2,1,""))</f>
        <v/>
      </c>
      <c r="Y3" s="435" t="str">
        <f>IF($B3="","",IF(Penalties!$K4=Y$2,1,""))</f>
        <v/>
      </c>
      <c r="Z3" s="435" t="str">
        <f>IF($B3="","",IF(Penalties!$K4=Z$2,1,""))</f>
        <v/>
      </c>
      <c r="AA3" s="435" t="str">
        <f>IF($B3="","",IF(Penalties!$K4=AA$2,1,""))</f>
        <v/>
      </c>
      <c r="AB3" s="435" t="str">
        <f>IF($B3="","",IF(Penalties!$K4=AB$2,1,""))</f>
        <v/>
      </c>
      <c r="AC3" s="435" t="str">
        <f>IF($B3="","",IF(Penalties!$K4=AC$2,1,""))</f>
        <v/>
      </c>
      <c r="AD3" s="435" t="str">
        <f>IF($B3="","",IF(Penalties!$K4=AD$2,1,""))</f>
        <v/>
      </c>
      <c r="AE3" s="435" t="str">
        <f>IF($B3="","",IF(Penalties!$K4=AE$2,1,""))</f>
        <v/>
      </c>
      <c r="AF3" s="435" t="str">
        <f>IF($B3="","",IF(Penalties!$K4=AF$2,1,""))</f>
        <v/>
      </c>
      <c r="AG3" s="435" t="str">
        <f>IF($B3="","",IF(Penalties!$K4=AG$2,1,""))</f>
        <v/>
      </c>
      <c r="AH3" s="435" t="str">
        <f>IF($B3="","",IF(Penalties!$K4=AH$2,1,""))</f>
        <v/>
      </c>
      <c r="AI3" s="435" t="str">
        <f>IF($B3="","",IF(Penalties!$K4=AI$2,1,""))</f>
        <v/>
      </c>
      <c r="AJ3" s="436"/>
    </row>
    <row r="4" spans="1:36" s="74" customFormat="1" x14ac:dyDescent="0.2">
      <c r="A4" s="1492"/>
      <c r="B4" s="1493"/>
      <c r="C4" s="1494"/>
      <c r="D4" s="432" t="s">
        <v>21</v>
      </c>
      <c r="E4" s="425" t="str">
        <f>IF($B3="","",COUNTIF(Penalties!$AD4:$AL4,E$2))</f>
        <v/>
      </c>
      <c r="F4" s="425" t="str">
        <f>IF($B3="","",COUNTIF(Penalties!$AD4:$AL4,F$2))</f>
        <v/>
      </c>
      <c r="G4" s="425" t="str">
        <f>IF($B3="","",COUNTIF(Penalties!$AD4:$AL4,G$2))</f>
        <v/>
      </c>
      <c r="H4" s="425" t="str">
        <f>IF($B3="","",COUNTIF(Penalties!$AD4:$AL4,H$2))</f>
        <v/>
      </c>
      <c r="I4" s="425" t="str">
        <f>IF($B3="","",COUNTIF(Penalties!$AD4:$AL4,I$2))</f>
        <v/>
      </c>
      <c r="J4" s="425" t="str">
        <f>IF($B3="","",COUNTIF(Penalties!$AD4:$AL4,J$2))</f>
        <v/>
      </c>
      <c r="K4" s="425" t="str">
        <f>IF($B3="","",COUNTIF(Penalties!$AD4:$AL4,K$2))</f>
        <v/>
      </c>
      <c r="L4" s="425" t="str">
        <f>IF($B3="","",COUNTIF(Penalties!$AD4:$AL4,L$2))</f>
        <v/>
      </c>
      <c r="M4" s="425" t="str">
        <f>IF($B3="","",COUNTIF(Penalties!$AD4:$AL4,M$2))</f>
        <v/>
      </c>
      <c r="N4" s="425" t="str">
        <f>IF($B3="","",COUNTIF(Penalties!$AD4:$AL4,N$2))</f>
        <v/>
      </c>
      <c r="O4" s="425" t="str">
        <f>IF($B3="","",COUNTIF(Penalties!$AD4:$AL4,O$2))</f>
        <v/>
      </c>
      <c r="P4" s="425" t="str">
        <f>IF($B3="","",COUNTIF(Penalties!$AD4:$AL4,P$2))</f>
        <v/>
      </c>
      <c r="Q4" s="425" t="str">
        <f>IF($B3="","",COUNTIF(Penalties!$AD4:$AL4,Q$2))</f>
        <v/>
      </c>
      <c r="R4" s="425" t="str">
        <f>IF($B3="","",COUNTIF(Penalties!$AD4:$AL4,R$2))</f>
        <v/>
      </c>
      <c r="S4" s="425"/>
      <c r="T4" s="425"/>
      <c r="U4" s="433" t="str">
        <f>IF(B3="","",SUM(E4:T4))</f>
        <v/>
      </c>
      <c r="V4" s="434" t="str">
        <f>IF(B3="","",SUM(E4:T4)*0.5)</f>
        <v/>
      </c>
      <c r="W4" s="435" t="str">
        <f>IF($B3="","",IF(Penalties!$AM4=W$2,1,""))</f>
        <v/>
      </c>
      <c r="X4" s="435" t="str">
        <f>IF($B3="","",IF(Penalties!$AM4=X$2,1,""))</f>
        <v/>
      </c>
      <c r="Y4" s="435" t="str">
        <f>IF($B3="","",IF(Penalties!$AM4=Y$2,1,""))</f>
        <v/>
      </c>
      <c r="Z4" s="435" t="str">
        <f>IF($B3="","",IF(Penalties!$AM4=Z$2,1,""))</f>
        <v/>
      </c>
      <c r="AA4" s="435" t="str">
        <f>IF($B3="","",IF(Penalties!$AM4=AA$2,1,""))</f>
        <v/>
      </c>
      <c r="AB4" s="435" t="str">
        <f>IF($B3="","",IF(Penalties!$AM4=AB$2,1,""))</f>
        <v/>
      </c>
      <c r="AC4" s="435" t="str">
        <f>IF($B3="","",IF(Penalties!$AM4=AC$2,1,""))</f>
        <v/>
      </c>
      <c r="AD4" s="435" t="str">
        <f>IF($B3="","",IF(Penalties!$AM4=AD$2,1,""))</f>
        <v/>
      </c>
      <c r="AE4" s="435" t="str">
        <f>IF($B3="","",IF(Penalties!$AM4=AE$2,1,""))</f>
        <v/>
      </c>
      <c r="AF4" s="435" t="str">
        <f>IF($B3="","",IF(Penalties!$AM4=AF$2,1,""))</f>
        <v/>
      </c>
      <c r="AG4" s="435" t="str">
        <f>IF($B3="","",IF(Penalties!$AM4=AG$2,1,""))</f>
        <v/>
      </c>
      <c r="AH4" s="435" t="str">
        <f>IF($B3="","",IF(Penalties!$AM4=AH$2,1,""))</f>
        <v/>
      </c>
      <c r="AI4" s="435" t="str">
        <f>IF($B3="","",IF(Penalties!$AM4=AI$2,1,""))</f>
        <v/>
      </c>
      <c r="AJ4" s="437" t="str">
        <f>IF(SUM(X3:AI4)=0, "", IF(SUM(X3:AI3)=1, LOOKUP(1, X3:AI3, $X$2:$AI$2), LOOKUP(1, X4:AI4, $X$2:$AI$2)))</f>
        <v/>
      </c>
    </row>
    <row r="5" spans="1:36" s="74" customFormat="1" x14ac:dyDescent="0.2">
      <c r="A5" s="1486">
        <f>A3+1</f>
        <v>2</v>
      </c>
      <c r="B5" s="1487" t="str">
        <f>IF(IGRF!B15="","",IGRF!B15)</f>
        <v/>
      </c>
      <c r="C5" s="1488" t="str">
        <f>IF(IGRF!C15="","",IGRF!C15)</f>
        <v/>
      </c>
      <c r="D5" s="426" t="s">
        <v>5</v>
      </c>
      <c r="E5" s="426" t="str">
        <f>IF($B5="","",COUNTIF(Penalties!$B6:$J6,E$2))</f>
        <v/>
      </c>
      <c r="F5" s="426" t="str">
        <f>IF($B5="","",COUNTIF(Penalties!$B6:$J6,F$2))</f>
        <v/>
      </c>
      <c r="G5" s="426" t="str">
        <f>IF($B5="","",COUNTIF(Penalties!$B6:$J6,G$2))</f>
        <v/>
      </c>
      <c r="H5" s="426" t="str">
        <f>IF($B5="","",COUNTIF(Penalties!$B6:$J6,H$2))</f>
        <v/>
      </c>
      <c r="I5" s="426" t="str">
        <f>IF($B5="","",COUNTIF(Penalties!$B6:$J6,I$2))</f>
        <v/>
      </c>
      <c r="J5" s="426" t="str">
        <f>IF($B5="","",COUNTIF(Penalties!$B6:$J6,J$2))</f>
        <v/>
      </c>
      <c r="K5" s="426" t="str">
        <f>IF($B5="","",COUNTIF(Penalties!$B6:$J6,K$2))</f>
        <v/>
      </c>
      <c r="L5" s="426" t="str">
        <f>IF($B5="","",COUNTIF(Penalties!$B6:$J6,L$2))</f>
        <v/>
      </c>
      <c r="M5" s="426" t="str">
        <f>IF($B5="","",COUNTIF(Penalties!$B6:$J6,M$2))</f>
        <v/>
      </c>
      <c r="N5" s="426" t="str">
        <f>IF($B5="","",COUNTIF(Penalties!$B6:$J6,N$2))</f>
        <v/>
      </c>
      <c r="O5" s="426" t="str">
        <f>IF($B5="","",COUNTIF(Penalties!$B6:$J6,O$2))</f>
        <v/>
      </c>
      <c r="P5" s="426" t="str">
        <f>IF($B5="","",COUNTIF(Penalties!$B6:$J6,P$2))</f>
        <v/>
      </c>
      <c r="Q5" s="426" t="str">
        <f>IF($B5="","",COUNTIF(Penalties!$B6:$J6,Q$2))</f>
        <v/>
      </c>
      <c r="R5" s="426" t="str">
        <f>IF($B5="","",COUNTIF(Penalties!$B6:$J6,R$2))</f>
        <v/>
      </c>
      <c r="S5" s="426"/>
      <c r="T5" s="426"/>
      <c r="U5" s="438" t="str">
        <f>IF(B5="","",SUM(E5:T5))</f>
        <v/>
      </c>
      <c r="V5" s="439" t="str">
        <f>IF(B5="","",SUM(E5:T5)*0.5)</f>
        <v/>
      </c>
      <c r="W5" s="440" t="str">
        <f>IF($B5="","",IF(Penalties!$K6=W$2,1,""))</f>
        <v/>
      </c>
      <c r="X5" s="440" t="str">
        <f>IF($B5="","",IF(Penalties!$K6=X$2,1,""))</f>
        <v/>
      </c>
      <c r="Y5" s="440" t="str">
        <f>IF($B5="","",IF(Penalties!$K6=Y$2,1,""))</f>
        <v/>
      </c>
      <c r="Z5" s="440" t="str">
        <f>IF($B5="","",IF(Penalties!$K6=Z$2,1,""))</f>
        <v/>
      </c>
      <c r="AA5" s="440" t="str">
        <f>IF($B5="","",IF(Penalties!$K6=AA$2,1,""))</f>
        <v/>
      </c>
      <c r="AB5" s="440" t="str">
        <f>IF($B5="","",IF(Penalties!$K6=AB$2,1,""))</f>
        <v/>
      </c>
      <c r="AC5" s="440" t="str">
        <f>IF($B5="","",IF(Penalties!$K6=AC$2,1,""))</f>
        <v/>
      </c>
      <c r="AD5" s="440" t="str">
        <f>IF($B5="","",IF(Penalties!$K6=AD$2,1,""))</f>
        <v/>
      </c>
      <c r="AE5" s="440" t="str">
        <f>IF($B5="","",IF(Penalties!$K6=AE$2,1,""))</f>
        <v/>
      </c>
      <c r="AF5" s="440" t="str">
        <f>IF($B5="","",IF(Penalties!$K6=AF$2,1,""))</f>
        <v/>
      </c>
      <c r="AG5" s="440" t="str">
        <f>IF($B5="","",IF(Penalties!$K6=AG$2,1,""))</f>
        <v/>
      </c>
      <c r="AH5" s="440" t="str">
        <f>IF($B5="","",IF(Penalties!$K6=AH$2,1,""))</f>
        <v/>
      </c>
      <c r="AI5" s="440" t="str">
        <f>IF($B5="","",IF(Penalties!$K6=AI$2,1,""))</f>
        <v/>
      </c>
      <c r="AJ5" s="441"/>
    </row>
    <row r="6" spans="1:36" s="74" customFormat="1" ht="13.5" thickBot="1" x14ac:dyDescent="0.25">
      <c r="A6" s="1486"/>
      <c r="B6" s="1487"/>
      <c r="C6" s="1488"/>
      <c r="D6" s="426" t="s">
        <v>21</v>
      </c>
      <c r="E6" s="426" t="str">
        <f>IF($B5="","",COUNTIF(Penalties!$AD6:$AL6,E$2))</f>
        <v/>
      </c>
      <c r="F6" s="426" t="str">
        <f>IF($B5="","",COUNTIF(Penalties!$AD6:$AL6,F$2))</f>
        <v/>
      </c>
      <c r="G6" s="426" t="str">
        <f>IF($B5="","",COUNTIF(Penalties!$AD6:$AL6,G$2))</f>
        <v/>
      </c>
      <c r="H6" s="426" t="str">
        <f>IF($B5="","",COUNTIF(Penalties!$AD6:$AL6,H$2))</f>
        <v/>
      </c>
      <c r="I6" s="426" t="str">
        <f>IF($B5="","",COUNTIF(Penalties!$AD6:$AL6,I$2))</f>
        <v/>
      </c>
      <c r="J6" s="426" t="str">
        <f>IF($B5="","",COUNTIF(Penalties!$AD6:$AL6,J$2))</f>
        <v/>
      </c>
      <c r="K6" s="426" t="str">
        <f>IF($B5="","",COUNTIF(Penalties!$AD6:$AL6,K$2))</f>
        <v/>
      </c>
      <c r="L6" s="426" t="str">
        <f>IF($B5="","",COUNTIF(Penalties!$AD6:$AL6,L$2))</f>
        <v/>
      </c>
      <c r="M6" s="426" t="str">
        <f>IF($B5="","",COUNTIF(Penalties!$AD6:$AL6,M$2))</f>
        <v/>
      </c>
      <c r="N6" s="426" t="str">
        <f>IF($B5="","",COUNTIF(Penalties!$AD6:$AL6,N$2))</f>
        <v/>
      </c>
      <c r="O6" s="426" t="str">
        <f>IF($B5="","",COUNTIF(Penalties!$AD6:$AL6,O$2))</f>
        <v/>
      </c>
      <c r="P6" s="426" t="str">
        <f>IF($B5="","",COUNTIF(Penalties!$AD6:$AL6,P$2))</f>
        <v/>
      </c>
      <c r="Q6" s="426" t="str">
        <f>IF($B5="","",COUNTIF(Penalties!$AD6:$AL6,Q$2))</f>
        <v/>
      </c>
      <c r="R6" s="426" t="str">
        <f>IF($B5="","",COUNTIF(Penalties!$AD6:$AL6,R$2))</f>
        <v/>
      </c>
      <c r="S6" s="426"/>
      <c r="T6" s="426"/>
      <c r="U6" s="438" t="str">
        <f>IF(B5="","",SUM(E6:T6))</f>
        <v/>
      </c>
      <c r="V6" s="439" t="str">
        <f>IF(B5="","",SUM(E6:T6)*0.5)</f>
        <v/>
      </c>
      <c r="W6" s="440" t="str">
        <f>IF($B5="","",IF(Penalties!$AM6=W$2,1,""))</f>
        <v/>
      </c>
      <c r="X6" s="440" t="str">
        <f>IF($B5="","",IF(Penalties!$AM6=X$2,1,""))</f>
        <v/>
      </c>
      <c r="Y6" s="440" t="str">
        <f>IF($B5="","",IF(Penalties!$AM6=Y$2,1,""))</f>
        <v/>
      </c>
      <c r="Z6" s="440" t="str">
        <f>IF($B5="","",IF(Penalties!$AM6=Z$2,1,""))</f>
        <v/>
      </c>
      <c r="AA6" s="440" t="str">
        <f>IF($B5="","",IF(Penalties!$AM6=AA$2,1,""))</f>
        <v/>
      </c>
      <c r="AB6" s="440" t="str">
        <f>IF($B5="","",IF(Penalties!$AM6=AB$2,1,""))</f>
        <v/>
      </c>
      <c r="AC6" s="440" t="str">
        <f>IF($B5="","",IF(Penalties!$AM6=AC$2,1,""))</f>
        <v/>
      </c>
      <c r="AD6" s="440" t="str">
        <f>IF($B5="","",IF(Penalties!$AM6=AD$2,1,""))</f>
        <v/>
      </c>
      <c r="AE6" s="440" t="str">
        <f>IF($B5="","",IF(Penalties!$AM6=AE$2,1,""))</f>
        <v/>
      </c>
      <c r="AF6" s="440" t="str">
        <f>IF($B5="","",IF(Penalties!$AM6=AF$2,1,""))</f>
        <v/>
      </c>
      <c r="AG6" s="440" t="str">
        <f>IF($B5="","",IF(Penalties!$AM6=AG$2,1,""))</f>
        <v/>
      </c>
      <c r="AH6" s="440" t="str">
        <f>IF($B5="","",IF(Penalties!$AM6=AH$2,1,""))</f>
        <v/>
      </c>
      <c r="AI6" s="440" t="str">
        <f>IF($B5="","",IF(Penalties!$AM6=AI$2,1,""))</f>
        <v/>
      </c>
      <c r="AJ6" s="442" t="str">
        <f>IF(SUM(X5:AI6)=0, "", IF(SUM(X5:AI5)=1, LOOKUP(1, X5:AI5, $X$2:$AI$2), LOOKUP(1, X6:AI6, $X$2:$AI$2)))</f>
        <v/>
      </c>
    </row>
    <row r="7" spans="1:36" s="74" customFormat="1" x14ac:dyDescent="0.2">
      <c r="A7" s="1492">
        <f>A5+1</f>
        <v>3</v>
      </c>
      <c r="B7" s="1493" t="str">
        <f>IF(IGRF!B16="","",IGRF!B16)</f>
        <v/>
      </c>
      <c r="C7" s="1494" t="str">
        <f>IF(IGRF!C16="","",IGRF!C16)</f>
        <v/>
      </c>
      <c r="D7" s="432" t="s">
        <v>5</v>
      </c>
      <c r="E7" s="425" t="str">
        <f>IF($B7="","",COUNTIF(Penalties!$B8:$J8,E$2))</f>
        <v/>
      </c>
      <c r="F7" s="425" t="str">
        <f>IF($B7="","",COUNTIF(Penalties!$B8:$J8,F$2))</f>
        <v/>
      </c>
      <c r="G7" s="425" t="str">
        <f>IF($B7="","",COUNTIF(Penalties!$B8:$J8,G$2))</f>
        <v/>
      </c>
      <c r="H7" s="425" t="str">
        <f>IF($B7="","",COUNTIF(Penalties!$B8:$J8,H$2))</f>
        <v/>
      </c>
      <c r="I7" s="425" t="str">
        <f>IF($B7="","",COUNTIF(Penalties!$B8:$J8,I$2))</f>
        <v/>
      </c>
      <c r="J7" s="425" t="str">
        <f>IF($B7="","",COUNTIF(Penalties!$B8:$J8,J$2))</f>
        <v/>
      </c>
      <c r="K7" s="425" t="str">
        <f>IF($B7="","",COUNTIF(Penalties!$B8:$J8,K$2))</f>
        <v/>
      </c>
      <c r="L7" s="425" t="str">
        <f>IF($B7="","",COUNTIF(Penalties!$B8:$J8,L$2))</f>
        <v/>
      </c>
      <c r="M7" s="425" t="str">
        <f>IF($B7="","",COUNTIF(Penalties!$B8:$J8,M$2))</f>
        <v/>
      </c>
      <c r="N7" s="425" t="str">
        <f>IF($B7="","",COUNTIF(Penalties!$B8:$J8,N$2))</f>
        <v/>
      </c>
      <c r="O7" s="425" t="str">
        <f>IF($B7="","",COUNTIF(Penalties!$B8:$J8,O$2))</f>
        <v/>
      </c>
      <c r="P7" s="425" t="str">
        <f>IF($B7="","",COUNTIF(Penalties!$B8:$J8,P$2))</f>
        <v/>
      </c>
      <c r="Q7" s="425" t="str">
        <f>IF($B7="","",COUNTIF(Penalties!$B8:$J8,Q$2))</f>
        <v/>
      </c>
      <c r="R7" s="425" t="str">
        <f>IF($B7="","",COUNTIF(Penalties!$B8:$J8,R$2))</f>
        <v/>
      </c>
      <c r="S7" s="425"/>
      <c r="T7" s="425"/>
      <c r="U7" s="433" t="str">
        <f>IF(B7="","",SUM(E7:T7))</f>
        <v/>
      </c>
      <c r="V7" s="434" t="str">
        <f>IF(B7="","",SUM(E7:T7)*0.5)</f>
        <v/>
      </c>
      <c r="W7" s="435" t="str">
        <f>IF($B7="","",IF(Penalties!$K8=W$2,1,""))</f>
        <v/>
      </c>
      <c r="X7" s="435" t="str">
        <f>IF($B7="","",IF(Penalties!$K8=X$2,1,""))</f>
        <v/>
      </c>
      <c r="Y7" s="435" t="str">
        <f>IF($B7="","",IF(Penalties!$K8=Y$2,1,""))</f>
        <v/>
      </c>
      <c r="Z7" s="435" t="str">
        <f>IF($B7="","",IF(Penalties!$K8=Z$2,1,""))</f>
        <v/>
      </c>
      <c r="AA7" s="435" t="str">
        <f>IF($B7="","",IF(Penalties!$K8=AA$2,1,""))</f>
        <v/>
      </c>
      <c r="AB7" s="435" t="str">
        <f>IF($B7="","",IF(Penalties!$K8=AB$2,1,""))</f>
        <v/>
      </c>
      <c r="AC7" s="435" t="str">
        <f>IF($B7="","",IF(Penalties!$K8=AC$2,1,""))</f>
        <v/>
      </c>
      <c r="AD7" s="435" t="str">
        <f>IF($B7="","",IF(Penalties!$K8=AD$2,1,""))</f>
        <v/>
      </c>
      <c r="AE7" s="435" t="str">
        <f>IF($B7="","",IF(Penalties!$K8=AE$2,1,""))</f>
        <v/>
      </c>
      <c r="AF7" s="435" t="str">
        <f>IF($B7="","",IF(Penalties!$K8=AF$2,1,""))</f>
        <v/>
      </c>
      <c r="AG7" s="435" t="str">
        <f>IF($B7="","",IF(Penalties!$K8=AG$2,1,""))</f>
        <v/>
      </c>
      <c r="AH7" s="435" t="str">
        <f>IF($B7="","",IF(Penalties!$K8=AH$2,1,""))</f>
        <v/>
      </c>
      <c r="AI7" s="435" t="str">
        <f>IF($B7="","",IF(Penalties!$K8=AI$2,1,""))</f>
        <v/>
      </c>
      <c r="AJ7" s="436"/>
    </row>
    <row r="8" spans="1:36" s="74" customFormat="1" x14ac:dyDescent="0.2">
      <c r="A8" s="1492"/>
      <c r="B8" s="1493"/>
      <c r="C8" s="1494"/>
      <c r="D8" s="432" t="s">
        <v>21</v>
      </c>
      <c r="E8" s="425" t="str">
        <f>IF($B7="","",COUNTIF(Penalties!$AD8:$AL8,E$2))</f>
        <v/>
      </c>
      <c r="F8" s="425" t="str">
        <f>IF($B7="","",COUNTIF(Penalties!$AD8:$AL8,F$2))</f>
        <v/>
      </c>
      <c r="G8" s="425" t="str">
        <f>IF($B7="","",COUNTIF(Penalties!$AD8:$AL8,G$2))</f>
        <v/>
      </c>
      <c r="H8" s="425" t="str">
        <f>IF($B7="","",COUNTIF(Penalties!$AD8:$AL8,H$2))</f>
        <v/>
      </c>
      <c r="I8" s="425" t="str">
        <f>IF($B7="","",COUNTIF(Penalties!$AD8:$AL8,I$2))</f>
        <v/>
      </c>
      <c r="J8" s="425" t="str">
        <f>IF($B7="","",COUNTIF(Penalties!$AD8:$AL8,J$2))</f>
        <v/>
      </c>
      <c r="K8" s="425" t="str">
        <f>IF($B7="","",COUNTIF(Penalties!$AD8:$AL8,K$2))</f>
        <v/>
      </c>
      <c r="L8" s="425" t="str">
        <f>IF($B7="","",COUNTIF(Penalties!$AD8:$AL8,L$2))</f>
        <v/>
      </c>
      <c r="M8" s="425" t="str">
        <f>IF($B7="","",COUNTIF(Penalties!$AD8:$AL8,M$2))</f>
        <v/>
      </c>
      <c r="N8" s="425" t="str">
        <f>IF($B7="","",COUNTIF(Penalties!$AD8:$AL8,N$2))</f>
        <v/>
      </c>
      <c r="O8" s="425" t="str">
        <f>IF($B7="","",COUNTIF(Penalties!$AD8:$AL8,O$2))</f>
        <v/>
      </c>
      <c r="P8" s="425" t="str">
        <f>IF($B7="","",COUNTIF(Penalties!$AD8:$AL8,P$2))</f>
        <v/>
      </c>
      <c r="Q8" s="425" t="str">
        <f>IF($B7="","",COUNTIF(Penalties!$AD8:$AL8,Q$2))</f>
        <v/>
      </c>
      <c r="R8" s="425" t="str">
        <f>IF($B7="","",COUNTIF(Penalties!$AD8:$AL8,R$2))</f>
        <v/>
      </c>
      <c r="S8" s="425"/>
      <c r="T8" s="425"/>
      <c r="U8" s="433" t="str">
        <f>IF(B7="","",SUM(E8:T8))</f>
        <v/>
      </c>
      <c r="V8" s="434" t="str">
        <f>IF(B7="","",SUM(E8:T8)*0.5)</f>
        <v/>
      </c>
      <c r="W8" s="435" t="str">
        <f>IF($B7="","",IF(Penalties!$AM8=W$2,1,""))</f>
        <v/>
      </c>
      <c r="X8" s="435" t="str">
        <f>IF($B7="","",IF(Penalties!$AM8=X$2,1,""))</f>
        <v/>
      </c>
      <c r="Y8" s="435" t="str">
        <f>IF($B7="","",IF(Penalties!$AM8=Y$2,1,""))</f>
        <v/>
      </c>
      <c r="Z8" s="435" t="str">
        <f>IF($B7="","",IF(Penalties!$AM8=Z$2,1,""))</f>
        <v/>
      </c>
      <c r="AA8" s="435" t="str">
        <f>IF($B7="","",IF(Penalties!$AM8=AA$2,1,""))</f>
        <v/>
      </c>
      <c r="AB8" s="435" t="str">
        <f>IF($B7="","",IF(Penalties!$AM8=AB$2,1,""))</f>
        <v/>
      </c>
      <c r="AC8" s="435" t="str">
        <f>IF($B7="","",IF(Penalties!$AM8=AC$2,1,""))</f>
        <v/>
      </c>
      <c r="AD8" s="435" t="str">
        <f>IF($B7="","",IF(Penalties!$AM8=AD$2,1,""))</f>
        <v/>
      </c>
      <c r="AE8" s="435" t="str">
        <f>IF($B7="","",IF(Penalties!$AM8=AE$2,1,""))</f>
        <v/>
      </c>
      <c r="AF8" s="435" t="str">
        <f>IF($B7="","",IF(Penalties!$AM8=AF$2,1,""))</f>
        <v/>
      </c>
      <c r="AG8" s="435" t="str">
        <f>IF($B7="","",IF(Penalties!$AM8=AG$2,1,""))</f>
        <v/>
      </c>
      <c r="AH8" s="435" t="str">
        <f>IF($B7="","",IF(Penalties!$AM8=AH$2,1,""))</f>
        <v/>
      </c>
      <c r="AI8" s="435" t="str">
        <f>IF($B7="","",IF(Penalties!$AM8=AI$2,1,""))</f>
        <v/>
      </c>
      <c r="AJ8" s="437" t="str">
        <f>IF(SUM(X7:AI8)=0, "", IF(SUM(X7:AI7)=1, LOOKUP(1, X7:AI7, $X$2:$AI$2), LOOKUP(1, X8:AI8, $X$2:$AI$2)))</f>
        <v/>
      </c>
    </row>
    <row r="9" spans="1:36" s="74" customFormat="1" x14ac:dyDescent="0.2">
      <c r="A9" s="1486">
        <f>A7+1</f>
        <v>4</v>
      </c>
      <c r="B9" s="1487" t="str">
        <f>IF(IGRF!B17="","",IGRF!B17)</f>
        <v/>
      </c>
      <c r="C9" s="1488" t="str">
        <f>IF(IGRF!C17="","",IGRF!C17)</f>
        <v/>
      </c>
      <c r="D9" s="426" t="s">
        <v>5</v>
      </c>
      <c r="E9" s="426" t="str">
        <f>IF($B9="","",COUNTIF(Penalties!$B10:$J10,E$2))</f>
        <v/>
      </c>
      <c r="F9" s="426" t="str">
        <f>IF($B9="","",COUNTIF(Penalties!$B10:$J10,F$2))</f>
        <v/>
      </c>
      <c r="G9" s="426" t="str">
        <f>IF($B9="","",COUNTIF(Penalties!$B10:$J10,G$2))</f>
        <v/>
      </c>
      <c r="H9" s="426" t="str">
        <f>IF($B9="","",COUNTIF(Penalties!$B10:$J10,H$2))</f>
        <v/>
      </c>
      <c r="I9" s="426" t="str">
        <f>IF($B9="","",COUNTIF(Penalties!$B10:$J10,I$2))</f>
        <v/>
      </c>
      <c r="J9" s="426" t="str">
        <f>IF($B9="","",COUNTIF(Penalties!$B10:$J10,J$2))</f>
        <v/>
      </c>
      <c r="K9" s="426" t="str">
        <f>IF($B9="","",COUNTIF(Penalties!$B10:$J10,K$2))</f>
        <v/>
      </c>
      <c r="L9" s="426" t="str">
        <f>IF($B9="","",COUNTIF(Penalties!$B10:$J10,L$2))</f>
        <v/>
      </c>
      <c r="M9" s="426" t="str">
        <f>IF($B9="","",COUNTIF(Penalties!$B10:$J10,M$2))</f>
        <v/>
      </c>
      <c r="N9" s="426" t="str">
        <f>IF($B9="","",COUNTIF(Penalties!$B10:$J10,N$2))</f>
        <v/>
      </c>
      <c r="O9" s="426" t="str">
        <f>IF($B9="","",COUNTIF(Penalties!$B10:$J10,O$2))</f>
        <v/>
      </c>
      <c r="P9" s="426" t="str">
        <f>IF($B9="","",COUNTIF(Penalties!$B10:$J10,P$2))</f>
        <v/>
      </c>
      <c r="Q9" s="426" t="str">
        <f>IF($B9="","",COUNTIF(Penalties!$B10:$J10,Q$2))</f>
        <v/>
      </c>
      <c r="R9" s="426" t="str">
        <f>IF($B9="","",COUNTIF(Penalties!$B10:$J10,R$2))</f>
        <v/>
      </c>
      <c r="S9" s="426"/>
      <c r="T9" s="426"/>
      <c r="U9" s="438" t="str">
        <f>IF(B9="","",SUM(E9:T9))</f>
        <v/>
      </c>
      <c r="V9" s="439" t="str">
        <f>IF(B9="","",SUM(E9:T9)*0.5)</f>
        <v/>
      </c>
      <c r="W9" s="440" t="str">
        <f>IF($B9="","",IF(Penalties!$K10=W$2,1,""))</f>
        <v/>
      </c>
      <c r="X9" s="440" t="str">
        <f>IF($B9="","",IF(Penalties!$K10=X$2,1,""))</f>
        <v/>
      </c>
      <c r="Y9" s="440" t="str">
        <f>IF($B9="","",IF(Penalties!$K10=Y$2,1,""))</f>
        <v/>
      </c>
      <c r="Z9" s="440" t="str">
        <f>IF($B9="","",IF(Penalties!$K10=Z$2,1,""))</f>
        <v/>
      </c>
      <c r="AA9" s="440" t="str">
        <f>IF($B9="","",IF(Penalties!$K10=AA$2,1,""))</f>
        <v/>
      </c>
      <c r="AB9" s="440" t="str">
        <f>IF($B9="","",IF(Penalties!$K10=AB$2,1,""))</f>
        <v/>
      </c>
      <c r="AC9" s="440" t="str">
        <f>IF($B9="","",IF(Penalties!$K10=AC$2,1,""))</f>
        <v/>
      </c>
      <c r="AD9" s="440" t="str">
        <f>IF($B9="","",IF(Penalties!$K10=AD$2,1,""))</f>
        <v/>
      </c>
      <c r="AE9" s="440" t="str">
        <f>IF($B9="","",IF(Penalties!$K10=AE$2,1,""))</f>
        <v/>
      </c>
      <c r="AF9" s="440" t="str">
        <f>IF($B9="","",IF(Penalties!$K10=AF$2,1,""))</f>
        <v/>
      </c>
      <c r="AG9" s="440" t="str">
        <f>IF($B9="","",IF(Penalties!$K10=AG$2,1,""))</f>
        <v/>
      </c>
      <c r="AH9" s="440" t="str">
        <f>IF($B9="","",IF(Penalties!$K10=AH$2,1,""))</f>
        <v/>
      </c>
      <c r="AI9" s="440" t="str">
        <f>IF($B9="","",IF(Penalties!$K10=AI$2,1,""))</f>
        <v/>
      </c>
      <c r="AJ9" s="441"/>
    </row>
    <row r="10" spans="1:36" s="74" customFormat="1" ht="13.5" thickBot="1" x14ac:dyDescent="0.25">
      <c r="A10" s="1486"/>
      <c r="B10" s="1487"/>
      <c r="C10" s="1488"/>
      <c r="D10" s="426" t="s">
        <v>21</v>
      </c>
      <c r="E10" s="426" t="str">
        <f>IF($B9="","",COUNTIF(Penalties!$AD10:$AL10,E$2))</f>
        <v/>
      </c>
      <c r="F10" s="426" t="str">
        <f>IF($B9="","",COUNTIF(Penalties!$AD10:$AL10,F$2))</f>
        <v/>
      </c>
      <c r="G10" s="426" t="str">
        <f>IF($B9="","",COUNTIF(Penalties!$AD10:$AL10,G$2))</f>
        <v/>
      </c>
      <c r="H10" s="426" t="str">
        <f>IF($B9="","",COUNTIF(Penalties!$AD10:$AL10,H$2))</f>
        <v/>
      </c>
      <c r="I10" s="426" t="str">
        <f>IF($B9="","",COUNTIF(Penalties!$AD10:$AL10,I$2))</f>
        <v/>
      </c>
      <c r="J10" s="426" t="str">
        <f>IF($B9="","",COUNTIF(Penalties!$AD10:$AL10,J$2))</f>
        <v/>
      </c>
      <c r="K10" s="426" t="str">
        <f>IF($B9="","",COUNTIF(Penalties!$AD10:$AL10,K$2))</f>
        <v/>
      </c>
      <c r="L10" s="426" t="str">
        <f>IF($B9="","",COUNTIF(Penalties!$AD10:$AL10,L$2))</f>
        <v/>
      </c>
      <c r="M10" s="426" t="str">
        <f>IF($B9="","",COUNTIF(Penalties!$AD10:$AL10,M$2))</f>
        <v/>
      </c>
      <c r="N10" s="426" t="str">
        <f>IF($B9="","",COUNTIF(Penalties!$AD10:$AL10,N$2))</f>
        <v/>
      </c>
      <c r="O10" s="426" t="str">
        <f>IF($B9="","",COUNTIF(Penalties!$AD10:$AL10,O$2))</f>
        <v/>
      </c>
      <c r="P10" s="426" t="str">
        <f>IF($B9="","",COUNTIF(Penalties!$AD10:$AL10,P$2))</f>
        <v/>
      </c>
      <c r="Q10" s="426" t="str">
        <f>IF($B9="","",COUNTIF(Penalties!$AD10:$AL10,Q$2))</f>
        <v/>
      </c>
      <c r="R10" s="426" t="str">
        <f>IF($B9="","",COUNTIF(Penalties!$AD10:$AL10,R$2))</f>
        <v/>
      </c>
      <c r="S10" s="426"/>
      <c r="T10" s="426"/>
      <c r="U10" s="438" t="str">
        <f>IF(B9="","",SUM(E10:T10))</f>
        <v/>
      </c>
      <c r="V10" s="439" t="str">
        <f>IF(B9="","",SUM(E10:T10)*0.5)</f>
        <v/>
      </c>
      <c r="W10" s="440" t="str">
        <f>IF($B9="","",IF(Penalties!$AM10=W$2,1,""))</f>
        <v/>
      </c>
      <c r="X10" s="440" t="str">
        <f>IF($B9="","",IF(Penalties!$AM10=X$2,1,""))</f>
        <v/>
      </c>
      <c r="Y10" s="440" t="str">
        <f>IF($B9="","",IF(Penalties!$AM10=Y$2,1,""))</f>
        <v/>
      </c>
      <c r="Z10" s="440" t="str">
        <f>IF($B9="","",IF(Penalties!$AM10=Z$2,1,""))</f>
        <v/>
      </c>
      <c r="AA10" s="440" t="str">
        <f>IF($B9="","",IF(Penalties!$AM10=AA$2,1,""))</f>
        <v/>
      </c>
      <c r="AB10" s="440" t="str">
        <f>IF($B9="","",IF(Penalties!$AM10=AB$2,1,""))</f>
        <v/>
      </c>
      <c r="AC10" s="440" t="str">
        <f>IF($B9="","",IF(Penalties!$AM10=AC$2,1,""))</f>
        <v/>
      </c>
      <c r="AD10" s="440" t="str">
        <f>IF($B9="","",IF(Penalties!$AM10=AD$2,1,""))</f>
        <v/>
      </c>
      <c r="AE10" s="440" t="str">
        <f>IF($B9="","",IF(Penalties!$AM10=AE$2,1,""))</f>
        <v/>
      </c>
      <c r="AF10" s="440" t="str">
        <f>IF($B9="","",IF(Penalties!$AM10=AF$2,1,""))</f>
        <v/>
      </c>
      <c r="AG10" s="440" t="str">
        <f>IF($B9="","",IF(Penalties!$AM10=AG$2,1,""))</f>
        <v/>
      </c>
      <c r="AH10" s="440" t="str">
        <f>IF($B9="","",IF(Penalties!$AM10=AH$2,1,""))</f>
        <v/>
      </c>
      <c r="AI10" s="440" t="str">
        <f>IF($B9="","",IF(Penalties!$AM10=AI$2,1,""))</f>
        <v/>
      </c>
      <c r="AJ10" s="442" t="str">
        <f>IF(SUM(X9:AI10)=0, "", IF(SUM(X9:AI9)=1, LOOKUP(1, X9:AI9, $X$2:$AI$2), LOOKUP(1, X10:AI10, $X$2:$AI$2)))</f>
        <v/>
      </c>
    </row>
    <row r="11" spans="1:36" s="74" customFormat="1" x14ac:dyDescent="0.2">
      <c r="A11" s="1492">
        <f>A9+1</f>
        <v>5</v>
      </c>
      <c r="B11" s="1493" t="str">
        <f>IF(IGRF!B18="","",IGRF!B18)</f>
        <v/>
      </c>
      <c r="C11" s="1494" t="str">
        <f>IF(IGRF!C18="","",IGRF!C18)</f>
        <v/>
      </c>
      <c r="D11" s="432" t="s">
        <v>5</v>
      </c>
      <c r="E11" s="425" t="str">
        <f>IF($B11="","",COUNTIF(Penalties!$B12:$J12,E$2))</f>
        <v/>
      </c>
      <c r="F11" s="425" t="str">
        <f>IF($B11="","",COUNTIF(Penalties!$B12:$J12,F$2))</f>
        <v/>
      </c>
      <c r="G11" s="425" t="str">
        <f>IF($B11="","",COUNTIF(Penalties!$B12:$J12,G$2))</f>
        <v/>
      </c>
      <c r="H11" s="425" t="str">
        <f>IF($B11="","",COUNTIF(Penalties!$B12:$J12,H$2))</f>
        <v/>
      </c>
      <c r="I11" s="425" t="str">
        <f>IF($B11="","",COUNTIF(Penalties!$B12:$J12,I$2))</f>
        <v/>
      </c>
      <c r="J11" s="425" t="str">
        <f>IF($B11="","",COUNTIF(Penalties!$B12:$J12,J$2))</f>
        <v/>
      </c>
      <c r="K11" s="425" t="str">
        <f>IF($B11="","",COUNTIF(Penalties!$B12:$J12,K$2))</f>
        <v/>
      </c>
      <c r="L11" s="425" t="str">
        <f>IF($B11="","",COUNTIF(Penalties!$B12:$J12,L$2))</f>
        <v/>
      </c>
      <c r="M11" s="425" t="str">
        <f>IF($B11="","",COUNTIF(Penalties!$B12:$J12,M$2))</f>
        <v/>
      </c>
      <c r="N11" s="425" t="str">
        <f>IF($B11="","",COUNTIF(Penalties!$B12:$J12,N$2))</f>
        <v/>
      </c>
      <c r="O11" s="425" t="str">
        <f>IF($B11="","",COUNTIF(Penalties!$B12:$J12,O$2))</f>
        <v/>
      </c>
      <c r="P11" s="425" t="str">
        <f>IF($B11="","",COUNTIF(Penalties!$B12:$J12,P$2))</f>
        <v/>
      </c>
      <c r="Q11" s="425" t="str">
        <f>IF($B11="","",COUNTIF(Penalties!$B12:$J12,Q$2))</f>
        <v/>
      </c>
      <c r="R11" s="425" t="str">
        <f>IF($B11="","",COUNTIF(Penalties!$B12:$J12,R$2))</f>
        <v/>
      </c>
      <c r="S11" s="425"/>
      <c r="T11" s="425"/>
      <c r="U11" s="433" t="str">
        <f>IF(B11="","",SUM(E11:T11))</f>
        <v/>
      </c>
      <c r="V11" s="434" t="str">
        <f>IF(B11="","",SUM(E11:T11)*0.5)</f>
        <v/>
      </c>
      <c r="W11" s="435" t="str">
        <f>IF($B11="","",IF(Penalties!$K12=W$2,1,""))</f>
        <v/>
      </c>
      <c r="X11" s="435" t="str">
        <f>IF($B11="","",IF(Penalties!$K12=X$2,1,""))</f>
        <v/>
      </c>
      <c r="Y11" s="435" t="str">
        <f>IF($B11="","",IF(Penalties!$K12=Y$2,1,""))</f>
        <v/>
      </c>
      <c r="Z11" s="435" t="str">
        <f>IF($B11="","",IF(Penalties!$K12=Z$2,1,""))</f>
        <v/>
      </c>
      <c r="AA11" s="435" t="str">
        <f>IF($B11="","",IF(Penalties!$K12=AA$2,1,""))</f>
        <v/>
      </c>
      <c r="AB11" s="435" t="str">
        <f>IF($B11="","",IF(Penalties!$K12=AB$2,1,""))</f>
        <v/>
      </c>
      <c r="AC11" s="435" t="str">
        <f>IF($B11="","",IF(Penalties!$K12=AC$2,1,""))</f>
        <v/>
      </c>
      <c r="AD11" s="435" t="str">
        <f>IF($B11="","",IF(Penalties!$K12=AD$2,1,""))</f>
        <v/>
      </c>
      <c r="AE11" s="435" t="str">
        <f>IF($B11="","",IF(Penalties!$K12=AE$2,1,""))</f>
        <v/>
      </c>
      <c r="AF11" s="435" t="str">
        <f>IF($B11="","",IF(Penalties!$K12=AF$2,1,""))</f>
        <v/>
      </c>
      <c r="AG11" s="435" t="str">
        <f>IF($B11="","",IF(Penalties!$K12=AG$2,1,""))</f>
        <v/>
      </c>
      <c r="AH11" s="435" t="str">
        <f>IF($B11="","",IF(Penalties!$K12=AH$2,1,""))</f>
        <v/>
      </c>
      <c r="AI11" s="435" t="str">
        <f>IF($B11="","",IF(Penalties!$K12=AI$2,1,""))</f>
        <v/>
      </c>
      <c r="AJ11" s="436"/>
    </row>
    <row r="12" spans="1:36" s="74" customFormat="1" x14ac:dyDescent="0.2">
      <c r="A12" s="1492"/>
      <c r="B12" s="1493"/>
      <c r="C12" s="1494"/>
      <c r="D12" s="432" t="s">
        <v>21</v>
      </c>
      <c r="E12" s="425" t="str">
        <f>IF($B11="","",COUNTIF(Penalties!$AD12:$AL12,E$2))</f>
        <v/>
      </c>
      <c r="F12" s="425" t="str">
        <f>IF($B11="","",COUNTIF(Penalties!$AD12:$AL12,F$2))</f>
        <v/>
      </c>
      <c r="G12" s="425" t="str">
        <f>IF($B11="","",COUNTIF(Penalties!$AD12:$AL12,G$2))</f>
        <v/>
      </c>
      <c r="H12" s="425" t="str">
        <f>IF($B11="","",COUNTIF(Penalties!$AD12:$AL12,H$2))</f>
        <v/>
      </c>
      <c r="I12" s="425" t="str">
        <f>IF($B11="","",COUNTIF(Penalties!$AD12:$AL12,I$2))</f>
        <v/>
      </c>
      <c r="J12" s="425" t="str">
        <f>IF($B11="","",COUNTIF(Penalties!$AD12:$AL12,J$2))</f>
        <v/>
      </c>
      <c r="K12" s="425" t="str">
        <f>IF($B11="","",COUNTIF(Penalties!$AD12:$AL12,K$2))</f>
        <v/>
      </c>
      <c r="L12" s="425" t="str">
        <f>IF($B11="","",COUNTIF(Penalties!$AD12:$AL12,L$2))</f>
        <v/>
      </c>
      <c r="M12" s="425" t="str">
        <f>IF($B11="","",COUNTIF(Penalties!$AD12:$AL12,M$2))</f>
        <v/>
      </c>
      <c r="N12" s="425" t="str">
        <f>IF($B11="","",COUNTIF(Penalties!$AD12:$AL12,N$2))</f>
        <v/>
      </c>
      <c r="O12" s="425" t="str">
        <f>IF($B11="","",COUNTIF(Penalties!$AD12:$AL12,O$2))</f>
        <v/>
      </c>
      <c r="P12" s="425" t="str">
        <f>IF($B11="","",COUNTIF(Penalties!$AD12:$AL12,P$2))</f>
        <v/>
      </c>
      <c r="Q12" s="425" t="str">
        <f>IF($B11="","",COUNTIF(Penalties!$AD12:$AL12,Q$2))</f>
        <v/>
      </c>
      <c r="R12" s="425" t="str">
        <f>IF($B11="","",COUNTIF(Penalties!$AD12:$AL12,R$2))</f>
        <v/>
      </c>
      <c r="S12" s="425"/>
      <c r="T12" s="425"/>
      <c r="U12" s="433" t="str">
        <f>IF(B11="","",SUM(E12:T12))</f>
        <v/>
      </c>
      <c r="V12" s="434" t="str">
        <f>IF(B11="","",SUM(E12:T12)*0.5)</f>
        <v/>
      </c>
      <c r="W12" s="435" t="str">
        <f>IF($B11="","",IF(Penalties!$AM12=W$2,1,""))</f>
        <v/>
      </c>
      <c r="X12" s="435" t="str">
        <f>IF($B11="","",IF(Penalties!$AM12=X$2,1,""))</f>
        <v/>
      </c>
      <c r="Y12" s="435" t="str">
        <f>IF($B11="","",IF(Penalties!$AM12=Y$2,1,""))</f>
        <v/>
      </c>
      <c r="Z12" s="435" t="str">
        <f>IF($B11="","",IF(Penalties!$AM12=Z$2,1,""))</f>
        <v/>
      </c>
      <c r="AA12" s="435" t="str">
        <f>IF($B11="","",IF(Penalties!$AM12=AA$2,1,""))</f>
        <v/>
      </c>
      <c r="AB12" s="435" t="str">
        <f>IF($B11="","",IF(Penalties!$AM12=AB$2,1,""))</f>
        <v/>
      </c>
      <c r="AC12" s="435" t="str">
        <f>IF($B11="","",IF(Penalties!$AM12=AC$2,1,""))</f>
        <v/>
      </c>
      <c r="AD12" s="435" t="str">
        <f>IF($B11="","",IF(Penalties!$AM12=AD$2,1,""))</f>
        <v/>
      </c>
      <c r="AE12" s="435" t="str">
        <f>IF($B11="","",IF(Penalties!$AM12=AE$2,1,""))</f>
        <v/>
      </c>
      <c r="AF12" s="435" t="str">
        <f>IF($B11="","",IF(Penalties!$AM12=AF$2,1,""))</f>
        <v/>
      </c>
      <c r="AG12" s="435" t="str">
        <f>IF($B11="","",IF(Penalties!$AM12=AG$2,1,""))</f>
        <v/>
      </c>
      <c r="AH12" s="435" t="str">
        <f>IF($B11="","",IF(Penalties!$AM12=AH$2,1,""))</f>
        <v/>
      </c>
      <c r="AI12" s="435" t="str">
        <f>IF($B11="","",IF(Penalties!$AM12=AI$2,1,""))</f>
        <v/>
      </c>
      <c r="AJ12" s="437" t="str">
        <f>IF(SUM(X11:AI12)=0, "", IF(SUM(X11:AI11)=1, LOOKUP(1, X11:AI11, $X$2:$AI$2), LOOKUP(1, X12:AI12, $X$2:$AI$2)))</f>
        <v/>
      </c>
    </row>
    <row r="13" spans="1:36" s="74" customFormat="1" x14ac:dyDescent="0.2">
      <c r="A13" s="1486">
        <f>A11+1</f>
        <v>6</v>
      </c>
      <c r="B13" s="1487" t="str">
        <f>IF(IGRF!B19="","",IGRF!B19)</f>
        <v/>
      </c>
      <c r="C13" s="1488" t="str">
        <f>IF(IGRF!C19="","",IGRF!C19)</f>
        <v/>
      </c>
      <c r="D13" s="426" t="s">
        <v>5</v>
      </c>
      <c r="E13" s="426" t="str">
        <f>IF($B13="","",COUNTIF(Penalties!$B14:$J14,E$2))</f>
        <v/>
      </c>
      <c r="F13" s="426" t="str">
        <f>IF($B13="","",COUNTIF(Penalties!$B14:$J14,F$2))</f>
        <v/>
      </c>
      <c r="G13" s="426" t="str">
        <f>IF($B13="","",COUNTIF(Penalties!$B14:$J14,G$2))</f>
        <v/>
      </c>
      <c r="H13" s="426" t="str">
        <f>IF($B13="","",COUNTIF(Penalties!$B14:$J14,H$2))</f>
        <v/>
      </c>
      <c r="I13" s="426" t="str">
        <f>IF($B13="","",COUNTIF(Penalties!$B14:$J14,I$2))</f>
        <v/>
      </c>
      <c r="J13" s="426" t="str">
        <f>IF($B13="","",COUNTIF(Penalties!$B14:$J14,J$2))</f>
        <v/>
      </c>
      <c r="K13" s="426" t="str">
        <f>IF($B13="","",COUNTIF(Penalties!$B14:$J14,K$2))</f>
        <v/>
      </c>
      <c r="L13" s="426" t="str">
        <f>IF($B13="","",COUNTIF(Penalties!$B14:$J14,L$2))</f>
        <v/>
      </c>
      <c r="M13" s="426" t="str">
        <f>IF($B13="","",COUNTIF(Penalties!$B14:$J14,M$2))</f>
        <v/>
      </c>
      <c r="N13" s="426" t="str">
        <f>IF($B13="","",COUNTIF(Penalties!$B14:$J14,N$2))</f>
        <v/>
      </c>
      <c r="O13" s="426" t="str">
        <f>IF($B13="","",COUNTIF(Penalties!$B14:$J14,O$2))</f>
        <v/>
      </c>
      <c r="P13" s="426" t="str">
        <f>IF($B13="","",COUNTIF(Penalties!$B14:$J14,P$2))</f>
        <v/>
      </c>
      <c r="Q13" s="426" t="str">
        <f>IF($B13="","",COUNTIF(Penalties!$B14:$J14,Q$2))</f>
        <v/>
      </c>
      <c r="R13" s="426" t="str">
        <f>IF($B13="","",COUNTIF(Penalties!$B14:$J14,R$2))</f>
        <v/>
      </c>
      <c r="S13" s="426"/>
      <c r="T13" s="426"/>
      <c r="U13" s="438" t="str">
        <f>IF(B13="","",SUM(E13:T13))</f>
        <v/>
      </c>
      <c r="V13" s="439" t="str">
        <f>IF(B13="","",SUM(E13:T13)*0.5)</f>
        <v/>
      </c>
      <c r="W13" s="440" t="str">
        <f>IF($B13="","",IF(Penalties!$K14=W$2,1,""))</f>
        <v/>
      </c>
      <c r="X13" s="440" t="str">
        <f>IF($B13="","",IF(Penalties!$K14=X$2,1,""))</f>
        <v/>
      </c>
      <c r="Y13" s="440" t="str">
        <f>IF($B13="","",IF(Penalties!$K14=Y$2,1,""))</f>
        <v/>
      </c>
      <c r="Z13" s="440" t="str">
        <f>IF($B13="","",IF(Penalties!$K14=Z$2,1,""))</f>
        <v/>
      </c>
      <c r="AA13" s="440" t="str">
        <f>IF($B13="","",IF(Penalties!$K14=AA$2,1,""))</f>
        <v/>
      </c>
      <c r="AB13" s="440" t="str">
        <f>IF($B13="","",IF(Penalties!$K14=AB$2,1,""))</f>
        <v/>
      </c>
      <c r="AC13" s="440" t="str">
        <f>IF($B13="","",IF(Penalties!$K14=AC$2,1,""))</f>
        <v/>
      </c>
      <c r="AD13" s="440" t="str">
        <f>IF($B13="","",IF(Penalties!$K14=AD$2,1,""))</f>
        <v/>
      </c>
      <c r="AE13" s="440" t="str">
        <f>IF($B13="","",IF(Penalties!$K14=AE$2,1,""))</f>
        <v/>
      </c>
      <c r="AF13" s="440" t="str">
        <f>IF($B13="","",IF(Penalties!$K14=AF$2,1,""))</f>
        <v/>
      </c>
      <c r="AG13" s="440" t="str">
        <f>IF($B13="","",IF(Penalties!$K14=AG$2,1,""))</f>
        <v/>
      </c>
      <c r="AH13" s="440" t="str">
        <f>IF($B13="","",IF(Penalties!$K14=AH$2,1,""))</f>
        <v/>
      </c>
      <c r="AI13" s="440" t="str">
        <f>IF($B13="","",IF(Penalties!$K14=AI$2,1,""))</f>
        <v/>
      </c>
      <c r="AJ13" s="441"/>
    </row>
    <row r="14" spans="1:36" s="74" customFormat="1" ht="13.5" thickBot="1" x14ac:dyDescent="0.25">
      <c r="A14" s="1486"/>
      <c r="B14" s="1487"/>
      <c r="C14" s="1488"/>
      <c r="D14" s="426" t="s">
        <v>21</v>
      </c>
      <c r="E14" s="426" t="str">
        <f>IF($B13="","",COUNTIF(Penalties!$AD14:$AL14,E$2))</f>
        <v/>
      </c>
      <c r="F14" s="426" t="str">
        <f>IF($B13="","",COUNTIF(Penalties!$AD14:$AL14,F$2))</f>
        <v/>
      </c>
      <c r="G14" s="426" t="str">
        <f>IF($B13="","",COUNTIF(Penalties!$AD14:$AL14,G$2))</f>
        <v/>
      </c>
      <c r="H14" s="426" t="str">
        <f>IF($B13="","",COUNTIF(Penalties!$AD14:$AL14,H$2))</f>
        <v/>
      </c>
      <c r="I14" s="426" t="str">
        <f>IF($B13="","",COUNTIF(Penalties!$AD14:$AL14,I$2))</f>
        <v/>
      </c>
      <c r="J14" s="426" t="str">
        <f>IF($B13="","",COUNTIF(Penalties!$AD14:$AL14,J$2))</f>
        <v/>
      </c>
      <c r="K14" s="426" t="str">
        <f>IF($B13="","",COUNTIF(Penalties!$AD14:$AL14,K$2))</f>
        <v/>
      </c>
      <c r="L14" s="426" t="str">
        <f>IF($B13="","",COUNTIF(Penalties!$AD14:$AL14,L$2))</f>
        <v/>
      </c>
      <c r="M14" s="426" t="str">
        <f>IF($B13="","",COUNTIF(Penalties!$AD14:$AL14,M$2))</f>
        <v/>
      </c>
      <c r="N14" s="426" t="str">
        <f>IF($B13="","",COUNTIF(Penalties!$AD14:$AL14,N$2))</f>
        <v/>
      </c>
      <c r="O14" s="426" t="str">
        <f>IF($B13="","",COUNTIF(Penalties!$AD14:$AL14,O$2))</f>
        <v/>
      </c>
      <c r="P14" s="426" t="str">
        <f>IF($B13="","",COUNTIF(Penalties!$AD14:$AL14,P$2))</f>
        <v/>
      </c>
      <c r="Q14" s="426" t="str">
        <f>IF($B13="","",COUNTIF(Penalties!$AD14:$AL14,Q$2))</f>
        <v/>
      </c>
      <c r="R14" s="426" t="str">
        <f>IF($B13="","",COUNTIF(Penalties!$AD14:$AL14,R$2))</f>
        <v/>
      </c>
      <c r="S14" s="426"/>
      <c r="T14" s="426"/>
      <c r="U14" s="438" t="str">
        <f>IF(B13="","",SUM(E14:T14))</f>
        <v/>
      </c>
      <c r="V14" s="439" t="str">
        <f>IF(B13="","",SUM(E14:T14)*0.5)</f>
        <v/>
      </c>
      <c r="W14" s="440" t="str">
        <f>IF($B13="","",IF(Penalties!$AM14=W$2,1,""))</f>
        <v/>
      </c>
      <c r="X14" s="440" t="str">
        <f>IF($B13="","",IF(Penalties!$AM14=X$2,1,""))</f>
        <v/>
      </c>
      <c r="Y14" s="440" t="str">
        <f>IF($B13="","",IF(Penalties!$AM14=Y$2,1,""))</f>
        <v/>
      </c>
      <c r="Z14" s="440" t="str">
        <f>IF($B13="","",IF(Penalties!$AM14=Z$2,1,""))</f>
        <v/>
      </c>
      <c r="AA14" s="440" t="str">
        <f>IF($B13="","",IF(Penalties!$AM14=AA$2,1,""))</f>
        <v/>
      </c>
      <c r="AB14" s="440" t="str">
        <f>IF($B13="","",IF(Penalties!$AM14=AB$2,1,""))</f>
        <v/>
      </c>
      <c r="AC14" s="440" t="str">
        <f>IF($B13="","",IF(Penalties!$AM14=AC$2,1,""))</f>
        <v/>
      </c>
      <c r="AD14" s="440" t="str">
        <f>IF($B13="","",IF(Penalties!$AM14=AD$2,1,""))</f>
        <v/>
      </c>
      <c r="AE14" s="440" t="str">
        <f>IF($B13="","",IF(Penalties!$AM14=AE$2,1,""))</f>
        <v/>
      </c>
      <c r="AF14" s="440" t="str">
        <f>IF($B13="","",IF(Penalties!$AM14=AF$2,1,""))</f>
        <v/>
      </c>
      <c r="AG14" s="440" t="str">
        <f>IF($B13="","",IF(Penalties!$AM14=AG$2,1,""))</f>
        <v/>
      </c>
      <c r="AH14" s="440" t="str">
        <f>IF($B13="","",IF(Penalties!$AM14=AH$2,1,""))</f>
        <v/>
      </c>
      <c r="AI14" s="440" t="str">
        <f>IF($B13="","",IF(Penalties!$AM14=AI$2,1,""))</f>
        <v/>
      </c>
      <c r="AJ14" s="442" t="str">
        <f>IF(SUM(X13:AI14)=0, "", IF(SUM(X13:AI13)=1, LOOKUP(1, X13:AI13, $X$2:$AI$2), LOOKUP(1, X14:AI14, $X$2:$AI$2)))</f>
        <v/>
      </c>
    </row>
    <row r="15" spans="1:36" s="74" customFormat="1" x14ac:dyDescent="0.2">
      <c r="A15" s="1492">
        <f>A13+1</f>
        <v>7</v>
      </c>
      <c r="B15" s="1493" t="str">
        <f>IF(IGRF!B20="","",IGRF!B20)</f>
        <v/>
      </c>
      <c r="C15" s="1494" t="str">
        <f>IF(IGRF!C20="","",IGRF!C20)</f>
        <v/>
      </c>
      <c r="D15" s="432" t="s">
        <v>5</v>
      </c>
      <c r="E15" s="425" t="str">
        <f>IF($B15="","",COUNTIF(Penalties!$B16:$J16,E$2))</f>
        <v/>
      </c>
      <c r="F15" s="425" t="str">
        <f>IF($B15="","",COUNTIF(Penalties!$B16:$J16,F$2))</f>
        <v/>
      </c>
      <c r="G15" s="425" t="str">
        <f>IF($B15="","",COUNTIF(Penalties!$B16:$J16,G$2))</f>
        <v/>
      </c>
      <c r="H15" s="425" t="str">
        <f>IF($B15="","",COUNTIF(Penalties!$B16:$J16,H$2))</f>
        <v/>
      </c>
      <c r="I15" s="425" t="str">
        <f>IF($B15="","",COUNTIF(Penalties!$B16:$J16,I$2))</f>
        <v/>
      </c>
      <c r="J15" s="425" t="str">
        <f>IF($B15="","",COUNTIF(Penalties!$B16:$J16,J$2))</f>
        <v/>
      </c>
      <c r="K15" s="425" t="str">
        <f>IF($B15="","",COUNTIF(Penalties!$B16:$J16,K$2))</f>
        <v/>
      </c>
      <c r="L15" s="425" t="str">
        <f>IF($B15="","",COUNTIF(Penalties!$B16:$J16,L$2))</f>
        <v/>
      </c>
      <c r="M15" s="425" t="str">
        <f>IF($B15="","",COUNTIF(Penalties!$B16:$J16,M$2))</f>
        <v/>
      </c>
      <c r="N15" s="425" t="str">
        <f>IF($B15="","",COUNTIF(Penalties!$B16:$J16,N$2))</f>
        <v/>
      </c>
      <c r="O15" s="425" t="str">
        <f>IF($B15="","",COUNTIF(Penalties!$B16:$J16,O$2))</f>
        <v/>
      </c>
      <c r="P15" s="425" t="str">
        <f>IF($B15="","",COUNTIF(Penalties!$B16:$J16,P$2))</f>
        <v/>
      </c>
      <c r="Q15" s="425" t="str">
        <f>IF($B15="","",COUNTIF(Penalties!$B16:$J16,Q$2))</f>
        <v/>
      </c>
      <c r="R15" s="425" t="str">
        <f>IF($B15="","",COUNTIF(Penalties!$B16:$J16,R$2))</f>
        <v/>
      </c>
      <c r="S15" s="425"/>
      <c r="T15" s="425"/>
      <c r="U15" s="433" t="str">
        <f>IF(B15="","",SUM(E15:T15))</f>
        <v/>
      </c>
      <c r="V15" s="434" t="str">
        <f>IF(B15="","",SUM(E15:T15)*0.5)</f>
        <v/>
      </c>
      <c r="W15" s="435" t="str">
        <f>IF($B15="","",IF(Penalties!$K16=W$2,1,""))</f>
        <v/>
      </c>
      <c r="X15" s="435" t="str">
        <f>IF($B15="","",IF(Penalties!$K16=X$2,1,""))</f>
        <v/>
      </c>
      <c r="Y15" s="435" t="str">
        <f>IF($B15="","",IF(Penalties!$K16=Y$2,1,""))</f>
        <v/>
      </c>
      <c r="Z15" s="435" t="str">
        <f>IF($B15="","",IF(Penalties!$K16=Z$2,1,""))</f>
        <v/>
      </c>
      <c r="AA15" s="435" t="str">
        <f>IF($B15="","",IF(Penalties!$K16=AA$2,1,""))</f>
        <v/>
      </c>
      <c r="AB15" s="435" t="str">
        <f>IF($B15="","",IF(Penalties!$K16=AB$2,1,""))</f>
        <v/>
      </c>
      <c r="AC15" s="435" t="str">
        <f>IF($B15="","",IF(Penalties!$K16=AC$2,1,""))</f>
        <v/>
      </c>
      <c r="AD15" s="435" t="str">
        <f>IF($B15="","",IF(Penalties!$K16=AD$2,1,""))</f>
        <v/>
      </c>
      <c r="AE15" s="435" t="str">
        <f>IF($B15="","",IF(Penalties!$K16=AE$2,1,""))</f>
        <v/>
      </c>
      <c r="AF15" s="435" t="str">
        <f>IF($B15="","",IF(Penalties!$K16=AF$2,1,""))</f>
        <v/>
      </c>
      <c r="AG15" s="435" t="str">
        <f>IF($B15="","",IF(Penalties!$K16=AG$2,1,""))</f>
        <v/>
      </c>
      <c r="AH15" s="435" t="str">
        <f>IF($B15="","",IF(Penalties!$K16=AH$2,1,""))</f>
        <v/>
      </c>
      <c r="AI15" s="435" t="str">
        <f>IF($B15="","",IF(Penalties!$K16=AI$2,1,""))</f>
        <v/>
      </c>
      <c r="AJ15" s="436"/>
    </row>
    <row r="16" spans="1:36" s="74" customFormat="1" x14ac:dyDescent="0.2">
      <c r="A16" s="1492"/>
      <c r="B16" s="1493"/>
      <c r="C16" s="1494"/>
      <c r="D16" s="432" t="s">
        <v>21</v>
      </c>
      <c r="E16" s="425" t="str">
        <f>IF($B15="","",COUNTIF(Penalties!$AD16:$AL16,E$2))</f>
        <v/>
      </c>
      <c r="F16" s="425" t="str">
        <f>IF($B15="","",COUNTIF(Penalties!$AD16:$AL16,F$2))</f>
        <v/>
      </c>
      <c r="G16" s="425" t="str">
        <f>IF($B15="","",COUNTIF(Penalties!$AD16:$AL16,G$2))</f>
        <v/>
      </c>
      <c r="H16" s="425" t="str">
        <f>IF($B15="","",COUNTIF(Penalties!$AD16:$AL16,H$2))</f>
        <v/>
      </c>
      <c r="I16" s="425" t="str">
        <f>IF($B15="","",COUNTIF(Penalties!$AD16:$AL16,I$2))</f>
        <v/>
      </c>
      <c r="J16" s="425" t="str">
        <f>IF($B15="","",COUNTIF(Penalties!$AD16:$AL16,J$2))</f>
        <v/>
      </c>
      <c r="K16" s="425" t="str">
        <f>IF($B15="","",COUNTIF(Penalties!$AD16:$AL16,K$2))</f>
        <v/>
      </c>
      <c r="L16" s="425" t="str">
        <f>IF($B15="","",COUNTIF(Penalties!$AD16:$AL16,L$2))</f>
        <v/>
      </c>
      <c r="M16" s="425" t="str">
        <f>IF($B15="","",COUNTIF(Penalties!$AD16:$AL16,M$2))</f>
        <v/>
      </c>
      <c r="N16" s="425" t="str">
        <f>IF($B15="","",COUNTIF(Penalties!$AD16:$AL16,N$2))</f>
        <v/>
      </c>
      <c r="O16" s="425" t="str">
        <f>IF($B15="","",COUNTIF(Penalties!$AD16:$AL16,O$2))</f>
        <v/>
      </c>
      <c r="P16" s="425" t="str">
        <f>IF($B15="","",COUNTIF(Penalties!$AD16:$AL16,P$2))</f>
        <v/>
      </c>
      <c r="Q16" s="425" t="str">
        <f>IF($B15="","",COUNTIF(Penalties!$AD16:$AL16,Q$2))</f>
        <v/>
      </c>
      <c r="R16" s="425" t="str">
        <f>IF($B15="","",COUNTIF(Penalties!$AD16:$AL16,R$2))</f>
        <v/>
      </c>
      <c r="S16" s="425"/>
      <c r="T16" s="425"/>
      <c r="U16" s="433" t="str">
        <f>IF(B15="","",SUM(E16:T16))</f>
        <v/>
      </c>
      <c r="V16" s="434" t="str">
        <f>IF(B15="","",SUM(E16:T16)*0.5)</f>
        <v/>
      </c>
      <c r="W16" s="435" t="str">
        <f>IF($B15="","",IF(Penalties!$AM16=W$2,1,""))</f>
        <v/>
      </c>
      <c r="X16" s="435" t="str">
        <f>IF($B15="","",IF(Penalties!$AM16=X$2,1,""))</f>
        <v/>
      </c>
      <c r="Y16" s="435" t="str">
        <f>IF($B15="","",IF(Penalties!$AM16=Y$2,1,""))</f>
        <v/>
      </c>
      <c r="Z16" s="435" t="str">
        <f>IF($B15="","",IF(Penalties!$AM16=Z$2,1,""))</f>
        <v/>
      </c>
      <c r="AA16" s="435" t="str">
        <f>IF($B15="","",IF(Penalties!$AM16=AA$2,1,""))</f>
        <v/>
      </c>
      <c r="AB16" s="435" t="str">
        <f>IF($B15="","",IF(Penalties!$AM16=AB$2,1,""))</f>
        <v/>
      </c>
      <c r="AC16" s="435" t="str">
        <f>IF($B15="","",IF(Penalties!$AM16=AC$2,1,""))</f>
        <v/>
      </c>
      <c r="AD16" s="435" t="str">
        <f>IF($B15="","",IF(Penalties!$AM16=AD$2,1,""))</f>
        <v/>
      </c>
      <c r="AE16" s="435" t="str">
        <f>IF($B15="","",IF(Penalties!$AM16=AE$2,1,""))</f>
        <v/>
      </c>
      <c r="AF16" s="435" t="str">
        <f>IF($B15="","",IF(Penalties!$AM16=AF$2,1,""))</f>
        <v/>
      </c>
      <c r="AG16" s="435" t="str">
        <f>IF($B15="","",IF(Penalties!$AM16=AG$2,1,""))</f>
        <v/>
      </c>
      <c r="AH16" s="435" t="str">
        <f>IF($B15="","",IF(Penalties!$AM16=AH$2,1,""))</f>
        <v/>
      </c>
      <c r="AI16" s="435" t="str">
        <f>IF($B15="","",IF(Penalties!$AM16=AI$2,1,""))</f>
        <v/>
      </c>
      <c r="AJ16" s="437" t="str">
        <f>IF(SUM(X15:AI16)=0, "", IF(SUM(X15:AI15)=1, LOOKUP(1, X15:AI15, $X$2:$AI$2), LOOKUP(1, X16:AI16, $X$2:$AI$2)))</f>
        <v/>
      </c>
    </row>
    <row r="17" spans="1:36" s="74" customFormat="1" x14ac:dyDescent="0.2">
      <c r="A17" s="1486">
        <f>A15+1</f>
        <v>8</v>
      </c>
      <c r="B17" s="1487" t="str">
        <f>IF(IGRF!B21="","",IGRF!B21)</f>
        <v/>
      </c>
      <c r="C17" s="1488" t="str">
        <f>IF(IGRF!C21="","",IGRF!C21)</f>
        <v/>
      </c>
      <c r="D17" s="426" t="s">
        <v>5</v>
      </c>
      <c r="E17" s="426" t="str">
        <f>IF($B17="","",COUNTIF(Penalties!$B18:$J18,E$2))</f>
        <v/>
      </c>
      <c r="F17" s="426" t="str">
        <f>IF($B17="","",COUNTIF(Penalties!$B18:$J18,F$2))</f>
        <v/>
      </c>
      <c r="G17" s="426" t="str">
        <f>IF($B17="","",COUNTIF(Penalties!$B18:$J18,G$2))</f>
        <v/>
      </c>
      <c r="H17" s="426" t="str">
        <f>IF($B17="","",COUNTIF(Penalties!$B18:$J18,H$2))</f>
        <v/>
      </c>
      <c r="I17" s="426" t="str">
        <f>IF($B17="","",COUNTIF(Penalties!$B18:$J18,I$2))</f>
        <v/>
      </c>
      <c r="J17" s="426" t="str">
        <f>IF($B17="","",COUNTIF(Penalties!$B18:$J18,J$2))</f>
        <v/>
      </c>
      <c r="K17" s="426" t="str">
        <f>IF($B17="","",COUNTIF(Penalties!$B18:$J18,K$2))</f>
        <v/>
      </c>
      <c r="L17" s="426" t="str">
        <f>IF($B17="","",COUNTIF(Penalties!$B18:$J18,L$2))</f>
        <v/>
      </c>
      <c r="M17" s="426" t="str">
        <f>IF($B17="","",COUNTIF(Penalties!$B18:$J18,M$2))</f>
        <v/>
      </c>
      <c r="N17" s="426" t="str">
        <f>IF($B17="","",COUNTIF(Penalties!$B18:$J18,N$2))</f>
        <v/>
      </c>
      <c r="O17" s="426" t="str">
        <f>IF($B17="","",COUNTIF(Penalties!$B18:$J18,O$2))</f>
        <v/>
      </c>
      <c r="P17" s="426" t="str">
        <f>IF($B17="","",COUNTIF(Penalties!$B18:$J18,P$2))</f>
        <v/>
      </c>
      <c r="Q17" s="426" t="str">
        <f>IF($B17="","",COUNTIF(Penalties!$B18:$J18,Q$2))</f>
        <v/>
      </c>
      <c r="R17" s="426" t="str">
        <f>IF($B17="","",COUNTIF(Penalties!$B18:$J18,R$2))</f>
        <v/>
      </c>
      <c r="S17" s="426"/>
      <c r="T17" s="426"/>
      <c r="U17" s="438" t="str">
        <f>IF(B17="","",SUM(E17:T17))</f>
        <v/>
      </c>
      <c r="V17" s="439" t="str">
        <f>IF(B17="","",SUM(E17:T17)*0.5)</f>
        <v/>
      </c>
      <c r="W17" s="440" t="str">
        <f>IF($B17="","",IF(Penalties!$K18=W$2,1,""))</f>
        <v/>
      </c>
      <c r="X17" s="440" t="str">
        <f>IF($B17="","",IF(Penalties!$K18=X$2,1,""))</f>
        <v/>
      </c>
      <c r="Y17" s="440" t="str">
        <f>IF($B17="","",IF(Penalties!$K18=Y$2,1,""))</f>
        <v/>
      </c>
      <c r="Z17" s="440" t="str">
        <f>IF($B17="","",IF(Penalties!$K18=Z$2,1,""))</f>
        <v/>
      </c>
      <c r="AA17" s="440" t="str">
        <f>IF($B17="","",IF(Penalties!$K18=AA$2,1,""))</f>
        <v/>
      </c>
      <c r="AB17" s="440" t="str">
        <f>IF($B17="","",IF(Penalties!$K18=AB$2,1,""))</f>
        <v/>
      </c>
      <c r="AC17" s="440" t="str">
        <f>IF($B17="","",IF(Penalties!$K18=AC$2,1,""))</f>
        <v/>
      </c>
      <c r="AD17" s="440" t="str">
        <f>IF($B17="","",IF(Penalties!$K18=AD$2,1,""))</f>
        <v/>
      </c>
      <c r="AE17" s="440" t="str">
        <f>IF($B17="","",IF(Penalties!$K18=AE$2,1,""))</f>
        <v/>
      </c>
      <c r="AF17" s="440" t="str">
        <f>IF($B17="","",IF(Penalties!$K18=AF$2,1,""))</f>
        <v/>
      </c>
      <c r="AG17" s="440" t="str">
        <f>IF($B17="","",IF(Penalties!$K18=AG$2,1,""))</f>
        <v/>
      </c>
      <c r="AH17" s="440" t="str">
        <f>IF($B17="","",IF(Penalties!$K18=AH$2,1,""))</f>
        <v/>
      </c>
      <c r="AI17" s="440" t="str">
        <f>IF($B17="","",IF(Penalties!$K18=AI$2,1,""))</f>
        <v/>
      </c>
      <c r="AJ17" s="441"/>
    </row>
    <row r="18" spans="1:36" s="74" customFormat="1" ht="13.5" thickBot="1" x14ac:dyDescent="0.25">
      <c r="A18" s="1486"/>
      <c r="B18" s="1487"/>
      <c r="C18" s="1488"/>
      <c r="D18" s="426" t="s">
        <v>21</v>
      </c>
      <c r="E18" s="426" t="str">
        <f>IF($B17="","",COUNTIF(Penalties!$AD18:$AL18,E$2))</f>
        <v/>
      </c>
      <c r="F18" s="426" t="str">
        <f>IF($B17="","",COUNTIF(Penalties!$AD18:$AL18,F$2))</f>
        <v/>
      </c>
      <c r="G18" s="426" t="str">
        <f>IF($B17="","",COUNTIF(Penalties!$AD18:$AL18,G$2))</f>
        <v/>
      </c>
      <c r="H18" s="426" t="str">
        <f>IF($B17="","",COUNTIF(Penalties!$AD18:$AL18,H$2))</f>
        <v/>
      </c>
      <c r="I18" s="426" t="str">
        <f>IF($B17="","",COUNTIF(Penalties!$AD18:$AL18,I$2))</f>
        <v/>
      </c>
      <c r="J18" s="426" t="str">
        <f>IF($B17="","",COUNTIF(Penalties!$AD18:$AL18,J$2))</f>
        <v/>
      </c>
      <c r="K18" s="426" t="str">
        <f>IF($B17="","",COUNTIF(Penalties!$AD18:$AL18,K$2))</f>
        <v/>
      </c>
      <c r="L18" s="426" t="str">
        <f>IF($B17="","",COUNTIF(Penalties!$AD18:$AL18,L$2))</f>
        <v/>
      </c>
      <c r="M18" s="426" t="str">
        <f>IF($B17="","",COUNTIF(Penalties!$AD18:$AL18,M$2))</f>
        <v/>
      </c>
      <c r="N18" s="426" t="str">
        <f>IF($B17="","",COUNTIF(Penalties!$AD18:$AL18,N$2))</f>
        <v/>
      </c>
      <c r="O18" s="426" t="str">
        <f>IF($B17="","",COUNTIF(Penalties!$AD18:$AL18,O$2))</f>
        <v/>
      </c>
      <c r="P18" s="426" t="str">
        <f>IF($B17="","",COUNTIF(Penalties!$AD18:$AL18,P$2))</f>
        <v/>
      </c>
      <c r="Q18" s="426" t="str">
        <f>IF($B17="","",COUNTIF(Penalties!$AD18:$AL18,Q$2))</f>
        <v/>
      </c>
      <c r="R18" s="426" t="str">
        <f>IF($B17="","",COUNTIF(Penalties!$AD18:$AL18,R$2))</f>
        <v/>
      </c>
      <c r="S18" s="426"/>
      <c r="T18" s="426"/>
      <c r="U18" s="438" t="str">
        <f>IF(B17="","",SUM(E18:T18))</f>
        <v/>
      </c>
      <c r="V18" s="439" t="str">
        <f>IF(B17="","",SUM(E18:T18)*0.5)</f>
        <v/>
      </c>
      <c r="W18" s="440" t="str">
        <f>IF($B17="","",IF(Penalties!$AM18=W$2,1,""))</f>
        <v/>
      </c>
      <c r="X18" s="440" t="str">
        <f>IF($B17="","",IF(Penalties!$AM18=X$2,1,""))</f>
        <v/>
      </c>
      <c r="Y18" s="440" t="str">
        <f>IF($B17="","",IF(Penalties!$AM18=Y$2,1,""))</f>
        <v/>
      </c>
      <c r="Z18" s="440" t="str">
        <f>IF($B17="","",IF(Penalties!$AM18=Z$2,1,""))</f>
        <v/>
      </c>
      <c r="AA18" s="440" t="str">
        <f>IF($B17="","",IF(Penalties!$AM18=AA$2,1,""))</f>
        <v/>
      </c>
      <c r="AB18" s="440" t="str">
        <f>IF($B17="","",IF(Penalties!$AM18=AB$2,1,""))</f>
        <v/>
      </c>
      <c r="AC18" s="440" t="str">
        <f>IF($B17="","",IF(Penalties!$AM18=AC$2,1,""))</f>
        <v/>
      </c>
      <c r="AD18" s="440" t="str">
        <f>IF($B17="","",IF(Penalties!$AM18=AD$2,1,""))</f>
        <v/>
      </c>
      <c r="AE18" s="440" t="str">
        <f>IF($B17="","",IF(Penalties!$AM18=AE$2,1,""))</f>
        <v/>
      </c>
      <c r="AF18" s="440" t="str">
        <f>IF($B17="","",IF(Penalties!$AM18=AF$2,1,""))</f>
        <v/>
      </c>
      <c r="AG18" s="440" t="str">
        <f>IF($B17="","",IF(Penalties!$AM18=AG$2,1,""))</f>
        <v/>
      </c>
      <c r="AH18" s="440" t="str">
        <f>IF($B17="","",IF(Penalties!$AM18=AH$2,1,""))</f>
        <v/>
      </c>
      <c r="AI18" s="440" t="str">
        <f>IF($B17="","",IF(Penalties!$AM18=AI$2,1,""))</f>
        <v/>
      </c>
      <c r="AJ18" s="442" t="str">
        <f>IF(SUM(X17:AI18)=0, "", IF(SUM(X17:AI17)=1, LOOKUP(1, X17:AI17, $X$2:$AI$2), LOOKUP(1, X18:AI18, $X$2:$AI$2)))</f>
        <v/>
      </c>
    </row>
    <row r="19" spans="1:36" s="74" customFormat="1" x14ac:dyDescent="0.2">
      <c r="A19" s="1492">
        <f>A17+1</f>
        <v>9</v>
      </c>
      <c r="B19" s="1493" t="str">
        <f>IF(IGRF!B22="","",IGRF!B22)</f>
        <v/>
      </c>
      <c r="C19" s="1494" t="str">
        <f>IF(IGRF!C22="","",IGRF!C22)</f>
        <v/>
      </c>
      <c r="D19" s="432" t="s">
        <v>5</v>
      </c>
      <c r="E19" s="425" t="str">
        <f>IF($B19="","",COUNTIF(Penalties!$B20:$J20,E$2))</f>
        <v/>
      </c>
      <c r="F19" s="425" t="str">
        <f>IF($B19="","",COUNTIF(Penalties!$B20:$J20,F$2))</f>
        <v/>
      </c>
      <c r="G19" s="425" t="str">
        <f>IF($B19="","",COUNTIF(Penalties!$B20:$J20,G$2))</f>
        <v/>
      </c>
      <c r="H19" s="425" t="str">
        <f>IF($B19="","",COUNTIF(Penalties!$B20:$J20,H$2))</f>
        <v/>
      </c>
      <c r="I19" s="425" t="str">
        <f>IF($B19="","",COUNTIF(Penalties!$B20:$J20,I$2))</f>
        <v/>
      </c>
      <c r="J19" s="425" t="str">
        <f>IF($B19="","",COUNTIF(Penalties!$B20:$J20,J$2))</f>
        <v/>
      </c>
      <c r="K19" s="425" t="str">
        <f>IF($B19="","",COUNTIF(Penalties!$B20:$J20,K$2))</f>
        <v/>
      </c>
      <c r="L19" s="425" t="str">
        <f>IF($B19="","",COUNTIF(Penalties!$B20:$J20,L$2))</f>
        <v/>
      </c>
      <c r="M19" s="425" t="str">
        <f>IF($B19="","",COUNTIF(Penalties!$B20:$J20,M$2))</f>
        <v/>
      </c>
      <c r="N19" s="425" t="str">
        <f>IF($B19="","",COUNTIF(Penalties!$B20:$J20,N$2))</f>
        <v/>
      </c>
      <c r="O19" s="425" t="str">
        <f>IF($B19="","",COUNTIF(Penalties!$B20:$J20,O$2))</f>
        <v/>
      </c>
      <c r="P19" s="425" t="str">
        <f>IF($B19="","",COUNTIF(Penalties!$B20:$J20,P$2))</f>
        <v/>
      </c>
      <c r="Q19" s="425" t="str">
        <f>IF($B19="","",COUNTIF(Penalties!$B20:$J20,Q$2))</f>
        <v/>
      </c>
      <c r="R19" s="425" t="str">
        <f>IF($B19="","",COUNTIF(Penalties!$B20:$J20,R$2))</f>
        <v/>
      </c>
      <c r="S19" s="425"/>
      <c r="T19" s="425"/>
      <c r="U19" s="433" t="str">
        <f>IF(B19="","",SUM(E19:T19))</f>
        <v/>
      </c>
      <c r="V19" s="434" t="str">
        <f>IF(B19="","",SUM(E19:T19)*0.5)</f>
        <v/>
      </c>
      <c r="W19" s="435" t="str">
        <f>IF($B19="","",IF(Penalties!$K20=W$2,1,""))</f>
        <v/>
      </c>
      <c r="X19" s="435" t="str">
        <f>IF($B19="","",IF(Penalties!$K20=X$2,1,""))</f>
        <v/>
      </c>
      <c r="Y19" s="435" t="str">
        <f>IF($B19="","",IF(Penalties!$K20=Y$2,1,""))</f>
        <v/>
      </c>
      <c r="Z19" s="435" t="str">
        <f>IF($B19="","",IF(Penalties!$K20=Z$2,1,""))</f>
        <v/>
      </c>
      <c r="AA19" s="435" t="str">
        <f>IF($B19="","",IF(Penalties!$K20=AA$2,1,""))</f>
        <v/>
      </c>
      <c r="AB19" s="435" t="str">
        <f>IF($B19="","",IF(Penalties!$K20=AB$2,1,""))</f>
        <v/>
      </c>
      <c r="AC19" s="435" t="str">
        <f>IF($B19="","",IF(Penalties!$K20=AC$2,1,""))</f>
        <v/>
      </c>
      <c r="AD19" s="435" t="str">
        <f>IF($B19="","",IF(Penalties!$K20=AD$2,1,""))</f>
        <v/>
      </c>
      <c r="AE19" s="435" t="str">
        <f>IF($B19="","",IF(Penalties!$K20=AE$2,1,""))</f>
        <v/>
      </c>
      <c r="AF19" s="435" t="str">
        <f>IF($B19="","",IF(Penalties!$K20=AF$2,1,""))</f>
        <v/>
      </c>
      <c r="AG19" s="435" t="str">
        <f>IF($B19="","",IF(Penalties!$K20=AG$2,1,""))</f>
        <v/>
      </c>
      <c r="AH19" s="435" t="str">
        <f>IF($B19="","",IF(Penalties!$K20=AH$2,1,""))</f>
        <v/>
      </c>
      <c r="AI19" s="435" t="str">
        <f>IF($B19="","",IF(Penalties!$K20=AI$2,1,""))</f>
        <v/>
      </c>
      <c r="AJ19" s="436"/>
    </row>
    <row r="20" spans="1:36" s="74" customFormat="1" x14ac:dyDescent="0.2">
      <c r="A20" s="1492"/>
      <c r="B20" s="1493"/>
      <c r="C20" s="1494"/>
      <c r="D20" s="432" t="s">
        <v>21</v>
      </c>
      <c r="E20" s="425" t="str">
        <f>IF($B19="","",COUNTIF(Penalties!$AD20:$AL20,E$2))</f>
        <v/>
      </c>
      <c r="F20" s="425" t="str">
        <f>IF($B19="","",COUNTIF(Penalties!$AD20:$AL20,F$2))</f>
        <v/>
      </c>
      <c r="G20" s="425" t="str">
        <f>IF($B19="","",COUNTIF(Penalties!$AD20:$AL20,G$2))</f>
        <v/>
      </c>
      <c r="H20" s="425" t="str">
        <f>IF($B19="","",COUNTIF(Penalties!$AD20:$AL20,H$2))</f>
        <v/>
      </c>
      <c r="I20" s="425" t="str">
        <f>IF($B19="","",COUNTIF(Penalties!$AD20:$AL20,I$2))</f>
        <v/>
      </c>
      <c r="J20" s="425" t="str">
        <f>IF($B19="","",COUNTIF(Penalties!$AD20:$AL20,J$2))</f>
        <v/>
      </c>
      <c r="K20" s="425" t="str">
        <f>IF($B19="","",COUNTIF(Penalties!$AD20:$AL20,K$2))</f>
        <v/>
      </c>
      <c r="L20" s="425" t="str">
        <f>IF($B19="","",COUNTIF(Penalties!$AD20:$AL20,L$2))</f>
        <v/>
      </c>
      <c r="M20" s="425" t="str">
        <f>IF($B19="","",COUNTIF(Penalties!$AD20:$AL20,M$2))</f>
        <v/>
      </c>
      <c r="N20" s="425" t="str">
        <f>IF($B19="","",COUNTIF(Penalties!$AD20:$AL20,N$2))</f>
        <v/>
      </c>
      <c r="O20" s="425" t="str">
        <f>IF($B19="","",COUNTIF(Penalties!$AD20:$AL20,O$2))</f>
        <v/>
      </c>
      <c r="P20" s="425" t="str">
        <f>IF($B19="","",COUNTIF(Penalties!$AD20:$AL20,P$2))</f>
        <v/>
      </c>
      <c r="Q20" s="425" t="str">
        <f>IF($B19="","",COUNTIF(Penalties!$AD20:$AL20,Q$2))</f>
        <v/>
      </c>
      <c r="R20" s="425" t="str">
        <f>IF($B19="","",COUNTIF(Penalties!$AD20:$AL20,R$2))</f>
        <v/>
      </c>
      <c r="S20" s="425"/>
      <c r="T20" s="425"/>
      <c r="U20" s="433" t="str">
        <f>IF(B19="","",SUM(E20:T20))</f>
        <v/>
      </c>
      <c r="V20" s="434" t="str">
        <f>IF(B19="","",SUM(E20:T20)*0.5)</f>
        <v/>
      </c>
      <c r="W20" s="435" t="str">
        <f>IF($B19="","",IF(Penalties!$AM20=W$2,1,""))</f>
        <v/>
      </c>
      <c r="X20" s="435" t="str">
        <f>IF($B19="","",IF(Penalties!$AM20=X$2,1,""))</f>
        <v/>
      </c>
      <c r="Y20" s="435" t="str">
        <f>IF($B19="","",IF(Penalties!$AM20=Y$2,1,""))</f>
        <v/>
      </c>
      <c r="Z20" s="435" t="str">
        <f>IF($B19="","",IF(Penalties!$AM20=Z$2,1,""))</f>
        <v/>
      </c>
      <c r="AA20" s="435" t="str">
        <f>IF($B19="","",IF(Penalties!$AM20=AA$2,1,""))</f>
        <v/>
      </c>
      <c r="AB20" s="435" t="str">
        <f>IF($B19="","",IF(Penalties!$AM20=AB$2,1,""))</f>
        <v/>
      </c>
      <c r="AC20" s="435" t="str">
        <f>IF($B19="","",IF(Penalties!$AM20=AC$2,1,""))</f>
        <v/>
      </c>
      <c r="AD20" s="435" t="str">
        <f>IF($B19="","",IF(Penalties!$AM20=AD$2,1,""))</f>
        <v/>
      </c>
      <c r="AE20" s="435" t="str">
        <f>IF($B19="","",IF(Penalties!$AM20=AE$2,1,""))</f>
        <v/>
      </c>
      <c r="AF20" s="435" t="str">
        <f>IF($B19="","",IF(Penalties!$AM20=AF$2,1,""))</f>
        <v/>
      </c>
      <c r="AG20" s="435" t="str">
        <f>IF($B19="","",IF(Penalties!$AM20=AG$2,1,""))</f>
        <v/>
      </c>
      <c r="AH20" s="435" t="str">
        <f>IF($B19="","",IF(Penalties!$AM20=AH$2,1,""))</f>
        <v/>
      </c>
      <c r="AI20" s="435" t="str">
        <f>IF($B19="","",IF(Penalties!$AM20=AI$2,1,""))</f>
        <v/>
      </c>
      <c r="AJ20" s="437" t="str">
        <f>IF(SUM(X19:AI20)=0, "", IF(SUM(X19:AI19)=1, LOOKUP(1, X19:AI19, $X$2:$AI$2), LOOKUP(1, X20:AI20, $X$2:$AI$2)))</f>
        <v/>
      </c>
    </row>
    <row r="21" spans="1:36" s="74" customFormat="1" x14ac:dyDescent="0.2">
      <c r="A21" s="1486">
        <f>A19+1</f>
        <v>10</v>
      </c>
      <c r="B21" s="1487" t="str">
        <f>IF(IGRF!B23="","",IGRF!B23)</f>
        <v/>
      </c>
      <c r="C21" s="1488" t="str">
        <f>IF(IGRF!C23="","",IGRF!C23)</f>
        <v/>
      </c>
      <c r="D21" s="426" t="s">
        <v>5</v>
      </c>
      <c r="E21" s="426" t="str">
        <f>IF($B21="","",COUNTIF(Penalties!$B22:$J22,E$2))</f>
        <v/>
      </c>
      <c r="F21" s="426" t="str">
        <f>IF($B21="","",COUNTIF(Penalties!$B22:$J22,F$2))</f>
        <v/>
      </c>
      <c r="G21" s="426" t="str">
        <f>IF($B21="","",COUNTIF(Penalties!$B22:$J22,G$2))</f>
        <v/>
      </c>
      <c r="H21" s="426" t="str">
        <f>IF($B21="","",COUNTIF(Penalties!$B22:$J22,H$2))</f>
        <v/>
      </c>
      <c r="I21" s="426" t="str">
        <f>IF($B21="","",COUNTIF(Penalties!$B22:$J22,I$2))</f>
        <v/>
      </c>
      <c r="J21" s="426" t="str">
        <f>IF($B21="","",COUNTIF(Penalties!$B22:$J22,J$2))</f>
        <v/>
      </c>
      <c r="K21" s="426" t="str">
        <f>IF($B21="","",COUNTIF(Penalties!$B22:$J22,K$2))</f>
        <v/>
      </c>
      <c r="L21" s="426" t="str">
        <f>IF($B21="","",COUNTIF(Penalties!$B22:$J22,L$2))</f>
        <v/>
      </c>
      <c r="M21" s="426" t="str">
        <f>IF($B21="","",COUNTIF(Penalties!$B22:$J22,M$2))</f>
        <v/>
      </c>
      <c r="N21" s="426" t="str">
        <f>IF($B21="","",COUNTIF(Penalties!$B22:$J22,N$2))</f>
        <v/>
      </c>
      <c r="O21" s="426" t="str">
        <f>IF($B21="","",COUNTIF(Penalties!$B22:$J22,O$2))</f>
        <v/>
      </c>
      <c r="P21" s="426" t="str">
        <f>IF($B21="","",COUNTIF(Penalties!$B22:$J22,P$2))</f>
        <v/>
      </c>
      <c r="Q21" s="426" t="str">
        <f>IF($B21="","",COUNTIF(Penalties!$B22:$J22,Q$2))</f>
        <v/>
      </c>
      <c r="R21" s="426" t="str">
        <f>IF($B21="","",COUNTIF(Penalties!$B22:$J22,R$2))</f>
        <v/>
      </c>
      <c r="S21" s="426"/>
      <c r="T21" s="426"/>
      <c r="U21" s="438" t="str">
        <f>IF(B21="","",SUM(E21:T21))</f>
        <v/>
      </c>
      <c r="V21" s="439" t="str">
        <f>IF(B21="","",SUM(E21:T21)*0.5)</f>
        <v/>
      </c>
      <c r="W21" s="440" t="str">
        <f>IF($B21="","",IF(Penalties!$K22=W$2,1,""))</f>
        <v/>
      </c>
      <c r="X21" s="440" t="str">
        <f>IF($B21="","",IF(Penalties!$K22=X$2,1,""))</f>
        <v/>
      </c>
      <c r="Y21" s="440" t="str">
        <f>IF($B21="","",IF(Penalties!$K22=Y$2,1,""))</f>
        <v/>
      </c>
      <c r="Z21" s="440" t="str">
        <f>IF($B21="","",IF(Penalties!$K22=Z$2,1,""))</f>
        <v/>
      </c>
      <c r="AA21" s="440" t="str">
        <f>IF($B21="","",IF(Penalties!$K22=AA$2,1,""))</f>
        <v/>
      </c>
      <c r="AB21" s="440" t="str">
        <f>IF($B21="","",IF(Penalties!$K22=AB$2,1,""))</f>
        <v/>
      </c>
      <c r="AC21" s="440" t="str">
        <f>IF($B21="","",IF(Penalties!$K22=AC$2,1,""))</f>
        <v/>
      </c>
      <c r="AD21" s="440" t="str">
        <f>IF($B21="","",IF(Penalties!$K22=AD$2,1,""))</f>
        <v/>
      </c>
      <c r="AE21" s="440" t="str">
        <f>IF($B21="","",IF(Penalties!$K22=AE$2,1,""))</f>
        <v/>
      </c>
      <c r="AF21" s="440" t="str">
        <f>IF($B21="","",IF(Penalties!$K22=AF$2,1,""))</f>
        <v/>
      </c>
      <c r="AG21" s="440" t="str">
        <f>IF($B21="","",IF(Penalties!$K22=AG$2,1,""))</f>
        <v/>
      </c>
      <c r="AH21" s="440" t="str">
        <f>IF($B21="","",IF(Penalties!$K22=AH$2,1,""))</f>
        <v/>
      </c>
      <c r="AI21" s="440" t="str">
        <f>IF($B21="","",IF(Penalties!$K22=AI$2,1,""))</f>
        <v/>
      </c>
      <c r="AJ21" s="441"/>
    </row>
    <row r="22" spans="1:36" s="74" customFormat="1" ht="13.5" thickBot="1" x14ac:dyDescent="0.25">
      <c r="A22" s="1486"/>
      <c r="B22" s="1487"/>
      <c r="C22" s="1488"/>
      <c r="D22" s="426" t="s">
        <v>21</v>
      </c>
      <c r="E22" s="426" t="str">
        <f>IF($B21="","",COUNTIF(Penalties!$AD22:$AL22,E$2))</f>
        <v/>
      </c>
      <c r="F22" s="426" t="str">
        <f>IF($B21="","",COUNTIF(Penalties!$AD22:$AL22,F$2))</f>
        <v/>
      </c>
      <c r="G22" s="426" t="str">
        <f>IF($B21="","",COUNTIF(Penalties!$AD22:$AL22,G$2))</f>
        <v/>
      </c>
      <c r="H22" s="426" t="str">
        <f>IF($B21="","",COUNTIF(Penalties!$AD22:$AL22,H$2))</f>
        <v/>
      </c>
      <c r="I22" s="426" t="str">
        <f>IF($B21="","",COUNTIF(Penalties!$AD22:$AL22,I$2))</f>
        <v/>
      </c>
      <c r="J22" s="426" t="str">
        <f>IF($B21="","",COUNTIF(Penalties!$AD22:$AL22,J$2))</f>
        <v/>
      </c>
      <c r="K22" s="426" t="str">
        <f>IF($B21="","",COUNTIF(Penalties!$AD22:$AL22,K$2))</f>
        <v/>
      </c>
      <c r="L22" s="426" t="str">
        <f>IF($B21="","",COUNTIF(Penalties!$AD22:$AL22,L$2))</f>
        <v/>
      </c>
      <c r="M22" s="426" t="str">
        <f>IF($B21="","",COUNTIF(Penalties!$AD22:$AL22,M$2))</f>
        <v/>
      </c>
      <c r="N22" s="426" t="str">
        <f>IF($B21="","",COUNTIF(Penalties!$AD22:$AL22,N$2))</f>
        <v/>
      </c>
      <c r="O22" s="426" t="str">
        <f>IF($B21="","",COUNTIF(Penalties!$AD22:$AL22,O$2))</f>
        <v/>
      </c>
      <c r="P22" s="426" t="str">
        <f>IF($B21="","",COUNTIF(Penalties!$AD22:$AL22,P$2))</f>
        <v/>
      </c>
      <c r="Q22" s="426" t="str">
        <f>IF($B21="","",COUNTIF(Penalties!$AD22:$AL22,Q$2))</f>
        <v/>
      </c>
      <c r="R22" s="426" t="str">
        <f>IF($B21="","",COUNTIF(Penalties!$AD22:$AL22,R$2))</f>
        <v/>
      </c>
      <c r="S22" s="426"/>
      <c r="T22" s="426"/>
      <c r="U22" s="438" t="str">
        <f>IF(B21="","",SUM(E22:T22))</f>
        <v/>
      </c>
      <c r="V22" s="439" t="str">
        <f>IF(B21="","",SUM(E22:T22)*0.5)</f>
        <v/>
      </c>
      <c r="W22" s="440" t="str">
        <f>IF($B21="","",IF(Penalties!$AM22=W$2,1,""))</f>
        <v/>
      </c>
      <c r="X22" s="440" t="str">
        <f>IF($B21="","",IF(Penalties!$AM22=X$2,1,""))</f>
        <v/>
      </c>
      <c r="Y22" s="440" t="str">
        <f>IF($B21="","",IF(Penalties!$AM22=Y$2,1,""))</f>
        <v/>
      </c>
      <c r="Z22" s="440" t="str">
        <f>IF($B21="","",IF(Penalties!$AM22=Z$2,1,""))</f>
        <v/>
      </c>
      <c r="AA22" s="440" t="str">
        <f>IF($B21="","",IF(Penalties!$AM22=AA$2,1,""))</f>
        <v/>
      </c>
      <c r="AB22" s="440" t="str">
        <f>IF($B21="","",IF(Penalties!$AM22=AB$2,1,""))</f>
        <v/>
      </c>
      <c r="AC22" s="440" t="str">
        <f>IF($B21="","",IF(Penalties!$AM22=AC$2,1,""))</f>
        <v/>
      </c>
      <c r="AD22" s="440" t="str">
        <f>IF($B21="","",IF(Penalties!$AM22=AD$2,1,""))</f>
        <v/>
      </c>
      <c r="AE22" s="440" t="str">
        <f>IF($B21="","",IF(Penalties!$AM22=AE$2,1,""))</f>
        <v/>
      </c>
      <c r="AF22" s="440" t="str">
        <f>IF($B21="","",IF(Penalties!$AM22=AF$2,1,""))</f>
        <v/>
      </c>
      <c r="AG22" s="440" t="str">
        <f>IF($B21="","",IF(Penalties!$AM22=AG$2,1,""))</f>
        <v/>
      </c>
      <c r="AH22" s="440" t="str">
        <f>IF($B21="","",IF(Penalties!$AM22=AH$2,1,""))</f>
        <v/>
      </c>
      <c r="AI22" s="440" t="str">
        <f>IF($B21="","",IF(Penalties!$AM22=AI$2,1,""))</f>
        <v/>
      </c>
      <c r="AJ22" s="442" t="str">
        <f>IF(SUM(X21:AI22)=0, "", IF(SUM(X21:AI21)=1, LOOKUP(1, X21:AI21, $X$2:$AI$2), LOOKUP(1, X22:AI22, $X$2:$AI$2)))</f>
        <v/>
      </c>
    </row>
    <row r="23" spans="1:36" s="74" customFormat="1" x14ac:dyDescent="0.2">
      <c r="A23" s="1492">
        <f>A21+1</f>
        <v>11</v>
      </c>
      <c r="B23" s="1493" t="str">
        <f>IF(IGRF!B24="","",IGRF!B24)</f>
        <v/>
      </c>
      <c r="C23" s="1494" t="str">
        <f>IF(IGRF!C24="","",IGRF!C24)</f>
        <v/>
      </c>
      <c r="D23" s="432" t="s">
        <v>5</v>
      </c>
      <c r="E23" s="425" t="str">
        <f>IF($B23="","",COUNTIF(Penalties!$B24:$J24,E$2))</f>
        <v/>
      </c>
      <c r="F23" s="425" t="str">
        <f>IF($B23="","",COUNTIF(Penalties!$B24:$J24,F$2))</f>
        <v/>
      </c>
      <c r="G23" s="425" t="str">
        <f>IF($B23="","",COUNTIF(Penalties!$B24:$J24,G$2))</f>
        <v/>
      </c>
      <c r="H23" s="425" t="str">
        <f>IF($B23="","",COUNTIF(Penalties!$B24:$J24,H$2))</f>
        <v/>
      </c>
      <c r="I23" s="425" t="str">
        <f>IF($B23="","",COUNTIF(Penalties!$B24:$J24,I$2))</f>
        <v/>
      </c>
      <c r="J23" s="425" t="str">
        <f>IF($B23="","",COUNTIF(Penalties!$B24:$J24,J$2))</f>
        <v/>
      </c>
      <c r="K23" s="425" t="str">
        <f>IF($B23="","",COUNTIF(Penalties!$B24:$J24,K$2))</f>
        <v/>
      </c>
      <c r="L23" s="425" t="str">
        <f>IF($B23="","",COUNTIF(Penalties!$B24:$J24,L$2))</f>
        <v/>
      </c>
      <c r="M23" s="425" t="str">
        <f>IF($B23="","",COUNTIF(Penalties!$B24:$J24,M$2))</f>
        <v/>
      </c>
      <c r="N23" s="425" t="str">
        <f>IF($B23="","",COUNTIF(Penalties!$B24:$J24,N$2))</f>
        <v/>
      </c>
      <c r="O23" s="425" t="str">
        <f>IF($B23="","",COUNTIF(Penalties!$B24:$J24,O$2))</f>
        <v/>
      </c>
      <c r="P23" s="425" t="str">
        <f>IF($B23="","",COUNTIF(Penalties!$B24:$J24,P$2))</f>
        <v/>
      </c>
      <c r="Q23" s="425" t="str">
        <f>IF($B23="","",COUNTIF(Penalties!$B24:$J24,Q$2))</f>
        <v/>
      </c>
      <c r="R23" s="425" t="str">
        <f>IF($B23="","",COUNTIF(Penalties!$B24:$J24,R$2))</f>
        <v/>
      </c>
      <c r="S23" s="425"/>
      <c r="T23" s="425"/>
      <c r="U23" s="433" t="str">
        <f>IF(B23="","",SUM(E23:T23))</f>
        <v/>
      </c>
      <c r="V23" s="434" t="str">
        <f>IF(B23="","",SUM(E23:T23)*0.5)</f>
        <v/>
      </c>
      <c r="W23" s="435" t="str">
        <f>IF($B23="","",IF(Penalties!$K24=W$2,1,""))</f>
        <v/>
      </c>
      <c r="X23" s="435" t="str">
        <f>IF($B23="","",IF(Penalties!$K24=X$2,1,""))</f>
        <v/>
      </c>
      <c r="Y23" s="435" t="str">
        <f>IF($B23="","",IF(Penalties!$K24=Y$2,1,""))</f>
        <v/>
      </c>
      <c r="Z23" s="435" t="str">
        <f>IF($B23="","",IF(Penalties!$K24=Z$2,1,""))</f>
        <v/>
      </c>
      <c r="AA23" s="435" t="str">
        <f>IF($B23="","",IF(Penalties!$K24=AA$2,1,""))</f>
        <v/>
      </c>
      <c r="AB23" s="435" t="str">
        <f>IF($B23="","",IF(Penalties!$K24=AB$2,1,""))</f>
        <v/>
      </c>
      <c r="AC23" s="435" t="str">
        <f>IF($B23="","",IF(Penalties!$K24=AC$2,1,""))</f>
        <v/>
      </c>
      <c r="AD23" s="435" t="str">
        <f>IF($B23="","",IF(Penalties!$K24=AD$2,1,""))</f>
        <v/>
      </c>
      <c r="AE23" s="435" t="str">
        <f>IF($B23="","",IF(Penalties!$K24=AE$2,1,""))</f>
        <v/>
      </c>
      <c r="AF23" s="435" t="str">
        <f>IF($B23="","",IF(Penalties!$K24=AF$2,1,""))</f>
        <v/>
      </c>
      <c r="AG23" s="435" t="str">
        <f>IF($B23="","",IF(Penalties!$K24=AG$2,1,""))</f>
        <v/>
      </c>
      <c r="AH23" s="435" t="str">
        <f>IF($B23="","",IF(Penalties!$K24=AH$2,1,""))</f>
        <v/>
      </c>
      <c r="AI23" s="435" t="str">
        <f>IF($B23="","",IF(Penalties!$K24=AI$2,1,""))</f>
        <v/>
      </c>
      <c r="AJ23" s="436"/>
    </row>
    <row r="24" spans="1:36" s="74" customFormat="1" x14ac:dyDescent="0.2">
      <c r="A24" s="1492"/>
      <c r="B24" s="1493"/>
      <c r="C24" s="1494"/>
      <c r="D24" s="432" t="s">
        <v>21</v>
      </c>
      <c r="E24" s="425" t="str">
        <f>IF($B23="","",COUNTIF(Penalties!$AD24:$AL24,E$2))</f>
        <v/>
      </c>
      <c r="F24" s="425" t="str">
        <f>IF($B23="","",COUNTIF(Penalties!$AD24:$AL24,F$2))</f>
        <v/>
      </c>
      <c r="G24" s="425" t="str">
        <f>IF($B23="","",COUNTIF(Penalties!$AD24:$AL24,G$2))</f>
        <v/>
      </c>
      <c r="H24" s="425" t="str">
        <f>IF($B23="","",COUNTIF(Penalties!$AD24:$AL24,H$2))</f>
        <v/>
      </c>
      <c r="I24" s="425" t="str">
        <f>IF($B23="","",COUNTIF(Penalties!$AD24:$AL24,I$2))</f>
        <v/>
      </c>
      <c r="J24" s="425" t="str">
        <f>IF($B23="","",COUNTIF(Penalties!$AD24:$AL24,J$2))</f>
        <v/>
      </c>
      <c r="K24" s="425" t="str">
        <f>IF($B23="","",COUNTIF(Penalties!$AD24:$AL24,K$2))</f>
        <v/>
      </c>
      <c r="L24" s="425" t="str">
        <f>IF($B23="","",COUNTIF(Penalties!$AD24:$AL24,L$2))</f>
        <v/>
      </c>
      <c r="M24" s="425" t="str">
        <f>IF($B23="","",COUNTIF(Penalties!$AD24:$AL24,M$2))</f>
        <v/>
      </c>
      <c r="N24" s="425" t="str">
        <f>IF($B23="","",COUNTIF(Penalties!$AD24:$AL24,N$2))</f>
        <v/>
      </c>
      <c r="O24" s="425" t="str">
        <f>IF($B23="","",COUNTIF(Penalties!$AD24:$AL24,O$2))</f>
        <v/>
      </c>
      <c r="P24" s="425" t="str">
        <f>IF($B23="","",COUNTIF(Penalties!$AD24:$AL24,P$2))</f>
        <v/>
      </c>
      <c r="Q24" s="425" t="str">
        <f>IF($B23="","",COUNTIF(Penalties!$AD24:$AL24,Q$2))</f>
        <v/>
      </c>
      <c r="R24" s="425" t="str">
        <f>IF($B23="","",COUNTIF(Penalties!$AD24:$AL24,R$2))</f>
        <v/>
      </c>
      <c r="S24" s="425"/>
      <c r="T24" s="425"/>
      <c r="U24" s="433" t="str">
        <f>IF(B23="","",SUM(E24:T24))</f>
        <v/>
      </c>
      <c r="V24" s="434" t="str">
        <f>IF(B23="","",SUM(E24:T24)*0.5)</f>
        <v/>
      </c>
      <c r="W24" s="435" t="str">
        <f>IF($B23="","",IF(Penalties!$AM24=W$2,1,""))</f>
        <v/>
      </c>
      <c r="X24" s="435" t="str">
        <f>IF($B23="","",IF(Penalties!$AM24=X$2,1,""))</f>
        <v/>
      </c>
      <c r="Y24" s="435" t="str">
        <f>IF($B23="","",IF(Penalties!$AM24=Y$2,1,""))</f>
        <v/>
      </c>
      <c r="Z24" s="435" t="str">
        <f>IF($B23="","",IF(Penalties!$AM24=Z$2,1,""))</f>
        <v/>
      </c>
      <c r="AA24" s="435" t="str">
        <f>IF($B23="","",IF(Penalties!$AM24=AA$2,1,""))</f>
        <v/>
      </c>
      <c r="AB24" s="435" t="str">
        <f>IF($B23="","",IF(Penalties!$AM24=AB$2,1,""))</f>
        <v/>
      </c>
      <c r="AC24" s="435" t="str">
        <f>IF($B23="","",IF(Penalties!$AM24=AC$2,1,""))</f>
        <v/>
      </c>
      <c r="AD24" s="435" t="str">
        <f>IF($B23="","",IF(Penalties!$AM24=AD$2,1,""))</f>
        <v/>
      </c>
      <c r="AE24" s="435" t="str">
        <f>IF($B23="","",IF(Penalties!$AM24=AE$2,1,""))</f>
        <v/>
      </c>
      <c r="AF24" s="435" t="str">
        <f>IF($B23="","",IF(Penalties!$AM24=AF$2,1,""))</f>
        <v/>
      </c>
      <c r="AG24" s="435" t="str">
        <f>IF($B23="","",IF(Penalties!$AM24=AG$2,1,""))</f>
        <v/>
      </c>
      <c r="AH24" s="435" t="str">
        <f>IF($B23="","",IF(Penalties!$AM24=AH$2,1,""))</f>
        <v/>
      </c>
      <c r="AI24" s="435" t="str">
        <f>IF($B23="","",IF(Penalties!$AM24=AI$2,1,""))</f>
        <v/>
      </c>
      <c r="AJ24" s="437" t="str">
        <f>IF(SUM(X23:AI24)=0, "", IF(SUM(X23:AI23)=1, LOOKUP(1, X23:AI23, $X$2:$AI$2), LOOKUP(1, X24:AI24, $X$2:$AI$2)))</f>
        <v/>
      </c>
    </row>
    <row r="25" spans="1:36" s="74" customFormat="1" x14ac:dyDescent="0.2">
      <c r="A25" s="1486">
        <f>A23+1</f>
        <v>12</v>
      </c>
      <c r="B25" s="1487" t="str">
        <f>IF(IGRF!B25="","",IGRF!B25)</f>
        <v/>
      </c>
      <c r="C25" s="1488" t="str">
        <f>IF(IGRF!C25="","",IGRF!C25)</f>
        <v/>
      </c>
      <c r="D25" s="426" t="s">
        <v>5</v>
      </c>
      <c r="E25" s="426" t="str">
        <f>IF($B25="","",COUNTIF(Penalties!$B26:$J26,E$2))</f>
        <v/>
      </c>
      <c r="F25" s="426" t="str">
        <f>IF($B25="","",COUNTIF(Penalties!$B26:$J26,F$2))</f>
        <v/>
      </c>
      <c r="G25" s="426" t="str">
        <f>IF($B25="","",COUNTIF(Penalties!$B26:$J26,G$2))</f>
        <v/>
      </c>
      <c r="H25" s="426" t="str">
        <f>IF($B25="","",COUNTIF(Penalties!$B26:$J26,H$2))</f>
        <v/>
      </c>
      <c r="I25" s="426" t="str">
        <f>IF($B25="","",COUNTIF(Penalties!$B26:$J26,I$2))</f>
        <v/>
      </c>
      <c r="J25" s="426" t="str">
        <f>IF($B25="","",COUNTIF(Penalties!$B26:$J26,J$2))</f>
        <v/>
      </c>
      <c r="K25" s="426" t="str">
        <f>IF($B25="","",COUNTIF(Penalties!$B26:$J26,K$2))</f>
        <v/>
      </c>
      <c r="L25" s="426" t="str">
        <f>IF($B25="","",COUNTIF(Penalties!$B26:$J26,L$2))</f>
        <v/>
      </c>
      <c r="M25" s="426" t="str">
        <f>IF($B25="","",COUNTIF(Penalties!$B26:$J26,M$2))</f>
        <v/>
      </c>
      <c r="N25" s="426" t="str">
        <f>IF($B25="","",COUNTIF(Penalties!$B26:$J26,N$2))</f>
        <v/>
      </c>
      <c r="O25" s="426" t="str">
        <f>IF($B25="","",COUNTIF(Penalties!$B26:$J26,O$2))</f>
        <v/>
      </c>
      <c r="P25" s="426" t="str">
        <f>IF($B25="","",COUNTIF(Penalties!$B26:$J26,P$2))</f>
        <v/>
      </c>
      <c r="Q25" s="426" t="str">
        <f>IF($B25="","",COUNTIF(Penalties!$B26:$J26,Q$2))</f>
        <v/>
      </c>
      <c r="R25" s="426" t="str">
        <f>IF($B25="","",COUNTIF(Penalties!$B26:$J26,R$2))</f>
        <v/>
      </c>
      <c r="S25" s="426"/>
      <c r="T25" s="426"/>
      <c r="U25" s="438" t="str">
        <f>IF(B25="","",SUM(E25:T25))</f>
        <v/>
      </c>
      <c r="V25" s="439" t="str">
        <f>IF(B25="","",SUM(E25:T25)*0.5)</f>
        <v/>
      </c>
      <c r="W25" s="440" t="str">
        <f>IF($B25="","",IF(Penalties!$K26=W$2,1,""))</f>
        <v/>
      </c>
      <c r="X25" s="440" t="str">
        <f>IF($B25="","",IF(Penalties!$K26=X$2,1,""))</f>
        <v/>
      </c>
      <c r="Y25" s="440" t="str">
        <f>IF($B25="","",IF(Penalties!$K26=Y$2,1,""))</f>
        <v/>
      </c>
      <c r="Z25" s="440" t="str">
        <f>IF($B25="","",IF(Penalties!$K26=Z$2,1,""))</f>
        <v/>
      </c>
      <c r="AA25" s="440" t="str">
        <f>IF($B25="","",IF(Penalties!$K26=AA$2,1,""))</f>
        <v/>
      </c>
      <c r="AB25" s="440" t="str">
        <f>IF($B25="","",IF(Penalties!$K26=AB$2,1,""))</f>
        <v/>
      </c>
      <c r="AC25" s="440" t="str">
        <f>IF($B25="","",IF(Penalties!$K26=AC$2,1,""))</f>
        <v/>
      </c>
      <c r="AD25" s="440" t="str">
        <f>IF($B25="","",IF(Penalties!$K26=AD$2,1,""))</f>
        <v/>
      </c>
      <c r="AE25" s="440" t="str">
        <f>IF($B25="","",IF(Penalties!$K26=AE$2,1,""))</f>
        <v/>
      </c>
      <c r="AF25" s="440" t="str">
        <f>IF($B25="","",IF(Penalties!$K26=AF$2,1,""))</f>
        <v/>
      </c>
      <c r="AG25" s="440" t="str">
        <f>IF($B25="","",IF(Penalties!$K26=AG$2,1,""))</f>
        <v/>
      </c>
      <c r="AH25" s="440" t="str">
        <f>IF($B25="","",IF(Penalties!$K26=AH$2,1,""))</f>
        <v/>
      </c>
      <c r="AI25" s="440" t="str">
        <f>IF($B25="","",IF(Penalties!$K26=AI$2,1,""))</f>
        <v/>
      </c>
      <c r="AJ25" s="441"/>
    </row>
    <row r="26" spans="1:36" s="74" customFormat="1" ht="13.5" thickBot="1" x14ac:dyDescent="0.25">
      <c r="A26" s="1486"/>
      <c r="B26" s="1487"/>
      <c r="C26" s="1488"/>
      <c r="D26" s="426" t="s">
        <v>21</v>
      </c>
      <c r="E26" s="426" t="str">
        <f>IF($B25="","",COUNTIF(Penalties!$AD26:$AL26,E$2))</f>
        <v/>
      </c>
      <c r="F26" s="426" t="str">
        <f>IF($B25="","",COUNTIF(Penalties!$AD26:$AL26,F$2))</f>
        <v/>
      </c>
      <c r="G26" s="426" t="str">
        <f>IF($B25="","",COUNTIF(Penalties!$AD26:$AL26,G$2))</f>
        <v/>
      </c>
      <c r="H26" s="426" t="str">
        <f>IF($B25="","",COUNTIF(Penalties!$AD26:$AL26,H$2))</f>
        <v/>
      </c>
      <c r="I26" s="426" t="str">
        <f>IF($B25="","",COUNTIF(Penalties!$AD26:$AL26,I$2))</f>
        <v/>
      </c>
      <c r="J26" s="426" t="str">
        <f>IF($B25="","",COUNTIF(Penalties!$AD26:$AL26,J$2))</f>
        <v/>
      </c>
      <c r="K26" s="426" t="str">
        <f>IF($B25="","",COUNTIF(Penalties!$AD26:$AL26,K$2))</f>
        <v/>
      </c>
      <c r="L26" s="426" t="str">
        <f>IF($B25="","",COUNTIF(Penalties!$AD26:$AL26,L$2))</f>
        <v/>
      </c>
      <c r="M26" s="426" t="str">
        <f>IF($B25="","",COUNTIF(Penalties!$AD26:$AL26,M$2))</f>
        <v/>
      </c>
      <c r="N26" s="426" t="str">
        <f>IF($B25="","",COUNTIF(Penalties!$AD26:$AL26,N$2))</f>
        <v/>
      </c>
      <c r="O26" s="426" t="str">
        <f>IF($B25="","",COUNTIF(Penalties!$AD26:$AL26,O$2))</f>
        <v/>
      </c>
      <c r="P26" s="426" t="str">
        <f>IF($B25="","",COUNTIF(Penalties!$AD26:$AL26,P$2))</f>
        <v/>
      </c>
      <c r="Q26" s="426" t="str">
        <f>IF($B25="","",COUNTIF(Penalties!$AD26:$AL26,Q$2))</f>
        <v/>
      </c>
      <c r="R26" s="426" t="str">
        <f>IF($B25="","",COUNTIF(Penalties!$AD26:$AL26,R$2))</f>
        <v/>
      </c>
      <c r="S26" s="426"/>
      <c r="T26" s="426"/>
      <c r="U26" s="438" t="str">
        <f>IF(B25="","",SUM(E26:T26))</f>
        <v/>
      </c>
      <c r="V26" s="439" t="str">
        <f>IF(B25="","",SUM(E26:T26)*0.5)</f>
        <v/>
      </c>
      <c r="W26" s="440" t="str">
        <f>IF($B25="","",IF(Penalties!$AM26=W$2,1,""))</f>
        <v/>
      </c>
      <c r="X26" s="440" t="str">
        <f>IF($B25="","",IF(Penalties!$AM26=X$2,1,""))</f>
        <v/>
      </c>
      <c r="Y26" s="440" t="str">
        <f>IF($B25="","",IF(Penalties!$AM26=Y$2,1,""))</f>
        <v/>
      </c>
      <c r="Z26" s="440" t="str">
        <f>IF($B25="","",IF(Penalties!$AM26=Z$2,1,""))</f>
        <v/>
      </c>
      <c r="AA26" s="440" t="str">
        <f>IF($B25="","",IF(Penalties!$AM26=AA$2,1,""))</f>
        <v/>
      </c>
      <c r="AB26" s="440" t="str">
        <f>IF($B25="","",IF(Penalties!$AM26=AB$2,1,""))</f>
        <v/>
      </c>
      <c r="AC26" s="440" t="str">
        <f>IF($B25="","",IF(Penalties!$AM26=AC$2,1,""))</f>
        <v/>
      </c>
      <c r="AD26" s="440" t="str">
        <f>IF($B25="","",IF(Penalties!$AM26=AD$2,1,""))</f>
        <v/>
      </c>
      <c r="AE26" s="440" t="str">
        <f>IF($B25="","",IF(Penalties!$AM26=AE$2,1,""))</f>
        <v/>
      </c>
      <c r="AF26" s="440" t="str">
        <f>IF($B25="","",IF(Penalties!$AM26=AF$2,1,""))</f>
        <v/>
      </c>
      <c r="AG26" s="440" t="str">
        <f>IF($B25="","",IF(Penalties!$AM26=AG$2,1,""))</f>
        <v/>
      </c>
      <c r="AH26" s="440" t="str">
        <f>IF($B25="","",IF(Penalties!$AM26=AH$2,1,""))</f>
        <v/>
      </c>
      <c r="AI26" s="440" t="str">
        <f>IF($B25="","",IF(Penalties!$AM26=AI$2,1,""))</f>
        <v/>
      </c>
      <c r="AJ26" s="442" t="str">
        <f>IF(SUM(X25:AI26)=0, "", IF(SUM(X25:AI25)=1, LOOKUP(1, X25:AI25, $X$2:$AI$2), LOOKUP(1, X26:AI26, $X$2:$AI$2)))</f>
        <v/>
      </c>
    </row>
    <row r="27" spans="1:36" s="74" customFormat="1" x14ac:dyDescent="0.2">
      <c r="A27" s="1492">
        <f>A25+1</f>
        <v>13</v>
      </c>
      <c r="B27" s="1493" t="str">
        <f>IF(IGRF!B26="","",IGRF!B26)</f>
        <v/>
      </c>
      <c r="C27" s="1494" t="str">
        <f>IF(IGRF!C26="","",IGRF!C26)</f>
        <v/>
      </c>
      <c r="D27" s="432" t="s">
        <v>5</v>
      </c>
      <c r="E27" s="425" t="str">
        <f>IF($B27="","",COUNTIF(Penalties!$B28:$J28,E$2))</f>
        <v/>
      </c>
      <c r="F27" s="425" t="str">
        <f>IF($B27="","",COUNTIF(Penalties!$B28:$J28,F$2))</f>
        <v/>
      </c>
      <c r="G27" s="425" t="str">
        <f>IF($B27="","",COUNTIF(Penalties!$B28:$J28,G$2))</f>
        <v/>
      </c>
      <c r="H27" s="425" t="str">
        <f>IF($B27="","",COUNTIF(Penalties!$B28:$J28,H$2))</f>
        <v/>
      </c>
      <c r="I27" s="425" t="str">
        <f>IF($B27="","",COUNTIF(Penalties!$B28:$J28,I$2))</f>
        <v/>
      </c>
      <c r="J27" s="425" t="str">
        <f>IF($B27="","",COUNTIF(Penalties!$B28:$J28,J$2))</f>
        <v/>
      </c>
      <c r="K27" s="425" t="str">
        <f>IF($B27="","",COUNTIF(Penalties!$B28:$J28,K$2))</f>
        <v/>
      </c>
      <c r="L27" s="425" t="str">
        <f>IF($B27="","",COUNTIF(Penalties!$B28:$J28,L$2))</f>
        <v/>
      </c>
      <c r="M27" s="425" t="str">
        <f>IF($B27="","",COUNTIF(Penalties!$B28:$J28,M$2))</f>
        <v/>
      </c>
      <c r="N27" s="425" t="str">
        <f>IF($B27="","",COUNTIF(Penalties!$B28:$J28,N$2))</f>
        <v/>
      </c>
      <c r="O27" s="425" t="str">
        <f>IF($B27="","",COUNTIF(Penalties!$B28:$J28,O$2))</f>
        <v/>
      </c>
      <c r="P27" s="425" t="str">
        <f>IF($B27="","",COUNTIF(Penalties!$B28:$J28,P$2))</f>
        <v/>
      </c>
      <c r="Q27" s="425" t="str">
        <f>IF($B27="","",COUNTIF(Penalties!$B28:$J28,Q$2))</f>
        <v/>
      </c>
      <c r="R27" s="425" t="str">
        <f>IF($B27="","",COUNTIF(Penalties!$B28:$J28,R$2))</f>
        <v/>
      </c>
      <c r="S27" s="425"/>
      <c r="T27" s="425"/>
      <c r="U27" s="433" t="str">
        <f>IF(B27="","",SUM(E27:T27))</f>
        <v/>
      </c>
      <c r="V27" s="434" t="str">
        <f>IF(B27="","",SUM(E27:T27)*0.5)</f>
        <v/>
      </c>
      <c r="W27" s="435" t="str">
        <f>IF($B27="","",IF(Penalties!$K28=W$2,1,""))</f>
        <v/>
      </c>
      <c r="X27" s="435" t="str">
        <f>IF($B27="","",IF(Penalties!$K28=X$2,1,""))</f>
        <v/>
      </c>
      <c r="Y27" s="435" t="str">
        <f>IF($B27="","",IF(Penalties!$K28=Y$2,1,""))</f>
        <v/>
      </c>
      <c r="Z27" s="435" t="str">
        <f>IF($B27="","",IF(Penalties!$K28=Z$2,1,""))</f>
        <v/>
      </c>
      <c r="AA27" s="435" t="str">
        <f>IF($B27="","",IF(Penalties!$K28=AA$2,1,""))</f>
        <v/>
      </c>
      <c r="AB27" s="435" t="str">
        <f>IF($B27="","",IF(Penalties!$K28=AB$2,1,""))</f>
        <v/>
      </c>
      <c r="AC27" s="435" t="str">
        <f>IF($B27="","",IF(Penalties!$K28=AC$2,1,""))</f>
        <v/>
      </c>
      <c r="AD27" s="435" t="str">
        <f>IF($B27="","",IF(Penalties!$K28=AD$2,1,""))</f>
        <v/>
      </c>
      <c r="AE27" s="435" t="str">
        <f>IF($B27="","",IF(Penalties!$K28=AE$2,1,""))</f>
        <v/>
      </c>
      <c r="AF27" s="435" t="str">
        <f>IF($B27="","",IF(Penalties!$K28=AF$2,1,""))</f>
        <v/>
      </c>
      <c r="AG27" s="435" t="str">
        <f>IF($B27="","",IF(Penalties!$K28=AG$2,1,""))</f>
        <v/>
      </c>
      <c r="AH27" s="435" t="str">
        <f>IF($B27="","",IF(Penalties!$K28=AH$2,1,""))</f>
        <v/>
      </c>
      <c r="AI27" s="435" t="str">
        <f>IF($B27="","",IF(Penalties!$K28=AI$2,1,""))</f>
        <v/>
      </c>
      <c r="AJ27" s="436"/>
    </row>
    <row r="28" spans="1:36" s="74" customFormat="1" x14ac:dyDescent="0.2">
      <c r="A28" s="1492"/>
      <c r="B28" s="1493"/>
      <c r="C28" s="1494"/>
      <c r="D28" s="432" t="s">
        <v>21</v>
      </c>
      <c r="E28" s="425" t="str">
        <f>IF($B27="","",COUNTIF(Penalties!$AD28:$AL28,E$2))</f>
        <v/>
      </c>
      <c r="F28" s="425" t="str">
        <f>IF($B27="","",COUNTIF(Penalties!$AD28:$AL28,F$2))</f>
        <v/>
      </c>
      <c r="G28" s="425" t="str">
        <f>IF($B27="","",COUNTIF(Penalties!$AD28:$AL28,G$2))</f>
        <v/>
      </c>
      <c r="H28" s="425" t="str">
        <f>IF($B27="","",COUNTIF(Penalties!$AD28:$AL28,H$2))</f>
        <v/>
      </c>
      <c r="I28" s="425" t="str">
        <f>IF($B27="","",COUNTIF(Penalties!$AD28:$AL28,I$2))</f>
        <v/>
      </c>
      <c r="J28" s="425" t="str">
        <f>IF($B27="","",COUNTIF(Penalties!$AD28:$AL28,J$2))</f>
        <v/>
      </c>
      <c r="K28" s="425" t="str">
        <f>IF($B27="","",COUNTIF(Penalties!$AD28:$AL28,K$2))</f>
        <v/>
      </c>
      <c r="L28" s="425" t="str">
        <f>IF($B27="","",COUNTIF(Penalties!$AD28:$AL28,L$2))</f>
        <v/>
      </c>
      <c r="M28" s="425" t="str">
        <f>IF($B27="","",COUNTIF(Penalties!$AD28:$AL28,M$2))</f>
        <v/>
      </c>
      <c r="N28" s="425" t="str">
        <f>IF($B27="","",COUNTIF(Penalties!$AD28:$AL28,N$2))</f>
        <v/>
      </c>
      <c r="O28" s="425" t="str">
        <f>IF($B27="","",COUNTIF(Penalties!$AD28:$AL28,O$2))</f>
        <v/>
      </c>
      <c r="P28" s="425" t="str">
        <f>IF($B27="","",COUNTIF(Penalties!$AD28:$AL28,P$2))</f>
        <v/>
      </c>
      <c r="Q28" s="425" t="str">
        <f>IF($B27="","",COUNTIF(Penalties!$AD28:$AL28,Q$2))</f>
        <v/>
      </c>
      <c r="R28" s="425" t="str">
        <f>IF($B27="","",COUNTIF(Penalties!$AD28:$AL28,R$2))</f>
        <v/>
      </c>
      <c r="S28" s="425"/>
      <c r="T28" s="425"/>
      <c r="U28" s="433" t="str">
        <f>IF(B27="","",SUM(E28:T28))</f>
        <v/>
      </c>
      <c r="V28" s="434" t="str">
        <f>IF(B27="","",SUM(E28:T28)*0.5)</f>
        <v/>
      </c>
      <c r="W28" s="435" t="str">
        <f>IF($B27="","",IF(Penalties!$AM28=W$2,1,""))</f>
        <v/>
      </c>
      <c r="X28" s="435" t="str">
        <f>IF($B27="","",IF(Penalties!$AM28=X$2,1,""))</f>
        <v/>
      </c>
      <c r="Y28" s="435" t="str">
        <f>IF($B27="","",IF(Penalties!$AM28=Y$2,1,""))</f>
        <v/>
      </c>
      <c r="Z28" s="435" t="str">
        <f>IF($B27="","",IF(Penalties!$AM28=Z$2,1,""))</f>
        <v/>
      </c>
      <c r="AA28" s="435" t="str">
        <f>IF($B27="","",IF(Penalties!$AM28=AA$2,1,""))</f>
        <v/>
      </c>
      <c r="AB28" s="435" t="str">
        <f>IF($B27="","",IF(Penalties!$AM28=AB$2,1,""))</f>
        <v/>
      </c>
      <c r="AC28" s="435" t="str">
        <f>IF($B27="","",IF(Penalties!$AM28=AC$2,1,""))</f>
        <v/>
      </c>
      <c r="AD28" s="435" t="str">
        <f>IF($B27="","",IF(Penalties!$AM28=AD$2,1,""))</f>
        <v/>
      </c>
      <c r="AE28" s="435" t="str">
        <f>IF($B27="","",IF(Penalties!$AM28=AE$2,1,""))</f>
        <v/>
      </c>
      <c r="AF28" s="435" t="str">
        <f>IF($B27="","",IF(Penalties!$AM28=AF$2,1,""))</f>
        <v/>
      </c>
      <c r="AG28" s="435" t="str">
        <f>IF($B27="","",IF(Penalties!$AM28=AG$2,1,""))</f>
        <v/>
      </c>
      <c r="AH28" s="435" t="str">
        <f>IF($B27="","",IF(Penalties!$AM28=AH$2,1,""))</f>
        <v/>
      </c>
      <c r="AI28" s="435" t="str">
        <f>IF($B27="","",IF(Penalties!$AM28=AI$2,1,""))</f>
        <v/>
      </c>
      <c r="AJ28" s="437" t="str">
        <f>IF(SUM(X27:AI28)=0, "", IF(SUM(X27:AI27)=1, LOOKUP(1, X27:AI27, $X$2:$AI$2), LOOKUP(1, X28:AI28, $X$2:$AI$2)))</f>
        <v/>
      </c>
    </row>
    <row r="29" spans="1:36" s="74" customFormat="1" x14ac:dyDescent="0.2">
      <c r="A29" s="1486">
        <f>A27+1</f>
        <v>14</v>
      </c>
      <c r="B29" s="1487" t="str">
        <f>IF(IGRF!B27="","",IGRF!B27)</f>
        <v/>
      </c>
      <c r="C29" s="1488" t="str">
        <f>IF(IGRF!C27="","",IGRF!C27)</f>
        <v/>
      </c>
      <c r="D29" s="426" t="s">
        <v>5</v>
      </c>
      <c r="E29" s="426" t="str">
        <f>IF($B29="","",COUNTIF(Penalties!$B30:$J30,E$2))</f>
        <v/>
      </c>
      <c r="F29" s="426" t="str">
        <f>IF($B29="","",COUNTIF(Penalties!$B30:$J30,F$2))</f>
        <v/>
      </c>
      <c r="G29" s="426" t="str">
        <f>IF($B29="","",COUNTIF(Penalties!$B30:$J30,G$2))</f>
        <v/>
      </c>
      <c r="H29" s="426" t="str">
        <f>IF($B29="","",COUNTIF(Penalties!$B30:$J30,H$2))</f>
        <v/>
      </c>
      <c r="I29" s="426" t="str">
        <f>IF($B29="","",COUNTIF(Penalties!$B30:$J30,I$2))</f>
        <v/>
      </c>
      <c r="J29" s="426" t="str">
        <f>IF($B29="","",COUNTIF(Penalties!$B30:$J30,J$2))</f>
        <v/>
      </c>
      <c r="K29" s="426" t="str">
        <f>IF($B29="","",COUNTIF(Penalties!$B30:$J30,K$2))</f>
        <v/>
      </c>
      <c r="L29" s="426" t="str">
        <f>IF($B29="","",COUNTIF(Penalties!$B30:$J30,L$2))</f>
        <v/>
      </c>
      <c r="M29" s="426" t="str">
        <f>IF($B29="","",COUNTIF(Penalties!$B30:$J30,M$2))</f>
        <v/>
      </c>
      <c r="N29" s="426" t="str">
        <f>IF($B29="","",COUNTIF(Penalties!$B30:$J30,N$2))</f>
        <v/>
      </c>
      <c r="O29" s="426" t="str">
        <f>IF($B29="","",COUNTIF(Penalties!$B30:$J30,O$2))</f>
        <v/>
      </c>
      <c r="P29" s="426" t="str">
        <f>IF($B29="","",COUNTIF(Penalties!$B30:$J30,P$2))</f>
        <v/>
      </c>
      <c r="Q29" s="426" t="str">
        <f>IF($B29="","",COUNTIF(Penalties!$B30:$J30,Q$2))</f>
        <v/>
      </c>
      <c r="R29" s="426" t="str">
        <f>IF($B29="","",COUNTIF(Penalties!$B30:$J30,R$2))</f>
        <v/>
      </c>
      <c r="S29" s="426"/>
      <c r="T29" s="426"/>
      <c r="U29" s="438" t="str">
        <f>IF(B29="","",SUM(E29:T29))</f>
        <v/>
      </c>
      <c r="V29" s="439" t="str">
        <f>IF(B29="","",SUM(E29:T29)*0.5)</f>
        <v/>
      </c>
      <c r="W29" s="440" t="str">
        <f>IF($B29="","",IF(Penalties!$K30=W$2,1,""))</f>
        <v/>
      </c>
      <c r="X29" s="440" t="str">
        <f>IF($B29="","",IF(Penalties!$K30=X$2,1,""))</f>
        <v/>
      </c>
      <c r="Y29" s="440" t="str">
        <f>IF($B29="","",IF(Penalties!$K30=Y$2,1,""))</f>
        <v/>
      </c>
      <c r="Z29" s="440" t="str">
        <f>IF($B29="","",IF(Penalties!$K30=Z$2,1,""))</f>
        <v/>
      </c>
      <c r="AA29" s="440" t="str">
        <f>IF($B29="","",IF(Penalties!$K30=AA$2,1,""))</f>
        <v/>
      </c>
      <c r="AB29" s="440" t="str">
        <f>IF($B29="","",IF(Penalties!$K30=AB$2,1,""))</f>
        <v/>
      </c>
      <c r="AC29" s="440" t="str">
        <f>IF($B29="","",IF(Penalties!$K30=AC$2,1,""))</f>
        <v/>
      </c>
      <c r="AD29" s="440" t="str">
        <f>IF($B29="","",IF(Penalties!$K30=AD$2,1,""))</f>
        <v/>
      </c>
      <c r="AE29" s="440" t="str">
        <f>IF($B29="","",IF(Penalties!$K30=AE$2,1,""))</f>
        <v/>
      </c>
      <c r="AF29" s="440" t="str">
        <f>IF($B29="","",IF(Penalties!$K30=AF$2,1,""))</f>
        <v/>
      </c>
      <c r="AG29" s="440" t="str">
        <f>IF($B29="","",IF(Penalties!$K30=AG$2,1,""))</f>
        <v/>
      </c>
      <c r="AH29" s="440" t="str">
        <f>IF($B29="","",IF(Penalties!$K30=AH$2,1,""))</f>
        <v/>
      </c>
      <c r="AI29" s="440" t="str">
        <f>IF($B29="","",IF(Penalties!$K30=AI$2,1,""))</f>
        <v/>
      </c>
      <c r="AJ29" s="441"/>
    </row>
    <row r="30" spans="1:36" s="74" customFormat="1" ht="13.5" thickBot="1" x14ac:dyDescent="0.25">
      <c r="A30" s="1486"/>
      <c r="B30" s="1487"/>
      <c r="C30" s="1488"/>
      <c r="D30" s="426" t="s">
        <v>21</v>
      </c>
      <c r="E30" s="426" t="str">
        <f>IF($B29="","",COUNTIF(Penalties!$AD30:$AL30,E$2))</f>
        <v/>
      </c>
      <c r="F30" s="426" t="str">
        <f>IF($B29="","",COUNTIF(Penalties!$AD30:$AL30,F$2))</f>
        <v/>
      </c>
      <c r="G30" s="426" t="str">
        <f>IF($B29="","",COUNTIF(Penalties!$AD30:$AL30,G$2))</f>
        <v/>
      </c>
      <c r="H30" s="426" t="str">
        <f>IF($B29="","",COUNTIF(Penalties!$AD30:$AL30,H$2))</f>
        <v/>
      </c>
      <c r="I30" s="426" t="str">
        <f>IF($B29="","",COUNTIF(Penalties!$AD30:$AL30,I$2))</f>
        <v/>
      </c>
      <c r="J30" s="426" t="str">
        <f>IF($B29="","",COUNTIF(Penalties!$AD30:$AL30,J$2))</f>
        <v/>
      </c>
      <c r="K30" s="426" t="str">
        <f>IF($B29="","",COUNTIF(Penalties!$AD30:$AL30,K$2))</f>
        <v/>
      </c>
      <c r="L30" s="426" t="str">
        <f>IF($B29="","",COUNTIF(Penalties!$AD30:$AL30,L$2))</f>
        <v/>
      </c>
      <c r="M30" s="426" t="str">
        <f>IF($B29="","",COUNTIF(Penalties!$AD30:$AL30,M$2))</f>
        <v/>
      </c>
      <c r="N30" s="426" t="str">
        <f>IF($B29="","",COUNTIF(Penalties!$AD30:$AL30,N$2))</f>
        <v/>
      </c>
      <c r="O30" s="426" t="str">
        <f>IF($B29="","",COUNTIF(Penalties!$AD30:$AL30,O$2))</f>
        <v/>
      </c>
      <c r="P30" s="426" t="str">
        <f>IF($B29="","",COUNTIF(Penalties!$AD30:$AL30,P$2))</f>
        <v/>
      </c>
      <c r="Q30" s="426" t="str">
        <f>IF($B29="","",COUNTIF(Penalties!$AD30:$AL30,Q$2))</f>
        <v/>
      </c>
      <c r="R30" s="426" t="str">
        <f>IF($B29="","",COUNTIF(Penalties!$AD30:$AL30,R$2))</f>
        <v/>
      </c>
      <c r="S30" s="426"/>
      <c r="T30" s="426"/>
      <c r="U30" s="438" t="str">
        <f>IF(B29="","",SUM(E30:T30))</f>
        <v/>
      </c>
      <c r="V30" s="439" t="str">
        <f>IF(B29="","",SUM(E30:T30)*0.5)</f>
        <v/>
      </c>
      <c r="W30" s="440" t="str">
        <f>IF($B29="","",IF(Penalties!$AM30=W$2,1,""))</f>
        <v/>
      </c>
      <c r="X30" s="440" t="str">
        <f>IF($B29="","",IF(Penalties!$AM30=X$2,1,""))</f>
        <v/>
      </c>
      <c r="Y30" s="440" t="str">
        <f>IF($B29="","",IF(Penalties!$AM30=Y$2,1,""))</f>
        <v/>
      </c>
      <c r="Z30" s="440" t="str">
        <f>IF($B29="","",IF(Penalties!$AM30=Z$2,1,""))</f>
        <v/>
      </c>
      <c r="AA30" s="440" t="str">
        <f>IF($B29="","",IF(Penalties!$AM30=AA$2,1,""))</f>
        <v/>
      </c>
      <c r="AB30" s="440" t="str">
        <f>IF($B29="","",IF(Penalties!$AM30=AB$2,1,""))</f>
        <v/>
      </c>
      <c r="AC30" s="440" t="str">
        <f>IF($B29="","",IF(Penalties!$AM30=AC$2,1,""))</f>
        <v/>
      </c>
      <c r="AD30" s="440" t="str">
        <f>IF($B29="","",IF(Penalties!$AM30=AD$2,1,""))</f>
        <v/>
      </c>
      <c r="AE30" s="440" t="str">
        <f>IF($B29="","",IF(Penalties!$AM30=AE$2,1,""))</f>
        <v/>
      </c>
      <c r="AF30" s="440" t="str">
        <f>IF($B29="","",IF(Penalties!$AM30=AF$2,1,""))</f>
        <v/>
      </c>
      <c r="AG30" s="440" t="str">
        <f>IF($B29="","",IF(Penalties!$AM30=AG$2,1,""))</f>
        <v/>
      </c>
      <c r="AH30" s="440" t="str">
        <f>IF($B29="","",IF(Penalties!$AM30=AH$2,1,""))</f>
        <v/>
      </c>
      <c r="AI30" s="440" t="str">
        <f>IF($B29="","",IF(Penalties!$AM30=AI$2,1,""))</f>
        <v/>
      </c>
      <c r="AJ30" s="442" t="str">
        <f>IF(SUM(X29:AI30)=0, "", IF(SUM(X29:AI29)=1, LOOKUP(1, X29:AI29, $X$2:$AI$2), LOOKUP(1, X30:AI30, $X$2:$AI$2)))</f>
        <v/>
      </c>
    </row>
    <row r="31" spans="1:36" s="74" customFormat="1" x14ac:dyDescent="0.2">
      <c r="A31" s="1492">
        <f>A29+1</f>
        <v>15</v>
      </c>
      <c r="B31" s="1493" t="str">
        <f>IF(IGRF!B28="","",IGRF!B28)</f>
        <v/>
      </c>
      <c r="C31" s="1494" t="str">
        <f>IF(IGRF!C28="","",IGRF!C28)</f>
        <v/>
      </c>
      <c r="D31" s="432" t="s">
        <v>5</v>
      </c>
      <c r="E31" s="425" t="str">
        <f>IF($B31="","",COUNTIF(Penalties!$B32:$J32,E$2))</f>
        <v/>
      </c>
      <c r="F31" s="425" t="str">
        <f>IF($B31="","",COUNTIF(Penalties!$B32:$J32,F$2))</f>
        <v/>
      </c>
      <c r="G31" s="425" t="str">
        <f>IF($B31="","",COUNTIF(Penalties!$B32:$J32,G$2))</f>
        <v/>
      </c>
      <c r="H31" s="425" t="str">
        <f>IF($B31="","",COUNTIF(Penalties!$B32:$J32,H$2))</f>
        <v/>
      </c>
      <c r="I31" s="425" t="str">
        <f>IF($B31="","",COUNTIF(Penalties!$B32:$J32,I$2))</f>
        <v/>
      </c>
      <c r="J31" s="425" t="str">
        <f>IF($B31="","",COUNTIF(Penalties!$B32:$J32,J$2))</f>
        <v/>
      </c>
      <c r="K31" s="425" t="str">
        <f>IF($B31="","",COUNTIF(Penalties!$B32:$J32,K$2))</f>
        <v/>
      </c>
      <c r="L31" s="425" t="str">
        <f>IF($B31="","",COUNTIF(Penalties!$B32:$J32,L$2))</f>
        <v/>
      </c>
      <c r="M31" s="425" t="str">
        <f>IF($B31="","",COUNTIF(Penalties!$B32:$J32,M$2))</f>
        <v/>
      </c>
      <c r="N31" s="425" t="str">
        <f>IF($B31="","",COUNTIF(Penalties!$B32:$J32,N$2))</f>
        <v/>
      </c>
      <c r="O31" s="425" t="str">
        <f>IF($B31="","",COUNTIF(Penalties!$B32:$J32,O$2))</f>
        <v/>
      </c>
      <c r="P31" s="425" t="str">
        <f>IF($B31="","",COUNTIF(Penalties!$B32:$J32,P$2))</f>
        <v/>
      </c>
      <c r="Q31" s="425" t="str">
        <f>IF($B31="","",COUNTIF(Penalties!$B32:$J32,Q$2))</f>
        <v/>
      </c>
      <c r="R31" s="425" t="str">
        <f>IF($B31="","",COUNTIF(Penalties!$B32:$J32,R$2))</f>
        <v/>
      </c>
      <c r="S31" s="425"/>
      <c r="T31" s="425"/>
      <c r="U31" s="433" t="str">
        <f>IF(B31="","",SUM(E31:T31))</f>
        <v/>
      </c>
      <c r="V31" s="434" t="str">
        <f>IF(B31="","",SUM(E31:T31)*0.5)</f>
        <v/>
      </c>
      <c r="W31" s="435" t="str">
        <f>IF($B31="","",IF(Penalties!$K32=W$2,1,""))</f>
        <v/>
      </c>
      <c r="X31" s="435" t="str">
        <f>IF($B31="","",IF(Penalties!$K32=X$2,1,""))</f>
        <v/>
      </c>
      <c r="Y31" s="435" t="str">
        <f>IF($B31="","",IF(Penalties!$K32=Y$2,1,""))</f>
        <v/>
      </c>
      <c r="Z31" s="435" t="str">
        <f>IF($B31="","",IF(Penalties!$K32=Z$2,1,""))</f>
        <v/>
      </c>
      <c r="AA31" s="435" t="str">
        <f>IF($B31="","",IF(Penalties!$K32=AA$2,1,""))</f>
        <v/>
      </c>
      <c r="AB31" s="435" t="str">
        <f>IF($B31="","",IF(Penalties!$K32=AB$2,1,""))</f>
        <v/>
      </c>
      <c r="AC31" s="435" t="str">
        <f>IF($B31="","",IF(Penalties!$K32=AC$2,1,""))</f>
        <v/>
      </c>
      <c r="AD31" s="435" t="str">
        <f>IF($B31="","",IF(Penalties!$K32=AD$2,1,""))</f>
        <v/>
      </c>
      <c r="AE31" s="435" t="str">
        <f>IF($B31="","",IF(Penalties!$K32=AE$2,1,""))</f>
        <v/>
      </c>
      <c r="AF31" s="435" t="str">
        <f>IF($B31="","",IF(Penalties!$K32=AF$2,1,""))</f>
        <v/>
      </c>
      <c r="AG31" s="435" t="str">
        <f>IF($B31="","",IF(Penalties!$K32=AG$2,1,""))</f>
        <v/>
      </c>
      <c r="AH31" s="435" t="str">
        <f>IF($B31="","",IF(Penalties!$K32=AH$2,1,""))</f>
        <v/>
      </c>
      <c r="AI31" s="435" t="str">
        <f>IF($B31="","",IF(Penalties!$K32=AI$2,1,""))</f>
        <v/>
      </c>
      <c r="AJ31" s="436"/>
    </row>
    <row r="32" spans="1:36" s="74" customFormat="1" x14ac:dyDescent="0.2">
      <c r="A32" s="1492"/>
      <c r="B32" s="1493"/>
      <c r="C32" s="1494"/>
      <c r="D32" s="432" t="s">
        <v>21</v>
      </c>
      <c r="E32" s="425" t="str">
        <f>IF($B31="","",COUNTIF(Penalties!$AD32:$AL32,E$2))</f>
        <v/>
      </c>
      <c r="F32" s="425" t="str">
        <f>IF($B31="","",COUNTIF(Penalties!$AD32:$AL32,F$2))</f>
        <v/>
      </c>
      <c r="G32" s="425" t="str">
        <f>IF($B31="","",COUNTIF(Penalties!$AD32:$AL32,G$2))</f>
        <v/>
      </c>
      <c r="H32" s="425" t="str">
        <f>IF($B31="","",COUNTIF(Penalties!$AD32:$AL32,H$2))</f>
        <v/>
      </c>
      <c r="I32" s="425" t="str">
        <f>IF($B31="","",COUNTIF(Penalties!$AD32:$AL32,I$2))</f>
        <v/>
      </c>
      <c r="J32" s="425" t="str">
        <f>IF($B31="","",COUNTIF(Penalties!$AD32:$AL32,J$2))</f>
        <v/>
      </c>
      <c r="K32" s="425" t="str">
        <f>IF($B31="","",COUNTIF(Penalties!$AD32:$AL32,K$2))</f>
        <v/>
      </c>
      <c r="L32" s="425" t="str">
        <f>IF($B31="","",COUNTIF(Penalties!$AD32:$AL32,L$2))</f>
        <v/>
      </c>
      <c r="M32" s="425" t="str">
        <f>IF($B31="","",COUNTIF(Penalties!$AD32:$AL32,M$2))</f>
        <v/>
      </c>
      <c r="N32" s="425" t="str">
        <f>IF($B31="","",COUNTIF(Penalties!$AD32:$AL32,N$2))</f>
        <v/>
      </c>
      <c r="O32" s="425" t="str">
        <f>IF($B31="","",COUNTIF(Penalties!$AD32:$AL32,O$2))</f>
        <v/>
      </c>
      <c r="P32" s="425" t="str">
        <f>IF($B31="","",COUNTIF(Penalties!$AD32:$AL32,P$2))</f>
        <v/>
      </c>
      <c r="Q32" s="425" t="str">
        <f>IF($B31="","",COUNTIF(Penalties!$AD32:$AL32,Q$2))</f>
        <v/>
      </c>
      <c r="R32" s="425" t="str">
        <f>IF($B31="","",COUNTIF(Penalties!$AD32:$AL32,R$2))</f>
        <v/>
      </c>
      <c r="S32" s="425"/>
      <c r="T32" s="425"/>
      <c r="U32" s="433" t="str">
        <f>IF(B31="","",SUM(E32:T32))</f>
        <v/>
      </c>
      <c r="V32" s="434" t="str">
        <f>IF(B31="","",SUM(E32:T32)*0.5)</f>
        <v/>
      </c>
      <c r="W32" s="435" t="str">
        <f>IF($B31="","",IF(Penalties!$AM32=W$2,1,""))</f>
        <v/>
      </c>
      <c r="X32" s="435" t="str">
        <f>IF($B31="","",IF(Penalties!$AM32=X$2,1,""))</f>
        <v/>
      </c>
      <c r="Y32" s="435" t="str">
        <f>IF($B31="","",IF(Penalties!$AM32=Y$2,1,""))</f>
        <v/>
      </c>
      <c r="Z32" s="435" t="str">
        <f>IF($B31="","",IF(Penalties!$AM32=Z$2,1,""))</f>
        <v/>
      </c>
      <c r="AA32" s="435" t="str">
        <f>IF($B31="","",IF(Penalties!$AM32=AA$2,1,""))</f>
        <v/>
      </c>
      <c r="AB32" s="435" t="str">
        <f>IF($B31="","",IF(Penalties!$AM32=AB$2,1,""))</f>
        <v/>
      </c>
      <c r="AC32" s="435" t="str">
        <f>IF($B31="","",IF(Penalties!$AM32=AC$2,1,""))</f>
        <v/>
      </c>
      <c r="AD32" s="435" t="str">
        <f>IF($B31="","",IF(Penalties!$AM32=AD$2,1,""))</f>
        <v/>
      </c>
      <c r="AE32" s="435" t="str">
        <f>IF($B31="","",IF(Penalties!$AM32=AE$2,1,""))</f>
        <v/>
      </c>
      <c r="AF32" s="435" t="str">
        <f>IF($B31="","",IF(Penalties!$AM32=AF$2,1,""))</f>
        <v/>
      </c>
      <c r="AG32" s="435" t="str">
        <f>IF($B31="","",IF(Penalties!$AM32=AG$2,1,""))</f>
        <v/>
      </c>
      <c r="AH32" s="435" t="str">
        <f>IF($B31="","",IF(Penalties!$AM32=AH$2,1,""))</f>
        <v/>
      </c>
      <c r="AI32" s="435" t="str">
        <f>IF($B31="","",IF(Penalties!$AM32=AI$2,1,""))</f>
        <v/>
      </c>
      <c r="AJ32" s="437" t="str">
        <f>IF(SUM(X31:AI32)=0, "", IF(SUM(X31:AI31)=1, LOOKUP(1, X31:AI31, $X$2:$AI$2), LOOKUP(1, X32:AI32, $X$2:$AI$2)))</f>
        <v/>
      </c>
    </row>
    <row r="33" spans="1:50" x14ac:dyDescent="0.2">
      <c r="A33" s="1486">
        <f>A31+1</f>
        <v>16</v>
      </c>
      <c r="B33" s="1487" t="str">
        <f>IF(IGRF!B29="","",IGRF!B29)</f>
        <v/>
      </c>
      <c r="C33" s="1488" t="str">
        <f>IF(IGRF!C29="","",IGRF!C29)</f>
        <v/>
      </c>
      <c r="D33" s="426" t="s">
        <v>5</v>
      </c>
      <c r="E33" s="426" t="str">
        <f>IF($B33="","",COUNTIF(Penalties!$B34:$J34,E$2))</f>
        <v/>
      </c>
      <c r="F33" s="426" t="str">
        <f>IF($B33="","",COUNTIF(Penalties!$B34:$J34,F$2))</f>
        <v/>
      </c>
      <c r="G33" s="426" t="str">
        <f>IF($B33="","",COUNTIF(Penalties!$B34:$J34,G$2))</f>
        <v/>
      </c>
      <c r="H33" s="426" t="str">
        <f>IF($B33="","",COUNTIF(Penalties!$B34:$J34,H$2))</f>
        <v/>
      </c>
      <c r="I33" s="426" t="str">
        <f>IF($B33="","",COUNTIF(Penalties!$B34:$J34,I$2))</f>
        <v/>
      </c>
      <c r="J33" s="426" t="str">
        <f>IF($B33="","",COUNTIF(Penalties!$B34:$J34,J$2))</f>
        <v/>
      </c>
      <c r="K33" s="426" t="str">
        <f>IF($B33="","",COUNTIF(Penalties!$B34:$J34,K$2))</f>
        <v/>
      </c>
      <c r="L33" s="426" t="str">
        <f>IF($B33="","",COUNTIF(Penalties!$B34:$J34,L$2))</f>
        <v/>
      </c>
      <c r="M33" s="426" t="str">
        <f>IF($B33="","",COUNTIF(Penalties!$B34:$J34,M$2))</f>
        <v/>
      </c>
      <c r="N33" s="426" t="str">
        <f>IF($B33="","",COUNTIF(Penalties!$B34:$J34,N$2))</f>
        <v/>
      </c>
      <c r="O33" s="426" t="str">
        <f>IF($B33="","",COUNTIF(Penalties!$B34:$J34,O$2))</f>
        <v/>
      </c>
      <c r="P33" s="426" t="str">
        <f>IF($B33="","",COUNTIF(Penalties!$B34:$J34,P$2))</f>
        <v/>
      </c>
      <c r="Q33" s="426" t="str">
        <f>IF($B33="","",COUNTIF(Penalties!$B34:$J34,Q$2))</f>
        <v/>
      </c>
      <c r="R33" s="426" t="str">
        <f>IF($B33="","",COUNTIF(Penalties!$B34:$J34,R$2))</f>
        <v/>
      </c>
      <c r="S33" s="426"/>
      <c r="T33" s="426"/>
      <c r="U33" s="438" t="str">
        <f>IF(B33="","",SUM(E33:T33))</f>
        <v/>
      </c>
      <c r="V33" s="439" t="str">
        <f>IF(B33="","",SUM(E33:T33)*0.5)</f>
        <v/>
      </c>
      <c r="W33" s="440" t="str">
        <f>IF($B33="","",IF(Penalties!$K34=W$2,1,""))</f>
        <v/>
      </c>
      <c r="X33" s="440" t="str">
        <f>IF($B33="","",IF(Penalties!$K34=X$2,1,""))</f>
        <v/>
      </c>
      <c r="Y33" s="440" t="str">
        <f>IF($B33="","",IF(Penalties!$K34=Y$2,1,""))</f>
        <v/>
      </c>
      <c r="Z33" s="440" t="str">
        <f>IF($B33="","",IF(Penalties!$K34=Z$2,1,""))</f>
        <v/>
      </c>
      <c r="AA33" s="440" t="str">
        <f>IF($B33="","",IF(Penalties!$K34=AA$2,1,""))</f>
        <v/>
      </c>
      <c r="AB33" s="440" t="str">
        <f>IF($B33="","",IF(Penalties!$K34=AB$2,1,""))</f>
        <v/>
      </c>
      <c r="AC33" s="440" t="str">
        <f>IF($B33="","",IF(Penalties!$K34=AC$2,1,""))</f>
        <v/>
      </c>
      <c r="AD33" s="440" t="str">
        <f>IF($B33="","",IF(Penalties!$K34=AD$2,1,""))</f>
        <v/>
      </c>
      <c r="AE33" s="440" t="str">
        <f>IF($B33="","",IF(Penalties!$K34=AE$2,1,""))</f>
        <v/>
      </c>
      <c r="AF33" s="440" t="str">
        <f>IF($B33="","",IF(Penalties!$K34=AF$2,1,""))</f>
        <v/>
      </c>
      <c r="AG33" s="440" t="str">
        <f>IF($B33="","",IF(Penalties!$K34=AG$2,1,""))</f>
        <v/>
      </c>
      <c r="AH33" s="440" t="str">
        <f>IF($B33="","",IF(Penalties!$K34=AH$2,1,""))</f>
        <v/>
      </c>
      <c r="AI33" s="440" t="str">
        <f>IF($B33="","",IF(Penalties!$K34=AI$2,1,""))</f>
        <v/>
      </c>
      <c r="AJ33" s="441"/>
      <c r="AK33" s="74"/>
      <c r="AL33" s="74"/>
      <c r="AM33" s="74"/>
      <c r="AN33" s="74"/>
      <c r="AO33" s="74"/>
      <c r="AP33" s="74"/>
      <c r="AQ33" s="74"/>
      <c r="AR33" s="74"/>
      <c r="AS33" s="74"/>
      <c r="AT33" s="74"/>
      <c r="AU33" s="74"/>
      <c r="AV33" s="74"/>
      <c r="AW33" s="74"/>
      <c r="AX33" s="74"/>
    </row>
    <row r="34" spans="1:50" ht="13.5" thickBot="1" x14ac:dyDescent="0.25">
      <c r="A34" s="1486"/>
      <c r="B34" s="1487"/>
      <c r="C34" s="1488"/>
      <c r="D34" s="426" t="s">
        <v>21</v>
      </c>
      <c r="E34" s="426" t="str">
        <f>IF($B33="","",COUNTIF(Penalties!$AD34:$AL34,E$2))</f>
        <v/>
      </c>
      <c r="F34" s="426" t="str">
        <f>IF($B33="","",COUNTIF(Penalties!$AD34:$AL34,F$2))</f>
        <v/>
      </c>
      <c r="G34" s="426" t="str">
        <f>IF($B33="","",COUNTIF(Penalties!$AD34:$AL34,G$2))</f>
        <v/>
      </c>
      <c r="H34" s="426" t="str">
        <f>IF($B33="","",COUNTIF(Penalties!$AD34:$AL34,H$2))</f>
        <v/>
      </c>
      <c r="I34" s="426" t="str">
        <f>IF($B33="","",COUNTIF(Penalties!$AD34:$AL34,I$2))</f>
        <v/>
      </c>
      <c r="J34" s="426" t="str">
        <f>IF($B33="","",COUNTIF(Penalties!$AD34:$AL34,J$2))</f>
        <v/>
      </c>
      <c r="K34" s="426" t="str">
        <f>IF($B33="","",COUNTIF(Penalties!$AD34:$AL34,K$2))</f>
        <v/>
      </c>
      <c r="L34" s="426" t="str">
        <f>IF($B33="","",COUNTIF(Penalties!$AD34:$AL34,L$2))</f>
        <v/>
      </c>
      <c r="M34" s="426" t="str">
        <f>IF($B33="","",COUNTIF(Penalties!$AD34:$AL34,M$2))</f>
        <v/>
      </c>
      <c r="N34" s="426" t="str">
        <f>IF($B33="","",COUNTIF(Penalties!$AD34:$AL34,N$2))</f>
        <v/>
      </c>
      <c r="O34" s="426" t="str">
        <f>IF($B33="","",COUNTIF(Penalties!$AD34:$AL34,O$2))</f>
        <v/>
      </c>
      <c r="P34" s="426" t="str">
        <f>IF($B33="","",COUNTIF(Penalties!$AD34:$AL34,P$2))</f>
        <v/>
      </c>
      <c r="Q34" s="426" t="str">
        <f>IF($B33="","",COUNTIF(Penalties!$AD34:$AL34,Q$2))</f>
        <v/>
      </c>
      <c r="R34" s="426" t="str">
        <f>IF($B33="","",COUNTIF(Penalties!$AD34:$AL34,R$2))</f>
        <v/>
      </c>
      <c r="S34" s="426"/>
      <c r="T34" s="426"/>
      <c r="U34" s="438" t="str">
        <f>IF(B33="","",SUM(E34:T34))</f>
        <v/>
      </c>
      <c r="V34" s="439" t="str">
        <f>IF(B33="","",SUM(E34:T34)*0.5)</f>
        <v/>
      </c>
      <c r="W34" s="440" t="str">
        <f>IF($B33="","",IF(Penalties!$AM34=W$2,1,""))</f>
        <v/>
      </c>
      <c r="X34" s="440" t="str">
        <f>IF($B33="","",IF(Penalties!$AM34=X$2,1,""))</f>
        <v/>
      </c>
      <c r="Y34" s="440" t="str">
        <f>IF($B33="","",IF(Penalties!$AM34=Y$2,1,""))</f>
        <v/>
      </c>
      <c r="Z34" s="440" t="str">
        <f>IF($B33="","",IF(Penalties!$AM34=Z$2,1,""))</f>
        <v/>
      </c>
      <c r="AA34" s="440" t="str">
        <f>IF($B33="","",IF(Penalties!$AM34=AA$2,1,""))</f>
        <v/>
      </c>
      <c r="AB34" s="440" t="str">
        <f>IF($B33="","",IF(Penalties!$AM34=AB$2,1,""))</f>
        <v/>
      </c>
      <c r="AC34" s="440" t="str">
        <f>IF($B33="","",IF(Penalties!$AM34=AC$2,1,""))</f>
        <v/>
      </c>
      <c r="AD34" s="440" t="str">
        <f>IF($B33="","",IF(Penalties!$AM34=AD$2,1,""))</f>
        <v/>
      </c>
      <c r="AE34" s="440" t="str">
        <f>IF($B33="","",IF(Penalties!$AM34=AE$2,1,""))</f>
        <v/>
      </c>
      <c r="AF34" s="440" t="str">
        <f>IF($B33="","",IF(Penalties!$AM34=AF$2,1,""))</f>
        <v/>
      </c>
      <c r="AG34" s="440" t="str">
        <f>IF($B33="","",IF(Penalties!$AM34=AG$2,1,""))</f>
        <v/>
      </c>
      <c r="AH34" s="440" t="str">
        <f>IF($B33="","",IF(Penalties!$AM34=AH$2,1,""))</f>
        <v/>
      </c>
      <c r="AI34" s="440" t="str">
        <f>IF($B33="","",IF(Penalties!$AM34=AI$2,1,""))</f>
        <v/>
      </c>
      <c r="AJ34" s="442" t="str">
        <f>IF(SUM(X33:AI34)=0, "", IF(SUM(X33:AI33)=1, LOOKUP(1, X33:AI33, $X$2:$AI$2), LOOKUP(1, X34:AI34, $X$2:$AI$2)))</f>
        <v/>
      </c>
      <c r="AK34" s="74"/>
      <c r="AL34" s="74"/>
      <c r="AM34" s="74"/>
      <c r="AN34" s="74"/>
      <c r="AO34" s="74"/>
      <c r="AP34" s="74"/>
      <c r="AQ34" s="74"/>
      <c r="AR34" s="74"/>
      <c r="AS34" s="74"/>
      <c r="AT34" s="74"/>
      <c r="AU34" s="74"/>
      <c r="AV34" s="74"/>
      <c r="AW34" s="74"/>
      <c r="AX34" s="74"/>
    </row>
    <row r="35" spans="1:50" x14ac:dyDescent="0.2">
      <c r="A35" s="1492">
        <f>A33+1</f>
        <v>17</v>
      </c>
      <c r="B35" s="1493" t="str">
        <f>IF(IGRF!B30="","",IGRF!B30)</f>
        <v/>
      </c>
      <c r="C35" s="1494" t="str">
        <f>IF(IGRF!C30="","",IGRF!C30)</f>
        <v/>
      </c>
      <c r="D35" s="432" t="s">
        <v>5</v>
      </c>
      <c r="E35" s="425" t="str">
        <f>IF($B35="","",COUNTIF(Penalties!$B36:$J36,E$2))</f>
        <v/>
      </c>
      <c r="F35" s="425" t="str">
        <f>IF($B35="","",COUNTIF(Penalties!$B36:$J36,F$2))</f>
        <v/>
      </c>
      <c r="G35" s="425" t="str">
        <f>IF($B35="","",COUNTIF(Penalties!$B36:$J36,G$2))</f>
        <v/>
      </c>
      <c r="H35" s="425" t="str">
        <f>IF($B35="","",COUNTIF(Penalties!$B36:$J36,H$2))</f>
        <v/>
      </c>
      <c r="I35" s="425" t="str">
        <f>IF($B35="","",COUNTIF(Penalties!$B36:$J36,I$2))</f>
        <v/>
      </c>
      <c r="J35" s="425" t="str">
        <f>IF($B35="","",COUNTIF(Penalties!$B36:$J36,J$2))</f>
        <v/>
      </c>
      <c r="K35" s="425" t="str">
        <f>IF($B35="","",COUNTIF(Penalties!$B36:$J36,K$2))</f>
        <v/>
      </c>
      <c r="L35" s="425" t="str">
        <f>IF($B35="","",COUNTIF(Penalties!$B36:$J36,L$2))</f>
        <v/>
      </c>
      <c r="M35" s="425" t="str">
        <f>IF($B35="","",COUNTIF(Penalties!$B36:$J36,M$2))</f>
        <v/>
      </c>
      <c r="N35" s="425" t="str">
        <f>IF($B35="","",COUNTIF(Penalties!$B36:$J36,N$2))</f>
        <v/>
      </c>
      <c r="O35" s="425" t="str">
        <f>IF($B35="","",COUNTIF(Penalties!$B36:$J36,O$2))</f>
        <v/>
      </c>
      <c r="P35" s="425" t="str">
        <f>IF($B35="","",COUNTIF(Penalties!$B36:$J36,P$2))</f>
        <v/>
      </c>
      <c r="Q35" s="425" t="str">
        <f>IF($B35="","",COUNTIF(Penalties!$B36:$J36,Q$2))</f>
        <v/>
      </c>
      <c r="R35" s="425" t="str">
        <f>IF($B35="","",COUNTIF(Penalties!$B36:$J36,R$2))</f>
        <v/>
      </c>
      <c r="S35" s="425"/>
      <c r="T35" s="425"/>
      <c r="U35" s="433" t="str">
        <f>IF(B35="","",SUM(E35:T35))</f>
        <v/>
      </c>
      <c r="V35" s="434" t="str">
        <f>IF(B35="","",SUM(E35:T35)*0.5)</f>
        <v/>
      </c>
      <c r="W35" s="435" t="str">
        <f>IF($B35="","",IF(Penalties!$K36=W$2,1,""))</f>
        <v/>
      </c>
      <c r="X35" s="435" t="str">
        <f>IF($B35="","",IF(Penalties!$K36=X$2,1,""))</f>
        <v/>
      </c>
      <c r="Y35" s="435" t="str">
        <f>IF($B35="","",IF(Penalties!$K36=Y$2,1,""))</f>
        <v/>
      </c>
      <c r="Z35" s="435" t="str">
        <f>IF($B35="","",IF(Penalties!$K36=Z$2,1,""))</f>
        <v/>
      </c>
      <c r="AA35" s="435" t="str">
        <f>IF($B35="","",IF(Penalties!$K36=AA$2,1,""))</f>
        <v/>
      </c>
      <c r="AB35" s="435" t="str">
        <f>IF($B35="","",IF(Penalties!$K36=AB$2,1,""))</f>
        <v/>
      </c>
      <c r="AC35" s="435" t="str">
        <f>IF($B35="","",IF(Penalties!$K36=AC$2,1,""))</f>
        <v/>
      </c>
      <c r="AD35" s="435" t="str">
        <f>IF($B35="","",IF(Penalties!$K36=AD$2,1,""))</f>
        <v/>
      </c>
      <c r="AE35" s="435" t="str">
        <f>IF($B35="","",IF(Penalties!$K36=AE$2,1,""))</f>
        <v/>
      </c>
      <c r="AF35" s="435" t="str">
        <f>IF($B35="","",IF(Penalties!$K36=AF$2,1,""))</f>
        <v/>
      </c>
      <c r="AG35" s="435" t="str">
        <f>IF($B35="","",IF(Penalties!$K36=AG$2,1,""))</f>
        <v/>
      </c>
      <c r="AH35" s="435" t="str">
        <f>IF($B35="","",IF(Penalties!$K36=AH$2,1,""))</f>
        <v/>
      </c>
      <c r="AI35" s="435" t="str">
        <f>IF($B35="","",IF(Penalties!$K36=AI$2,1,""))</f>
        <v/>
      </c>
      <c r="AJ35" s="436"/>
      <c r="AK35" s="74"/>
      <c r="AL35" s="74"/>
      <c r="AM35" s="74"/>
      <c r="AN35" s="74"/>
      <c r="AO35" s="74"/>
      <c r="AP35" s="74"/>
      <c r="AQ35" s="74"/>
      <c r="AR35" s="74"/>
      <c r="AS35" s="74"/>
      <c r="AT35" s="74"/>
      <c r="AU35" s="74"/>
      <c r="AV35" s="74"/>
      <c r="AW35" s="74"/>
      <c r="AX35" s="74"/>
    </row>
    <row r="36" spans="1:50" x14ac:dyDescent="0.2">
      <c r="A36" s="1492"/>
      <c r="B36" s="1493"/>
      <c r="C36" s="1494"/>
      <c r="D36" s="432" t="s">
        <v>21</v>
      </c>
      <c r="E36" s="425" t="str">
        <f>IF($B35="","",COUNTIF(Penalties!$AD36:$AL36,E$2))</f>
        <v/>
      </c>
      <c r="F36" s="425" t="str">
        <f>IF($B35="","",COUNTIF(Penalties!$AD36:$AL36,F$2))</f>
        <v/>
      </c>
      <c r="G36" s="425" t="str">
        <f>IF($B35="","",COUNTIF(Penalties!$AD36:$AL36,G$2))</f>
        <v/>
      </c>
      <c r="H36" s="425" t="str">
        <f>IF($B35="","",COUNTIF(Penalties!$AD36:$AL36,H$2))</f>
        <v/>
      </c>
      <c r="I36" s="425" t="str">
        <f>IF($B35="","",COUNTIF(Penalties!$AD36:$AL36,I$2))</f>
        <v/>
      </c>
      <c r="J36" s="425" t="str">
        <f>IF($B35="","",COUNTIF(Penalties!$AD36:$AL36,J$2))</f>
        <v/>
      </c>
      <c r="K36" s="425" t="str">
        <f>IF($B35="","",COUNTIF(Penalties!$AD36:$AL36,K$2))</f>
        <v/>
      </c>
      <c r="L36" s="425" t="str">
        <f>IF($B35="","",COUNTIF(Penalties!$AD36:$AL36,L$2))</f>
        <v/>
      </c>
      <c r="M36" s="425" t="str">
        <f>IF($B35="","",COUNTIF(Penalties!$AD36:$AL36,M$2))</f>
        <v/>
      </c>
      <c r="N36" s="425" t="str">
        <f>IF($B35="","",COUNTIF(Penalties!$AD36:$AL36,N$2))</f>
        <v/>
      </c>
      <c r="O36" s="425" t="str">
        <f>IF($B35="","",COUNTIF(Penalties!$AD36:$AL36,O$2))</f>
        <v/>
      </c>
      <c r="P36" s="425" t="str">
        <f>IF($B35="","",COUNTIF(Penalties!$AD36:$AL36,P$2))</f>
        <v/>
      </c>
      <c r="Q36" s="425" t="str">
        <f>IF($B35="","",COUNTIF(Penalties!$AD36:$AL36,Q$2))</f>
        <v/>
      </c>
      <c r="R36" s="425" t="str">
        <f>IF($B35="","",COUNTIF(Penalties!$AD36:$AL36,R$2))</f>
        <v/>
      </c>
      <c r="S36" s="425"/>
      <c r="T36" s="425"/>
      <c r="U36" s="433" t="str">
        <f>IF(B35="","",SUM(E36:T36))</f>
        <v/>
      </c>
      <c r="V36" s="434" t="str">
        <f>IF(B35="","",SUM(E36:T36)*0.5)</f>
        <v/>
      </c>
      <c r="W36" s="435" t="str">
        <f>IF($B35="","",IF(Penalties!$AM36=W$2,1,""))</f>
        <v/>
      </c>
      <c r="X36" s="435" t="str">
        <f>IF($B35="","",IF(Penalties!$AM36=X$2,1,""))</f>
        <v/>
      </c>
      <c r="Y36" s="435" t="str">
        <f>IF($B35="","",IF(Penalties!$AM36=Y$2,1,""))</f>
        <v/>
      </c>
      <c r="Z36" s="435" t="str">
        <f>IF($B35="","",IF(Penalties!$AM36=Z$2,1,""))</f>
        <v/>
      </c>
      <c r="AA36" s="435" t="str">
        <f>IF($B35="","",IF(Penalties!$AM36=AA$2,1,""))</f>
        <v/>
      </c>
      <c r="AB36" s="435" t="str">
        <f>IF($B35="","",IF(Penalties!$AM36=AB$2,1,""))</f>
        <v/>
      </c>
      <c r="AC36" s="435" t="str">
        <f>IF($B35="","",IF(Penalties!$AM36=AC$2,1,""))</f>
        <v/>
      </c>
      <c r="AD36" s="435" t="str">
        <f>IF($B35="","",IF(Penalties!$AM36=AD$2,1,""))</f>
        <v/>
      </c>
      <c r="AE36" s="435" t="str">
        <f>IF($B35="","",IF(Penalties!$AM36=AE$2,1,""))</f>
        <v/>
      </c>
      <c r="AF36" s="435" t="str">
        <f>IF($B35="","",IF(Penalties!$AM36=AF$2,1,""))</f>
        <v/>
      </c>
      <c r="AG36" s="435" t="str">
        <f>IF($B35="","",IF(Penalties!$AM36=AG$2,1,""))</f>
        <v/>
      </c>
      <c r="AH36" s="435" t="str">
        <f>IF($B35="","",IF(Penalties!$AM36=AH$2,1,""))</f>
        <v/>
      </c>
      <c r="AI36" s="435" t="str">
        <f>IF($B35="","",IF(Penalties!$AM36=AI$2,1,""))</f>
        <v/>
      </c>
      <c r="AJ36" s="437" t="str">
        <f>IF(SUM(X35:AI36)=0, "", IF(SUM(X35:AI35)=1, LOOKUP(1, X35:AI35, $X$2:$AI$2), LOOKUP(1, X36:AI36, $X$2:$AI$2)))</f>
        <v/>
      </c>
      <c r="AK36" s="74"/>
      <c r="AL36" s="74"/>
      <c r="AM36" s="74"/>
      <c r="AN36" s="74"/>
      <c r="AO36" s="74"/>
      <c r="AP36" s="74"/>
      <c r="AQ36" s="74"/>
      <c r="AR36" s="74"/>
      <c r="AS36" s="74"/>
      <c r="AT36" s="74"/>
      <c r="AU36" s="74"/>
      <c r="AV36" s="74"/>
      <c r="AW36" s="74"/>
      <c r="AX36" s="74"/>
    </row>
    <row r="37" spans="1:50" x14ac:dyDescent="0.2">
      <c r="A37" s="1486">
        <f>A35+1</f>
        <v>18</v>
      </c>
      <c r="B37" s="1487" t="str">
        <f>IF(IGRF!B31="","",IGRF!B31)</f>
        <v/>
      </c>
      <c r="C37" s="1488" t="str">
        <f>IF(IGRF!C31="","",IGRF!C31)</f>
        <v/>
      </c>
      <c r="D37" s="426" t="s">
        <v>5</v>
      </c>
      <c r="E37" s="426" t="str">
        <f>IF($B37="","",COUNTIF(Penalties!$B38:$J38,E$2))</f>
        <v/>
      </c>
      <c r="F37" s="426" t="str">
        <f>IF($B37="","",COUNTIF(Penalties!$B38:$J38,F$2))</f>
        <v/>
      </c>
      <c r="G37" s="426" t="str">
        <f>IF($B37="","",COUNTIF(Penalties!$B38:$J38,G$2))</f>
        <v/>
      </c>
      <c r="H37" s="426" t="str">
        <f>IF($B37="","",COUNTIF(Penalties!$B38:$J38,H$2))</f>
        <v/>
      </c>
      <c r="I37" s="426" t="str">
        <f>IF($B37="","",COUNTIF(Penalties!$B38:$J38,I$2))</f>
        <v/>
      </c>
      <c r="J37" s="426" t="str">
        <f>IF($B37="","",COUNTIF(Penalties!$B38:$J38,J$2))</f>
        <v/>
      </c>
      <c r="K37" s="426" t="str">
        <f>IF($B37="","",COUNTIF(Penalties!$B38:$J38,K$2))</f>
        <v/>
      </c>
      <c r="L37" s="426" t="str">
        <f>IF($B37="","",COUNTIF(Penalties!$B38:$J38,L$2))</f>
        <v/>
      </c>
      <c r="M37" s="426" t="str">
        <f>IF($B37="","",COUNTIF(Penalties!$B38:$J38,M$2))</f>
        <v/>
      </c>
      <c r="N37" s="426" t="str">
        <f>IF($B37="","",COUNTIF(Penalties!$B38:$J38,N$2))</f>
        <v/>
      </c>
      <c r="O37" s="426" t="str">
        <f>IF($B37="","",COUNTIF(Penalties!$B38:$J38,O$2))</f>
        <v/>
      </c>
      <c r="P37" s="426" t="str">
        <f>IF($B37="","",COUNTIF(Penalties!$B38:$J38,P$2))</f>
        <v/>
      </c>
      <c r="Q37" s="426" t="str">
        <f>IF($B37="","",COUNTIF(Penalties!$B38:$J38,Q$2))</f>
        <v/>
      </c>
      <c r="R37" s="426" t="str">
        <f>IF($B37="","",COUNTIF(Penalties!$B38:$J38,R$2))</f>
        <v/>
      </c>
      <c r="S37" s="426"/>
      <c r="T37" s="426"/>
      <c r="U37" s="438" t="str">
        <f>IF(B37="","",SUM(E37:T37))</f>
        <v/>
      </c>
      <c r="V37" s="439" t="str">
        <f>IF(B37="","",SUM(E37:T37)*0.5)</f>
        <v/>
      </c>
      <c r="W37" s="440" t="str">
        <f>IF($B37="","",IF(Penalties!$K38=W$2,1,""))</f>
        <v/>
      </c>
      <c r="X37" s="440" t="str">
        <f>IF($B37="","",IF(Penalties!$K38=X$2,1,""))</f>
        <v/>
      </c>
      <c r="Y37" s="440" t="str">
        <f>IF($B37="","",IF(Penalties!$K38=Y$2,1,""))</f>
        <v/>
      </c>
      <c r="Z37" s="440" t="str">
        <f>IF($B37="","",IF(Penalties!$K38=Z$2,1,""))</f>
        <v/>
      </c>
      <c r="AA37" s="440" t="str">
        <f>IF($B37="","",IF(Penalties!$K38=AA$2,1,""))</f>
        <v/>
      </c>
      <c r="AB37" s="440" t="str">
        <f>IF($B37="","",IF(Penalties!$K38=AB$2,1,""))</f>
        <v/>
      </c>
      <c r="AC37" s="440" t="str">
        <f>IF($B37="","",IF(Penalties!$K38=AC$2,1,""))</f>
        <v/>
      </c>
      <c r="AD37" s="440" t="str">
        <f>IF($B37="","",IF(Penalties!$K38=AD$2,1,""))</f>
        <v/>
      </c>
      <c r="AE37" s="440" t="str">
        <f>IF($B37="","",IF(Penalties!$K38=AE$2,1,""))</f>
        <v/>
      </c>
      <c r="AF37" s="440" t="str">
        <f>IF($B37="","",IF(Penalties!$K38=AF$2,1,""))</f>
        <v/>
      </c>
      <c r="AG37" s="440" t="str">
        <f>IF($B37="","",IF(Penalties!$K38=AG$2,1,""))</f>
        <v/>
      </c>
      <c r="AH37" s="440" t="str">
        <f>IF($B37="","",IF(Penalties!$K38=AH$2,1,""))</f>
        <v/>
      </c>
      <c r="AI37" s="440" t="str">
        <f>IF($B37="","",IF(Penalties!$K38=AI$2,1,""))</f>
        <v/>
      </c>
      <c r="AJ37" s="441"/>
      <c r="AK37" s="74"/>
      <c r="AL37" s="74"/>
      <c r="AM37" s="74"/>
      <c r="AN37" s="74"/>
      <c r="AO37" s="74"/>
      <c r="AP37" s="74"/>
      <c r="AQ37" s="74"/>
      <c r="AR37" s="74"/>
      <c r="AS37" s="74"/>
      <c r="AT37" s="74"/>
      <c r="AU37" s="74"/>
      <c r="AV37" s="74"/>
      <c r="AW37" s="74"/>
      <c r="AX37" s="74"/>
    </row>
    <row r="38" spans="1:50" ht="13.5" thickBot="1" x14ac:dyDescent="0.25">
      <c r="A38" s="1486"/>
      <c r="B38" s="1487"/>
      <c r="C38" s="1488"/>
      <c r="D38" s="426" t="s">
        <v>21</v>
      </c>
      <c r="E38" s="426" t="str">
        <f>IF($B37="","",COUNTIF(Penalties!$AD38:$AL38,E$2))</f>
        <v/>
      </c>
      <c r="F38" s="426" t="str">
        <f>IF($B37="","",COUNTIF(Penalties!$AD38:$AL38,F$2))</f>
        <v/>
      </c>
      <c r="G38" s="426" t="str">
        <f>IF($B37="","",COUNTIF(Penalties!$AD38:$AL38,G$2))</f>
        <v/>
      </c>
      <c r="H38" s="426" t="str">
        <f>IF($B37="","",COUNTIF(Penalties!$AD38:$AL38,H$2))</f>
        <v/>
      </c>
      <c r="I38" s="426" t="str">
        <f>IF($B37="","",COUNTIF(Penalties!$AD38:$AL38,I$2))</f>
        <v/>
      </c>
      <c r="J38" s="426" t="str">
        <f>IF($B37="","",COUNTIF(Penalties!$AD38:$AL38,J$2))</f>
        <v/>
      </c>
      <c r="K38" s="426" t="str">
        <f>IF($B37="","",COUNTIF(Penalties!$AD38:$AL38,K$2))</f>
        <v/>
      </c>
      <c r="L38" s="426" t="str">
        <f>IF($B37="","",COUNTIF(Penalties!$AD38:$AL38,L$2))</f>
        <v/>
      </c>
      <c r="M38" s="426" t="str">
        <f>IF($B37="","",COUNTIF(Penalties!$AD38:$AL38,M$2))</f>
        <v/>
      </c>
      <c r="N38" s="426" t="str">
        <f>IF($B37="","",COUNTIF(Penalties!$AD38:$AL38,N$2))</f>
        <v/>
      </c>
      <c r="O38" s="426" t="str">
        <f>IF($B37="","",COUNTIF(Penalties!$AD38:$AL38,O$2))</f>
        <v/>
      </c>
      <c r="P38" s="426" t="str">
        <f>IF($B37="","",COUNTIF(Penalties!$AD38:$AL38,P$2))</f>
        <v/>
      </c>
      <c r="Q38" s="426" t="str">
        <f>IF($B37="","",COUNTIF(Penalties!$AD38:$AL38,Q$2))</f>
        <v/>
      </c>
      <c r="R38" s="426" t="str">
        <f>IF($B37="","",COUNTIF(Penalties!$AD38:$AL38,R$2))</f>
        <v/>
      </c>
      <c r="S38" s="426"/>
      <c r="T38" s="426"/>
      <c r="U38" s="438" t="str">
        <f>IF(B37="","",SUM(E38:T38))</f>
        <v/>
      </c>
      <c r="V38" s="439" t="str">
        <f>IF(B37="","",SUM(E38:T38)*0.5)</f>
        <v/>
      </c>
      <c r="W38" s="440" t="str">
        <f>IF($B37="","",IF(Penalties!$AM38=W$2,1,""))</f>
        <v/>
      </c>
      <c r="X38" s="440" t="str">
        <f>IF($B37="","",IF(Penalties!$AM38=X$2,1,""))</f>
        <v/>
      </c>
      <c r="Y38" s="440" t="str">
        <f>IF($B37="","",IF(Penalties!$AM38=Y$2,1,""))</f>
        <v/>
      </c>
      <c r="Z38" s="440" t="str">
        <f>IF($B37="","",IF(Penalties!$AM38=Z$2,1,""))</f>
        <v/>
      </c>
      <c r="AA38" s="440" t="str">
        <f>IF($B37="","",IF(Penalties!$AM38=AA$2,1,""))</f>
        <v/>
      </c>
      <c r="AB38" s="440" t="str">
        <f>IF($B37="","",IF(Penalties!$AM38=AB$2,1,""))</f>
        <v/>
      </c>
      <c r="AC38" s="440" t="str">
        <f>IF($B37="","",IF(Penalties!$AM38=AC$2,1,""))</f>
        <v/>
      </c>
      <c r="AD38" s="440" t="str">
        <f>IF($B37="","",IF(Penalties!$AM38=AD$2,1,""))</f>
        <v/>
      </c>
      <c r="AE38" s="440" t="str">
        <f>IF($B37="","",IF(Penalties!$AM38=AE$2,1,""))</f>
        <v/>
      </c>
      <c r="AF38" s="440" t="str">
        <f>IF($B37="","",IF(Penalties!$AM38=AF$2,1,""))</f>
        <v/>
      </c>
      <c r="AG38" s="440" t="str">
        <f>IF($B37="","",IF(Penalties!$AM38=AG$2,1,""))</f>
        <v/>
      </c>
      <c r="AH38" s="440" t="str">
        <f>IF($B37="","",IF(Penalties!$AM38=AH$2,1,""))</f>
        <v/>
      </c>
      <c r="AI38" s="440" t="str">
        <f>IF($B37="","",IF(Penalties!$AM38=AI$2,1,""))</f>
        <v/>
      </c>
      <c r="AJ38" s="442" t="str">
        <f>IF(SUM(X37:AI38)=0, "", IF(SUM(X37:AI37)=1, LOOKUP(1, X37:AI37, $X$2:$AI$2), LOOKUP(1, X38:AI38, $X$2:$AI$2)))</f>
        <v/>
      </c>
      <c r="AK38" s="74"/>
      <c r="AL38" s="74"/>
      <c r="AM38" s="74"/>
      <c r="AN38" s="74"/>
      <c r="AO38" s="74"/>
      <c r="AP38" s="74"/>
      <c r="AQ38" s="74"/>
      <c r="AR38" s="74"/>
      <c r="AS38" s="74"/>
      <c r="AT38" s="74"/>
      <c r="AU38" s="74"/>
      <c r="AV38" s="74"/>
      <c r="AW38" s="74"/>
      <c r="AX38" s="74"/>
    </row>
    <row r="39" spans="1:50" x14ac:dyDescent="0.2">
      <c r="A39" s="1492">
        <f>A37+1</f>
        <v>19</v>
      </c>
      <c r="B39" s="1493" t="str">
        <f>IF(IGRF!B32="","",IGRF!B32)</f>
        <v/>
      </c>
      <c r="C39" s="1494" t="str">
        <f>IF(IGRF!C32="","",IGRF!C32)</f>
        <v/>
      </c>
      <c r="D39" s="432" t="s">
        <v>5</v>
      </c>
      <c r="E39" s="425" t="str">
        <f>IF($B39="","",COUNTIF(Penalties!$B40:$J40,E$2))</f>
        <v/>
      </c>
      <c r="F39" s="425" t="str">
        <f>IF($B39="","",COUNTIF(Penalties!$B40:$J40,F$2))</f>
        <v/>
      </c>
      <c r="G39" s="425" t="str">
        <f>IF($B39="","",COUNTIF(Penalties!$B40:$J40,G$2))</f>
        <v/>
      </c>
      <c r="H39" s="425" t="str">
        <f>IF($B39="","",COUNTIF(Penalties!$B40:$J40,H$2))</f>
        <v/>
      </c>
      <c r="I39" s="425" t="str">
        <f>IF($B39="","",COUNTIF(Penalties!$B40:$J40,I$2))</f>
        <v/>
      </c>
      <c r="J39" s="425" t="str">
        <f>IF($B39="","",COUNTIF(Penalties!$B40:$J40,J$2))</f>
        <v/>
      </c>
      <c r="K39" s="425" t="str">
        <f>IF($B39="","",COUNTIF(Penalties!$B40:$J40,K$2))</f>
        <v/>
      </c>
      <c r="L39" s="425" t="str">
        <f>IF($B39="","",COUNTIF(Penalties!$B40:$J40,L$2))</f>
        <v/>
      </c>
      <c r="M39" s="425" t="str">
        <f>IF($B39="","",COUNTIF(Penalties!$B40:$J40,M$2))</f>
        <v/>
      </c>
      <c r="N39" s="425" t="str">
        <f>IF($B39="","",COUNTIF(Penalties!$B40:$J40,N$2))</f>
        <v/>
      </c>
      <c r="O39" s="425" t="str">
        <f>IF($B39="","",COUNTIF(Penalties!$B40:$J40,O$2))</f>
        <v/>
      </c>
      <c r="P39" s="425" t="str">
        <f>IF($B39="","",COUNTIF(Penalties!$B40:$J40,P$2))</f>
        <v/>
      </c>
      <c r="Q39" s="425" t="str">
        <f>IF($B39="","",COUNTIF(Penalties!$B40:$J40,Q$2))</f>
        <v/>
      </c>
      <c r="R39" s="425" t="str">
        <f>IF($B39="","",COUNTIF(Penalties!$B40:$J40,R$2))</f>
        <v/>
      </c>
      <c r="S39" s="425"/>
      <c r="T39" s="425"/>
      <c r="U39" s="433" t="str">
        <f>IF(B39="","",SUM(E39:T39))</f>
        <v/>
      </c>
      <c r="V39" s="434" t="str">
        <f>IF(B39="","",SUM(E39:T39)*0.5)</f>
        <v/>
      </c>
      <c r="W39" s="435" t="str">
        <f>IF($B39="","",IF(Penalties!$K40=W$2,1,""))</f>
        <v/>
      </c>
      <c r="X39" s="435" t="str">
        <f>IF($B39="","",IF(Penalties!$K40=X$2,1,""))</f>
        <v/>
      </c>
      <c r="Y39" s="435" t="str">
        <f>IF($B39="","",IF(Penalties!$K40=Y$2,1,""))</f>
        <v/>
      </c>
      <c r="Z39" s="435" t="str">
        <f>IF($B39="","",IF(Penalties!$K40=Z$2,1,""))</f>
        <v/>
      </c>
      <c r="AA39" s="435" t="str">
        <f>IF($B39="","",IF(Penalties!$K40=AA$2,1,""))</f>
        <v/>
      </c>
      <c r="AB39" s="435" t="str">
        <f>IF($B39="","",IF(Penalties!$K40=AB$2,1,""))</f>
        <v/>
      </c>
      <c r="AC39" s="435" t="str">
        <f>IF($B39="","",IF(Penalties!$K40=AC$2,1,""))</f>
        <v/>
      </c>
      <c r="AD39" s="435" t="str">
        <f>IF($B39="","",IF(Penalties!$K40=AD$2,1,""))</f>
        <v/>
      </c>
      <c r="AE39" s="435" t="str">
        <f>IF($B39="","",IF(Penalties!$K40=AE$2,1,""))</f>
        <v/>
      </c>
      <c r="AF39" s="435" t="str">
        <f>IF($B39="","",IF(Penalties!$K40=AF$2,1,""))</f>
        <v/>
      </c>
      <c r="AG39" s="435" t="str">
        <f>IF($B39="","",IF(Penalties!$K40=AG$2,1,""))</f>
        <v/>
      </c>
      <c r="AH39" s="435" t="str">
        <f>IF($B39="","",IF(Penalties!$K40=AH$2,1,""))</f>
        <v/>
      </c>
      <c r="AI39" s="435" t="str">
        <f>IF($B39="","",IF(Penalties!$K40=AI$2,1,""))</f>
        <v/>
      </c>
      <c r="AJ39" s="436"/>
      <c r="AK39" s="74"/>
      <c r="AL39" s="74"/>
      <c r="AM39" s="74"/>
      <c r="AN39" s="74"/>
      <c r="AO39" s="74"/>
      <c r="AP39" s="74"/>
      <c r="AQ39" s="74"/>
      <c r="AR39" s="74"/>
      <c r="AS39" s="74"/>
      <c r="AT39" s="74"/>
      <c r="AU39" s="74"/>
      <c r="AV39" s="74"/>
      <c r="AW39" s="74"/>
      <c r="AX39" s="74"/>
    </row>
    <row r="40" spans="1:50" x14ac:dyDescent="0.2">
      <c r="A40" s="1492"/>
      <c r="B40" s="1493"/>
      <c r="C40" s="1494"/>
      <c r="D40" s="432" t="s">
        <v>21</v>
      </c>
      <c r="E40" s="425" t="str">
        <f>IF($B39="","",COUNTIF(Penalties!$AD40:$AL40,E$2))</f>
        <v/>
      </c>
      <c r="F40" s="425" t="str">
        <f>IF($B39="","",COUNTIF(Penalties!$AD40:$AL40,F$2))</f>
        <v/>
      </c>
      <c r="G40" s="425" t="str">
        <f>IF($B39="","",COUNTIF(Penalties!$AD40:$AL40,G$2))</f>
        <v/>
      </c>
      <c r="H40" s="425" t="str">
        <f>IF($B39="","",COUNTIF(Penalties!$AD40:$AL40,H$2))</f>
        <v/>
      </c>
      <c r="I40" s="425" t="str">
        <f>IF($B39="","",COUNTIF(Penalties!$AD40:$AL40,I$2))</f>
        <v/>
      </c>
      <c r="J40" s="425" t="str">
        <f>IF($B39="","",COUNTIF(Penalties!$AD40:$AL40,J$2))</f>
        <v/>
      </c>
      <c r="K40" s="425" t="str">
        <f>IF($B39="","",COUNTIF(Penalties!$AD40:$AL40,K$2))</f>
        <v/>
      </c>
      <c r="L40" s="425" t="str">
        <f>IF($B39="","",COUNTIF(Penalties!$AD40:$AL40,L$2))</f>
        <v/>
      </c>
      <c r="M40" s="425" t="str">
        <f>IF($B39="","",COUNTIF(Penalties!$AD40:$AL40,M$2))</f>
        <v/>
      </c>
      <c r="N40" s="425" t="str">
        <f>IF($B39="","",COUNTIF(Penalties!$AD40:$AL40,N$2))</f>
        <v/>
      </c>
      <c r="O40" s="425" t="str">
        <f>IF($B39="","",COUNTIF(Penalties!$AD40:$AL40,O$2))</f>
        <v/>
      </c>
      <c r="P40" s="425" t="str">
        <f>IF($B39="","",COUNTIF(Penalties!$AD40:$AL40,P$2))</f>
        <v/>
      </c>
      <c r="Q40" s="425" t="str">
        <f>IF($B39="","",COUNTIF(Penalties!$AD40:$AL40,Q$2))</f>
        <v/>
      </c>
      <c r="R40" s="425" t="str">
        <f>IF($B39="","",COUNTIF(Penalties!$AD40:$AL40,R$2))</f>
        <v/>
      </c>
      <c r="S40" s="425"/>
      <c r="T40" s="425"/>
      <c r="U40" s="433" t="str">
        <f>IF(B39="","",SUM(E40:T40))</f>
        <v/>
      </c>
      <c r="V40" s="434" t="str">
        <f>IF(B39="","",SUM(E40:T40)*0.5)</f>
        <v/>
      </c>
      <c r="W40" s="435" t="str">
        <f>IF($B39="","",IF(Penalties!$AM40=W$2,1,""))</f>
        <v/>
      </c>
      <c r="X40" s="435" t="str">
        <f>IF($B39="","",IF(Penalties!$AM40=X$2,1,""))</f>
        <v/>
      </c>
      <c r="Y40" s="435" t="str">
        <f>IF($B39="","",IF(Penalties!$AM40=Y$2,1,""))</f>
        <v/>
      </c>
      <c r="Z40" s="435" t="str">
        <f>IF($B39="","",IF(Penalties!$AM40=Z$2,1,""))</f>
        <v/>
      </c>
      <c r="AA40" s="435" t="str">
        <f>IF($B39="","",IF(Penalties!$AM40=AA$2,1,""))</f>
        <v/>
      </c>
      <c r="AB40" s="435" t="str">
        <f>IF($B39="","",IF(Penalties!$AM40=AB$2,1,""))</f>
        <v/>
      </c>
      <c r="AC40" s="435" t="str">
        <f>IF($B39="","",IF(Penalties!$AM40=AC$2,1,""))</f>
        <v/>
      </c>
      <c r="AD40" s="435" t="str">
        <f>IF($B39="","",IF(Penalties!$AM40=AD$2,1,""))</f>
        <v/>
      </c>
      <c r="AE40" s="435" t="str">
        <f>IF($B39="","",IF(Penalties!$AM40=AE$2,1,""))</f>
        <v/>
      </c>
      <c r="AF40" s="435" t="str">
        <f>IF($B39="","",IF(Penalties!$AM40=AF$2,1,""))</f>
        <v/>
      </c>
      <c r="AG40" s="435" t="str">
        <f>IF($B39="","",IF(Penalties!$AM40=AG$2,1,""))</f>
        <v/>
      </c>
      <c r="AH40" s="435" t="str">
        <f>IF($B39="","",IF(Penalties!$AM40=AH$2,1,""))</f>
        <v/>
      </c>
      <c r="AI40" s="435" t="str">
        <f>IF($B39="","",IF(Penalties!$AM40=AI$2,1,""))</f>
        <v/>
      </c>
      <c r="AJ40" s="437" t="str">
        <f>IF(SUM(X39:AI40)=0, "", IF(SUM(X39:AI39)=1, LOOKUP(1, X39:AI39, $X$2:$AI$2), LOOKUP(1, X40:AI40, $X$2:$AI$2)))</f>
        <v/>
      </c>
      <c r="AK40" s="74"/>
      <c r="AL40" s="74"/>
      <c r="AM40" s="74"/>
      <c r="AN40" s="74"/>
      <c r="AO40" s="74"/>
      <c r="AP40" s="74"/>
      <c r="AQ40" s="74"/>
      <c r="AR40" s="74"/>
      <c r="AS40" s="74"/>
      <c r="AT40" s="74"/>
      <c r="AU40" s="74"/>
      <c r="AV40" s="74"/>
      <c r="AW40" s="74"/>
      <c r="AX40" s="74"/>
    </row>
    <row r="41" spans="1:50" x14ac:dyDescent="0.2">
      <c r="A41" s="1486">
        <f>A39+1</f>
        <v>20</v>
      </c>
      <c r="B41" s="1487" t="str">
        <f>IF(IGRF!B33="","",IGRF!B33)</f>
        <v/>
      </c>
      <c r="C41" s="1488" t="str">
        <f>IF(IGRF!C33="","",IGRF!C33)</f>
        <v/>
      </c>
      <c r="D41" s="426" t="s">
        <v>5</v>
      </c>
      <c r="E41" s="426" t="str">
        <f>IF($B41="","",COUNTIF(Penalties!$B42:$J42,E$2))</f>
        <v/>
      </c>
      <c r="F41" s="426" t="str">
        <f>IF($B41="","",COUNTIF(Penalties!$B42:$J42,F$2))</f>
        <v/>
      </c>
      <c r="G41" s="426" t="str">
        <f>IF($B41="","",COUNTIF(Penalties!$B42:$J42,G$2))</f>
        <v/>
      </c>
      <c r="H41" s="426" t="str">
        <f>IF($B41="","",COUNTIF(Penalties!$B42:$J42,H$2))</f>
        <v/>
      </c>
      <c r="I41" s="426" t="str">
        <f>IF($B41="","",COUNTIF(Penalties!$B42:$J42,I$2))</f>
        <v/>
      </c>
      <c r="J41" s="426" t="str">
        <f>IF($B41="","",COUNTIF(Penalties!$B42:$J42,J$2))</f>
        <v/>
      </c>
      <c r="K41" s="426" t="str">
        <f>IF($B41="","",COUNTIF(Penalties!$B42:$J42,K$2))</f>
        <v/>
      </c>
      <c r="L41" s="426" t="str">
        <f>IF($B41="","",COUNTIF(Penalties!$B42:$J42,L$2))</f>
        <v/>
      </c>
      <c r="M41" s="426" t="str">
        <f>IF($B41="","",COUNTIF(Penalties!$B42:$J42,M$2))</f>
        <v/>
      </c>
      <c r="N41" s="426" t="str">
        <f>IF($B41="","",COUNTIF(Penalties!$B42:$J42,N$2))</f>
        <v/>
      </c>
      <c r="O41" s="426" t="str">
        <f>IF($B41="","",COUNTIF(Penalties!$B42:$J42,O$2))</f>
        <v/>
      </c>
      <c r="P41" s="426" t="str">
        <f>IF($B41="","",COUNTIF(Penalties!$B42:$J42,P$2))</f>
        <v/>
      </c>
      <c r="Q41" s="426" t="str">
        <f>IF($B41="","",COUNTIF(Penalties!$B42:$J42,Q$2))</f>
        <v/>
      </c>
      <c r="R41" s="426" t="str">
        <f>IF($B41="","",COUNTIF(Penalties!$B42:$J42,R$2))</f>
        <v/>
      </c>
      <c r="S41" s="426"/>
      <c r="T41" s="426"/>
      <c r="U41" s="438" t="str">
        <f>IF(B41="","",SUM(E41:T41))</f>
        <v/>
      </c>
      <c r="V41" s="439" t="str">
        <f>IF(B41="","",SUM(E41:T41)*0.5)</f>
        <v/>
      </c>
      <c r="W41" s="440" t="str">
        <f>IF($B41="","",IF(Penalties!$K42=W$2,1,""))</f>
        <v/>
      </c>
      <c r="X41" s="440" t="str">
        <f>IF($B41="","",IF(Penalties!$K42=X$2,1,""))</f>
        <v/>
      </c>
      <c r="Y41" s="440" t="str">
        <f>IF($B41="","",IF(Penalties!$K42=Y$2,1,""))</f>
        <v/>
      </c>
      <c r="Z41" s="440" t="str">
        <f>IF($B41="","",IF(Penalties!$K42=Z$2,1,""))</f>
        <v/>
      </c>
      <c r="AA41" s="440" t="str">
        <f>IF($B41="","",IF(Penalties!$K42=AA$2,1,""))</f>
        <v/>
      </c>
      <c r="AB41" s="440" t="str">
        <f>IF($B41="","",IF(Penalties!$K42=AB$2,1,""))</f>
        <v/>
      </c>
      <c r="AC41" s="440" t="str">
        <f>IF($B41="","",IF(Penalties!$K42=AC$2,1,""))</f>
        <v/>
      </c>
      <c r="AD41" s="440" t="str">
        <f>IF($B41="","",IF(Penalties!$K42=AD$2,1,""))</f>
        <v/>
      </c>
      <c r="AE41" s="440" t="str">
        <f>IF($B41="","",IF(Penalties!$K42=AE$2,1,""))</f>
        <v/>
      </c>
      <c r="AF41" s="440" t="str">
        <f>IF($B41="","",IF(Penalties!$K42=AF$2,1,""))</f>
        <v/>
      </c>
      <c r="AG41" s="440" t="str">
        <f>IF($B41="","",IF(Penalties!$K42=AG$2,1,""))</f>
        <v/>
      </c>
      <c r="AH41" s="440" t="str">
        <f>IF($B41="","",IF(Penalties!$K42=AH$2,1,""))</f>
        <v/>
      </c>
      <c r="AI41" s="440" t="str">
        <f>IF($B41="","",IF(Penalties!$K42=AI$2,1,""))</f>
        <v/>
      </c>
      <c r="AJ41" s="441"/>
      <c r="AK41" s="74"/>
      <c r="AL41" s="74"/>
      <c r="AM41" s="74"/>
      <c r="AN41" s="74"/>
      <c r="AO41" s="74"/>
      <c r="AP41" s="74"/>
      <c r="AQ41" s="74"/>
      <c r="AR41" s="74"/>
      <c r="AS41" s="74"/>
      <c r="AT41" s="74"/>
      <c r="AU41" s="74"/>
      <c r="AV41" s="74"/>
      <c r="AW41" s="74"/>
      <c r="AX41" s="74"/>
    </row>
    <row r="42" spans="1:50" ht="12.75" customHeight="1" thickBot="1" x14ac:dyDescent="0.25">
      <c r="A42" s="1486"/>
      <c r="B42" s="1487"/>
      <c r="C42" s="1488"/>
      <c r="D42" s="426" t="s">
        <v>21</v>
      </c>
      <c r="E42" s="426" t="str">
        <f>IF($B41="","",COUNTIF(Penalties!$AD42:$AL42,E$2))</f>
        <v/>
      </c>
      <c r="F42" s="426" t="str">
        <f>IF($B41="","",COUNTIF(Penalties!$AD42:$AL42,F$2))</f>
        <v/>
      </c>
      <c r="G42" s="426" t="str">
        <f>IF($B41="","",COUNTIF(Penalties!$AD42:$AL42,G$2))</f>
        <v/>
      </c>
      <c r="H42" s="426" t="str">
        <f>IF($B41="","",COUNTIF(Penalties!$AD42:$AL42,H$2))</f>
        <v/>
      </c>
      <c r="I42" s="426" t="str">
        <f>IF($B41="","",COUNTIF(Penalties!$AD42:$AL42,I$2))</f>
        <v/>
      </c>
      <c r="J42" s="426" t="str">
        <f>IF($B41="","",COUNTIF(Penalties!$AD42:$AL42,J$2))</f>
        <v/>
      </c>
      <c r="K42" s="426" t="str">
        <f>IF($B41="","",COUNTIF(Penalties!$AD42:$AL42,K$2))</f>
        <v/>
      </c>
      <c r="L42" s="426" t="str">
        <f>IF($B41="","",COUNTIF(Penalties!$AD42:$AL42,L$2))</f>
        <v/>
      </c>
      <c r="M42" s="426" t="str">
        <f>IF($B41="","",COUNTIF(Penalties!$AD42:$AL42,M$2))</f>
        <v/>
      </c>
      <c r="N42" s="426" t="str">
        <f>IF($B41="","",COUNTIF(Penalties!$AD42:$AL42,N$2))</f>
        <v/>
      </c>
      <c r="O42" s="426" t="str">
        <f>IF($B41="","",COUNTIF(Penalties!$AD42:$AL42,O$2))</f>
        <v/>
      </c>
      <c r="P42" s="426" t="str">
        <f>IF($B41="","",COUNTIF(Penalties!$AD42:$AL42,P$2))</f>
        <v/>
      </c>
      <c r="Q42" s="426" t="str">
        <f>IF($B41="","",COUNTIF(Penalties!$AD42:$AL42,Q$2))</f>
        <v/>
      </c>
      <c r="R42" s="426" t="str">
        <f>IF($B41="","",COUNTIF(Penalties!$AD42:$AL42,R$2))</f>
        <v/>
      </c>
      <c r="S42" s="426"/>
      <c r="T42" s="426"/>
      <c r="U42" s="438" t="str">
        <f>IF(B41="","",SUM(E42:T42))</f>
        <v/>
      </c>
      <c r="V42" s="439" t="str">
        <f>IF(B41="","",SUM(E42:T42)*0.5)</f>
        <v/>
      </c>
      <c r="W42" s="440" t="str">
        <f>IF($B41="","",IF(Penalties!$AM42=W$2,1,""))</f>
        <v/>
      </c>
      <c r="X42" s="440" t="str">
        <f>IF($B41="","",IF(Penalties!$AM42=X$2,1,""))</f>
        <v/>
      </c>
      <c r="Y42" s="440" t="str">
        <f>IF($B41="","",IF(Penalties!$AM42=Y$2,1,""))</f>
        <v/>
      </c>
      <c r="Z42" s="440" t="str">
        <f>IF($B41="","",IF(Penalties!$AM42=Z$2,1,""))</f>
        <v/>
      </c>
      <c r="AA42" s="440" t="str">
        <f>IF($B41="","",IF(Penalties!$AM42=AA$2,1,""))</f>
        <v/>
      </c>
      <c r="AB42" s="440" t="str">
        <f>IF($B41="","",IF(Penalties!$AM42=AB$2,1,""))</f>
        <v/>
      </c>
      <c r="AC42" s="440" t="str">
        <f>IF($B41="","",IF(Penalties!$AM42=AC$2,1,""))</f>
        <v/>
      </c>
      <c r="AD42" s="440" t="str">
        <f>IF($B41="","",IF(Penalties!$AM42=AD$2,1,""))</f>
        <v/>
      </c>
      <c r="AE42" s="440" t="str">
        <f>IF($B41="","",IF(Penalties!$AM42=AE$2,1,""))</f>
        <v/>
      </c>
      <c r="AF42" s="440" t="str">
        <f>IF($B41="","",IF(Penalties!$AM42=AF$2,1,""))</f>
        <v/>
      </c>
      <c r="AG42" s="440" t="str">
        <f>IF($B41="","",IF(Penalties!$AM42=AG$2,1,""))</f>
        <v/>
      </c>
      <c r="AH42" s="440" t="str">
        <f>IF($B41="","",IF(Penalties!$AM42=AH$2,1,""))</f>
        <v/>
      </c>
      <c r="AI42" s="440" t="str">
        <f>IF($B41="","",IF(Penalties!$AM42=AI$2,1,""))</f>
        <v/>
      </c>
      <c r="AJ42" s="443"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89" t="s">
        <v>283</v>
      </c>
      <c r="B43" s="1489"/>
      <c r="C43" s="1489"/>
      <c r="D43" s="444" t="s">
        <v>5</v>
      </c>
      <c r="E43" s="445"/>
      <c r="F43" s="445"/>
      <c r="G43" s="445"/>
      <c r="H43" s="445"/>
      <c r="I43" s="445"/>
      <c r="J43" s="445"/>
      <c r="K43" s="445"/>
      <c r="L43" s="445"/>
      <c r="M43" s="445"/>
      <c r="N43" s="445"/>
      <c r="O43" s="445"/>
      <c r="P43" s="445"/>
      <c r="Q43" s="445"/>
      <c r="R43" s="445"/>
      <c r="S43" s="445"/>
      <c r="T43" s="445"/>
      <c r="U43" s="438"/>
      <c r="V43" s="439"/>
      <c r="W43" s="435" t="str">
        <f>IF(Penalties!$C44=W$2,1,"")</f>
        <v/>
      </c>
      <c r="X43" s="435" t="str">
        <f>IF(Penalties!$C44=X$2,1,"")</f>
        <v/>
      </c>
      <c r="Y43" s="435" t="str">
        <f>IF(Penalties!$C44=Y$2,1,"")</f>
        <v/>
      </c>
      <c r="Z43" s="435" t="str">
        <f>IF(Penalties!$C44=Z$2,1,"")</f>
        <v/>
      </c>
      <c r="AA43" s="435" t="str">
        <f>IF(Penalties!$C44=AA$2,1,"")</f>
        <v/>
      </c>
      <c r="AB43" s="435" t="str">
        <f>IF(Penalties!$C44=AB$2,1,"")</f>
        <v/>
      </c>
      <c r="AC43" s="435" t="str">
        <f>IF(Penalties!$C44=AC$2,1,"")</f>
        <v/>
      </c>
      <c r="AD43" s="435" t="str">
        <f>IF(Penalties!$C44=AD$2,1,"")</f>
        <v/>
      </c>
      <c r="AE43" s="435" t="str">
        <f>IF(Penalties!$C44=AE$2,1,"")</f>
        <v/>
      </c>
      <c r="AF43" s="435" t="str">
        <f>IF(Penalties!$C44=AF$2,1,"")</f>
        <v/>
      </c>
      <c r="AG43" s="435" t="str">
        <f>IF(Penalties!$C44=AG$2,1,"")</f>
        <v/>
      </c>
      <c r="AH43" s="435" t="str">
        <f>IF(Penalties!$C44=AH$2,1,"")</f>
        <v/>
      </c>
      <c r="AI43" s="435" t="str">
        <f>IF(Penalties!$C44=AI$2,1,"")</f>
        <v/>
      </c>
      <c r="AJ43" s="436"/>
      <c r="AK43" s="74"/>
      <c r="AL43" s="74"/>
      <c r="AM43" s="74"/>
      <c r="AN43" s="74"/>
      <c r="AO43" s="74"/>
      <c r="AP43" s="74"/>
      <c r="AQ43" s="74"/>
      <c r="AR43" s="74"/>
      <c r="AS43" s="74"/>
      <c r="AT43" s="74"/>
      <c r="AU43" s="74"/>
      <c r="AV43" s="74"/>
      <c r="AW43" s="74"/>
      <c r="AX43" s="74"/>
    </row>
    <row r="44" spans="1:50" ht="12.75" customHeight="1" x14ac:dyDescent="0.2">
      <c r="A44" s="1489"/>
      <c r="B44" s="1489"/>
      <c r="C44" s="1489"/>
      <c r="D44" s="444" t="s">
        <v>21</v>
      </c>
      <c r="E44" s="445"/>
      <c r="F44" s="445"/>
      <c r="G44" s="445"/>
      <c r="H44" s="445"/>
      <c r="I44" s="445"/>
      <c r="J44" s="445"/>
      <c r="K44" s="445"/>
      <c r="L44" s="445"/>
      <c r="M44" s="445"/>
      <c r="N44" s="445"/>
      <c r="O44" s="445"/>
      <c r="P44" s="445"/>
      <c r="Q44" s="445"/>
      <c r="R44" s="445"/>
      <c r="S44" s="445"/>
      <c r="T44" s="445"/>
      <c r="U44" s="438"/>
      <c r="V44" s="439"/>
      <c r="W44" s="435" t="str">
        <f>IF(Penalties!$AE44=W$2,1,"")</f>
        <v/>
      </c>
      <c r="X44" s="435" t="str">
        <f>IF(Penalties!$AE44=X$2,1,"")</f>
        <v/>
      </c>
      <c r="Y44" s="435" t="str">
        <f>IF(Penalties!$AE44=Y$2,1,"")</f>
        <v/>
      </c>
      <c r="Z44" s="435" t="str">
        <f>IF(Penalties!$AE44=Z$2,1,"")</f>
        <v/>
      </c>
      <c r="AA44" s="435" t="str">
        <f>IF(Penalties!$AE44=AA$2,1,"")</f>
        <v/>
      </c>
      <c r="AB44" s="435" t="str">
        <f>IF(Penalties!$AE44=AB$2,1,"")</f>
        <v/>
      </c>
      <c r="AC44" s="435" t="str">
        <f>IF(Penalties!$AE44=AC$2,1,"")</f>
        <v/>
      </c>
      <c r="AD44" s="435" t="str">
        <f>IF(Penalties!$AE44=AD$2,1,"")</f>
        <v/>
      </c>
      <c r="AE44" s="435" t="str">
        <f>IF(Penalties!$AE44=AE$2,1,"")</f>
        <v/>
      </c>
      <c r="AF44" s="435" t="str">
        <f>IF(Penalties!$AE44=AF$2,1,"")</f>
        <v/>
      </c>
      <c r="AG44" s="435" t="str">
        <f>IF(Penalties!$AE44=AG$2,1,"")</f>
        <v/>
      </c>
      <c r="AH44" s="435" t="str">
        <f>IF(Penalties!$AE44=AH$2,1,"")</f>
        <v/>
      </c>
      <c r="AI44" s="435" t="str">
        <f>IF(Penalties!$AE44=AI$2,1,"")</f>
        <v/>
      </c>
      <c r="AJ44" s="437"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90" t="s">
        <v>283</v>
      </c>
      <c r="B45" s="1490"/>
      <c r="C45" s="1490"/>
      <c r="D45" s="426" t="s">
        <v>5</v>
      </c>
      <c r="E45" s="445"/>
      <c r="F45" s="445"/>
      <c r="G45" s="445"/>
      <c r="H45" s="445"/>
      <c r="I45" s="445"/>
      <c r="J45" s="445"/>
      <c r="K45" s="445"/>
      <c r="L45" s="445"/>
      <c r="M45" s="445"/>
      <c r="N45" s="445"/>
      <c r="O45" s="445"/>
      <c r="P45" s="445"/>
      <c r="Q45" s="445"/>
      <c r="R45" s="445"/>
      <c r="S45" s="445"/>
      <c r="T45" s="445"/>
      <c r="U45" s="438"/>
      <c r="V45" s="439"/>
      <c r="W45" s="440" t="str">
        <f>IF(Penalties!$D44=W$2,1,"")</f>
        <v/>
      </c>
      <c r="X45" s="440" t="str">
        <f>IF(Penalties!$D44=X$2,1,"")</f>
        <v/>
      </c>
      <c r="Y45" s="440" t="str">
        <f>IF(Penalties!$D44=Y$2,1,"")</f>
        <v/>
      </c>
      <c r="Z45" s="440" t="str">
        <f>IF(Penalties!$D44=Z$2,1,"")</f>
        <v/>
      </c>
      <c r="AA45" s="440" t="str">
        <f>IF(Penalties!$D44=AA$2,1,"")</f>
        <v/>
      </c>
      <c r="AB45" s="440" t="str">
        <f>IF(Penalties!$D44=AB$2,1,"")</f>
        <v/>
      </c>
      <c r="AC45" s="440" t="str">
        <f>IF(Penalties!$D44=AC$2,1,"")</f>
        <v/>
      </c>
      <c r="AD45" s="440" t="str">
        <f>IF(Penalties!$D44=AD$2,1,"")</f>
        <v/>
      </c>
      <c r="AE45" s="440" t="str">
        <f>IF(Penalties!$D44=AE$2,1,"")</f>
        <v/>
      </c>
      <c r="AF45" s="440" t="str">
        <f>IF(Penalties!$D44=AF$2,1,"")</f>
        <v/>
      </c>
      <c r="AG45" s="440" t="str">
        <f>IF(Penalties!$D44=AG$2,1,"")</f>
        <v/>
      </c>
      <c r="AH45" s="440" t="str">
        <f>IF(Penalties!$D44=AH$2,1,"")</f>
        <v/>
      </c>
      <c r="AI45" s="440" t="str">
        <f>IF(Penalties!$D44=AI$2,1,"")</f>
        <v/>
      </c>
      <c r="AJ45" s="441"/>
      <c r="AK45" s="74"/>
      <c r="AL45" s="74"/>
      <c r="AM45" s="74"/>
      <c r="AN45" s="74"/>
      <c r="AO45" s="74"/>
      <c r="AP45" s="74"/>
      <c r="AQ45" s="74"/>
      <c r="AR45" s="74"/>
      <c r="AS45" s="74"/>
      <c r="AT45" s="74"/>
      <c r="AU45" s="74"/>
      <c r="AV45" s="74"/>
      <c r="AW45" s="74"/>
      <c r="AX45" s="74"/>
    </row>
    <row r="46" spans="1:50" ht="12.75" customHeight="1" thickBot="1" x14ac:dyDescent="0.25">
      <c r="A46" s="1490"/>
      <c r="B46" s="1490"/>
      <c r="C46" s="1490"/>
      <c r="D46" s="426" t="s">
        <v>21</v>
      </c>
      <c r="E46" s="445"/>
      <c r="F46" s="445"/>
      <c r="G46" s="445"/>
      <c r="H46" s="445"/>
      <c r="I46" s="445"/>
      <c r="J46" s="445"/>
      <c r="K46" s="445"/>
      <c r="L46" s="445"/>
      <c r="M46" s="445"/>
      <c r="N46" s="445"/>
      <c r="O46" s="445"/>
      <c r="P46" s="445"/>
      <c r="Q46" s="445"/>
      <c r="R46" s="445"/>
      <c r="S46" s="445"/>
      <c r="T46" s="445"/>
      <c r="U46" s="438"/>
      <c r="V46" s="439"/>
      <c r="W46" s="440" t="str">
        <f>IF(Penalties!$AF44=W$2,1,"")</f>
        <v/>
      </c>
      <c r="X46" s="440" t="str">
        <f>IF(Penalties!$AF44=X$2,1,"")</f>
        <v/>
      </c>
      <c r="Y46" s="440" t="str">
        <f>IF(Penalties!$AF44=Y$2,1,"")</f>
        <v/>
      </c>
      <c r="Z46" s="440" t="str">
        <f>IF(Penalties!$AF44=Z$2,1,"")</f>
        <v/>
      </c>
      <c r="AA46" s="440" t="str">
        <f>IF(Penalties!$AF44=AA$2,1,"")</f>
        <v/>
      </c>
      <c r="AB46" s="440" t="str">
        <f>IF(Penalties!$AF44=AB$2,1,"")</f>
        <v/>
      </c>
      <c r="AC46" s="440" t="str">
        <f>IF(Penalties!$AF44=AC$2,1,"")</f>
        <v/>
      </c>
      <c r="AD46" s="440" t="str">
        <f>IF(Penalties!$AF44=AD$2,1,"")</f>
        <v/>
      </c>
      <c r="AE46" s="440" t="str">
        <f>IF(Penalties!$AF44=AE$2,1,"")</f>
        <v/>
      </c>
      <c r="AF46" s="440" t="str">
        <f>IF(Penalties!$AF44=AF$2,1,"")</f>
        <v/>
      </c>
      <c r="AG46" s="440" t="str">
        <f>IF(Penalties!$AF44=AG$2,1,"")</f>
        <v/>
      </c>
      <c r="AH46" s="440" t="str">
        <f>IF(Penalties!$AF44=AH$2,1,"")</f>
        <v/>
      </c>
      <c r="AI46" s="440" t="str">
        <f>IF(Penalties!$AF44=AI$2,1,"")</f>
        <v/>
      </c>
      <c r="AJ46" s="443"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91" t="s">
        <v>6</v>
      </c>
      <c r="B47" s="1491"/>
      <c r="C47" s="1491" t="s">
        <v>26</v>
      </c>
      <c r="D47" s="446" t="s">
        <v>5</v>
      </c>
      <c r="E47" s="446">
        <f t="shared" ref="E47:AG48" si="0">SUM(E3,E5,E7,E9,E11,E13,E15,E17,E19,E21,E23,E25,E27,E29,E31,E33,E35,E37,E39,E41)</f>
        <v>0</v>
      </c>
      <c r="F47" s="446">
        <f t="shared" si="0"/>
        <v>0</v>
      </c>
      <c r="G47" s="446">
        <f t="shared" si="0"/>
        <v>0</v>
      </c>
      <c r="H47" s="446">
        <f t="shared" si="0"/>
        <v>0</v>
      </c>
      <c r="I47" s="446">
        <f t="shared" si="0"/>
        <v>0</v>
      </c>
      <c r="J47" s="446">
        <f t="shared" si="0"/>
        <v>0</v>
      </c>
      <c r="K47" s="446">
        <f t="shared" si="0"/>
        <v>0</v>
      </c>
      <c r="L47" s="446">
        <f t="shared" si="0"/>
        <v>0</v>
      </c>
      <c r="M47" s="446">
        <f t="shared" si="0"/>
        <v>0</v>
      </c>
      <c r="N47" s="446">
        <f t="shared" si="0"/>
        <v>0</v>
      </c>
      <c r="O47" s="446">
        <f t="shared" si="0"/>
        <v>0</v>
      </c>
      <c r="P47" s="446">
        <f t="shared" si="0"/>
        <v>0</v>
      </c>
      <c r="Q47" s="446">
        <f t="shared" si="0"/>
        <v>0</v>
      </c>
      <c r="R47" s="446">
        <f>SUM(R3,R5,R7,R9,R11,R13,R15,R17,R19,R21,R23,R25,R27,R29,R31,R33,R35,R37,R39,R41)</f>
        <v>0</v>
      </c>
      <c r="S47" s="446">
        <f t="shared" si="0"/>
        <v>0</v>
      </c>
      <c r="T47" s="446">
        <f t="shared" si="0"/>
        <v>0</v>
      </c>
      <c r="U47" s="430">
        <f t="shared" si="0"/>
        <v>0</v>
      </c>
      <c r="V47" s="447">
        <f t="shared" si="0"/>
        <v>0</v>
      </c>
      <c r="W47" s="448">
        <f t="shared" si="0"/>
        <v>0</v>
      </c>
      <c r="X47" s="448">
        <f t="shared" si="0"/>
        <v>0</v>
      </c>
      <c r="Y47" s="448">
        <f t="shared" si="0"/>
        <v>0</v>
      </c>
      <c r="Z47" s="448">
        <f t="shared" si="0"/>
        <v>0</v>
      </c>
      <c r="AA47" s="448">
        <f t="shared" si="0"/>
        <v>0</v>
      </c>
      <c r="AB47" s="448">
        <f t="shared" si="0"/>
        <v>0</v>
      </c>
      <c r="AC47" s="448">
        <f t="shared" si="0"/>
        <v>0</v>
      </c>
      <c r="AD47" s="448">
        <f t="shared" si="0"/>
        <v>0</v>
      </c>
      <c r="AE47" s="448">
        <f t="shared" si="0"/>
        <v>0</v>
      </c>
      <c r="AF47" s="448">
        <f t="shared" si="0"/>
        <v>0</v>
      </c>
      <c r="AG47" s="448">
        <f t="shared" si="0"/>
        <v>0</v>
      </c>
      <c r="AH47" s="448">
        <f>SUM(AH3,AH5,AH7,AH9,AH11,AH13,AH15,AH17,AH19,AH21,AH23,AH25,AH27,AH29,AH31,AH33,AH35,AH37,AH39,AH41,AH43,AH45)</f>
        <v>0</v>
      </c>
      <c r="AI47" s="448">
        <f>SUM(AI3,AI5,AI7,AI9,AI11,AI13,AI15,AI17,AI19,AI21,AI23,AI25,AI27,AI29,AI31,AI33,AI35,AI37,AI39,AI41,AI43,AI45)</f>
        <v>0</v>
      </c>
      <c r="AJ47" s="449"/>
      <c r="AN47" s="74"/>
      <c r="AO47" s="74"/>
      <c r="AP47" s="74"/>
      <c r="AQ47" s="74"/>
      <c r="AR47" s="74"/>
      <c r="AS47" s="74"/>
      <c r="AT47" s="74"/>
      <c r="AU47" s="74"/>
      <c r="AV47" s="74"/>
      <c r="AW47" s="74"/>
      <c r="AX47" s="74"/>
    </row>
    <row r="48" spans="1:50" x14ac:dyDescent="0.2">
      <c r="A48" s="1491"/>
      <c r="B48" s="1491"/>
      <c r="C48" s="1491"/>
      <c r="D48" s="446" t="s">
        <v>21</v>
      </c>
      <c r="E48" s="446">
        <f t="shared" si="0"/>
        <v>0</v>
      </c>
      <c r="F48" s="446">
        <f t="shared" si="0"/>
        <v>0</v>
      </c>
      <c r="G48" s="446">
        <f t="shared" si="0"/>
        <v>0</v>
      </c>
      <c r="H48" s="446">
        <f t="shared" si="0"/>
        <v>0</v>
      </c>
      <c r="I48" s="446">
        <f t="shared" si="0"/>
        <v>0</v>
      </c>
      <c r="J48" s="446">
        <f t="shared" si="0"/>
        <v>0</v>
      </c>
      <c r="K48" s="446">
        <f t="shared" si="0"/>
        <v>0</v>
      </c>
      <c r="L48" s="446">
        <f t="shared" si="0"/>
        <v>0</v>
      </c>
      <c r="M48" s="446">
        <f t="shared" si="0"/>
        <v>0</v>
      </c>
      <c r="N48" s="446">
        <f t="shared" si="0"/>
        <v>0</v>
      </c>
      <c r="O48" s="446">
        <f t="shared" si="0"/>
        <v>0</v>
      </c>
      <c r="P48" s="446">
        <f t="shared" si="0"/>
        <v>0</v>
      </c>
      <c r="Q48" s="446">
        <f t="shared" si="0"/>
        <v>0</v>
      </c>
      <c r="R48" s="446">
        <f>SUM(R4,R6,R8,R10,R12,R14,R16,R18,R20,R22,R24,R26,R28,R30,R32,R34,R36,R38,R40,R42)</f>
        <v>0</v>
      </c>
      <c r="S48" s="446">
        <f t="shared" si="0"/>
        <v>0</v>
      </c>
      <c r="T48" s="446">
        <f t="shared" si="0"/>
        <v>0</v>
      </c>
      <c r="U48" s="430">
        <f t="shared" si="0"/>
        <v>0</v>
      </c>
      <c r="V48" s="447">
        <f t="shared" si="0"/>
        <v>0</v>
      </c>
      <c r="W48" s="448">
        <f t="shared" si="0"/>
        <v>0</v>
      </c>
      <c r="X48" s="448">
        <f t="shared" si="0"/>
        <v>0</v>
      </c>
      <c r="Y48" s="448">
        <f t="shared" si="0"/>
        <v>0</v>
      </c>
      <c r="Z48" s="448">
        <f t="shared" si="0"/>
        <v>0</v>
      </c>
      <c r="AA48" s="448">
        <f t="shared" si="0"/>
        <v>0</v>
      </c>
      <c r="AB48" s="448">
        <f t="shared" si="0"/>
        <v>0</v>
      </c>
      <c r="AC48" s="448">
        <f t="shared" si="0"/>
        <v>0</v>
      </c>
      <c r="AD48" s="448">
        <f t="shared" si="0"/>
        <v>0</v>
      </c>
      <c r="AE48" s="448">
        <f t="shared" si="0"/>
        <v>0</v>
      </c>
      <c r="AF48" s="448">
        <f t="shared" si="0"/>
        <v>0</v>
      </c>
      <c r="AG48" s="448">
        <f t="shared" si="0"/>
        <v>0</v>
      </c>
      <c r="AH48" s="448">
        <f>SUM(AH4,AH6,AH8,AH10,AH12,AH14,AH16,AH18,AH20,AH22,AH24,AH26,AH28,AH30,AH32,AH34,AH36,AH38,AH40,AH42,AH44,AH46)</f>
        <v>0</v>
      </c>
      <c r="AI48" s="448">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91"/>
      <c r="B49" s="1491"/>
      <c r="C49" s="1491"/>
      <c r="D49" s="430" t="s">
        <v>7</v>
      </c>
      <c r="E49" s="430">
        <f t="shared" ref="E49:AI49" si="1">SUM(E47,E48)</f>
        <v>0</v>
      </c>
      <c r="F49" s="430">
        <f t="shared" si="1"/>
        <v>0</v>
      </c>
      <c r="G49" s="430">
        <f t="shared" si="1"/>
        <v>0</v>
      </c>
      <c r="H49" s="430">
        <f t="shared" si="1"/>
        <v>0</v>
      </c>
      <c r="I49" s="430">
        <f t="shared" si="1"/>
        <v>0</v>
      </c>
      <c r="J49" s="430">
        <f t="shared" si="1"/>
        <v>0</v>
      </c>
      <c r="K49" s="430">
        <f t="shared" si="1"/>
        <v>0</v>
      </c>
      <c r="L49" s="430">
        <f t="shared" si="1"/>
        <v>0</v>
      </c>
      <c r="M49" s="430">
        <f t="shared" si="1"/>
        <v>0</v>
      </c>
      <c r="N49" s="430">
        <f t="shared" si="1"/>
        <v>0</v>
      </c>
      <c r="O49" s="430">
        <f t="shared" si="1"/>
        <v>0</v>
      </c>
      <c r="P49" s="430">
        <f t="shared" si="1"/>
        <v>0</v>
      </c>
      <c r="Q49" s="430">
        <f t="shared" si="1"/>
        <v>0</v>
      </c>
      <c r="R49" s="430">
        <f>SUM(R47,R48)</f>
        <v>0</v>
      </c>
      <c r="S49" s="430">
        <f t="shared" si="1"/>
        <v>0</v>
      </c>
      <c r="T49" s="430">
        <f t="shared" si="1"/>
        <v>0</v>
      </c>
      <c r="U49" s="450">
        <f t="shared" si="1"/>
        <v>0</v>
      </c>
      <c r="V49" s="451">
        <f t="shared" si="1"/>
        <v>0</v>
      </c>
      <c r="W49" s="448">
        <f t="shared" si="1"/>
        <v>0</v>
      </c>
      <c r="X49" s="448">
        <f t="shared" si="1"/>
        <v>0</v>
      </c>
      <c r="Y49" s="448">
        <f t="shared" si="1"/>
        <v>0</v>
      </c>
      <c r="Z49" s="448">
        <f t="shared" si="1"/>
        <v>0</v>
      </c>
      <c r="AA49" s="448">
        <f t="shared" si="1"/>
        <v>0</v>
      </c>
      <c r="AB49" s="448">
        <f t="shared" si="1"/>
        <v>0</v>
      </c>
      <c r="AC49" s="448">
        <f t="shared" si="1"/>
        <v>0</v>
      </c>
      <c r="AD49" s="448">
        <f t="shared" si="1"/>
        <v>0</v>
      </c>
      <c r="AE49" s="448">
        <f t="shared" si="1"/>
        <v>0</v>
      </c>
      <c r="AF49" s="448">
        <f t="shared" si="1"/>
        <v>0</v>
      </c>
      <c r="AG49" s="448">
        <f t="shared" si="1"/>
        <v>0</v>
      </c>
      <c r="AH49" s="448">
        <f>SUM(AH47,AH48)</f>
        <v>0</v>
      </c>
      <c r="AI49" s="448">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7"/>
      <c r="B54" s="427"/>
      <c r="C54" s="427"/>
      <c r="D54" s="425"/>
      <c r="E54" s="504" t="s">
        <v>314</v>
      </c>
      <c r="F54" s="505"/>
      <c r="G54" s="506"/>
      <c r="H54" s="506"/>
      <c r="I54" s="506"/>
      <c r="J54" s="428"/>
      <c r="K54" s="428"/>
      <c r="L54" s="428"/>
      <c r="M54" s="428"/>
      <c r="N54" s="428"/>
      <c r="O54" s="428"/>
      <c r="P54" s="428"/>
      <c r="Q54" s="428"/>
      <c r="R54" s="428"/>
      <c r="S54" s="428"/>
      <c r="T54" s="428"/>
      <c r="U54" s="428"/>
      <c r="V54" s="1495" t="s">
        <v>255</v>
      </c>
      <c r="W54" s="1496" t="s">
        <v>172</v>
      </c>
      <c r="X54" s="1496"/>
      <c r="Y54" s="1496"/>
      <c r="Z54" s="1496"/>
      <c r="AA54" s="1496"/>
      <c r="AB54" s="1496"/>
      <c r="AC54" s="1496"/>
      <c r="AD54" s="1496"/>
      <c r="AE54" s="1496"/>
      <c r="AF54" s="1496"/>
      <c r="AG54" s="1496"/>
      <c r="AH54" s="1496"/>
      <c r="AI54" s="1496"/>
      <c r="AJ54" s="1496"/>
      <c r="AK54" s="74"/>
      <c r="AL54" s="74"/>
      <c r="AM54" s="74"/>
      <c r="AN54" s="74"/>
      <c r="AO54" s="74"/>
      <c r="AP54" s="74"/>
      <c r="AQ54" s="74"/>
      <c r="AR54" s="74"/>
      <c r="AS54" s="74"/>
      <c r="AT54" s="74"/>
      <c r="AU54" s="74"/>
      <c r="AV54" s="74"/>
      <c r="AW54" s="74"/>
      <c r="AX54" s="74"/>
    </row>
    <row r="55" spans="1:50" ht="13.5" thickBot="1" x14ac:dyDescent="0.25">
      <c r="A55" s="429" t="s">
        <v>8</v>
      </c>
      <c r="B55" s="429" t="s">
        <v>24</v>
      </c>
      <c r="C55" s="429" t="s">
        <v>25</v>
      </c>
      <c r="D55" s="429"/>
      <c r="E55" s="429" t="s">
        <v>130</v>
      </c>
      <c r="F55" s="429" t="s">
        <v>121</v>
      </c>
      <c r="G55" s="429" t="s">
        <v>113</v>
      </c>
      <c r="H55" s="429" t="s">
        <v>124</v>
      </c>
      <c r="I55" s="429" t="s">
        <v>118</v>
      </c>
      <c r="J55" s="429" t="s">
        <v>119</v>
      </c>
      <c r="K55" s="429" t="s">
        <v>115</v>
      </c>
      <c r="L55" s="429" t="s">
        <v>126</v>
      </c>
      <c r="M55" s="429" t="s">
        <v>117</v>
      </c>
      <c r="N55" s="429" t="s">
        <v>443</v>
      </c>
      <c r="O55" s="429" t="s">
        <v>127</v>
      </c>
      <c r="P55" s="429" t="s">
        <v>116</v>
      </c>
      <c r="Q55" s="429" t="s">
        <v>129</v>
      </c>
      <c r="R55" s="429" t="s">
        <v>123</v>
      </c>
      <c r="S55" s="429"/>
      <c r="T55" s="429"/>
      <c r="U55" s="430" t="s">
        <v>7</v>
      </c>
      <c r="V55" s="1495"/>
      <c r="W55" s="431" t="s">
        <v>282</v>
      </c>
      <c r="X55" s="431" t="s">
        <v>130</v>
      </c>
      <c r="Y55" s="431" t="s">
        <v>121</v>
      </c>
      <c r="Z55" s="431" t="s">
        <v>113</v>
      </c>
      <c r="AA55" s="431" t="s">
        <v>124</v>
      </c>
      <c r="AB55" s="431" t="s">
        <v>118</v>
      </c>
      <c r="AC55" s="431" t="s">
        <v>119</v>
      </c>
      <c r="AD55" s="431" t="s">
        <v>115</v>
      </c>
      <c r="AE55" s="431" t="s">
        <v>126</v>
      </c>
      <c r="AF55" s="431" t="s">
        <v>117</v>
      </c>
      <c r="AG55" s="431" t="s">
        <v>443</v>
      </c>
      <c r="AH55" s="431" t="s">
        <v>127</v>
      </c>
      <c r="AI55" s="431" t="s">
        <v>129</v>
      </c>
      <c r="AJ55" s="431"/>
      <c r="AK55" s="74"/>
      <c r="AL55" s="74"/>
      <c r="AM55" s="74"/>
      <c r="AN55" s="74"/>
      <c r="AO55" s="74"/>
      <c r="AP55" s="74"/>
      <c r="AQ55" s="74"/>
      <c r="AR55" s="74"/>
      <c r="AS55" s="74"/>
      <c r="AT55" s="74"/>
      <c r="AU55" s="74"/>
      <c r="AV55" s="74"/>
      <c r="AW55" s="74"/>
      <c r="AX55" s="74"/>
    </row>
    <row r="56" spans="1:50" x14ac:dyDescent="0.2">
      <c r="A56" s="1492">
        <v>1</v>
      </c>
      <c r="B56" s="1493" t="str">
        <f>IF(IGRF!I14="","",IGRF!I14)</f>
        <v/>
      </c>
      <c r="C56" s="1494" t="str">
        <f>IF(IGRF!J14="","",IGRF!J14)</f>
        <v/>
      </c>
      <c r="D56" s="432" t="s">
        <v>5</v>
      </c>
      <c r="E56" s="425" t="str">
        <f>IF($B56="","",COUNTIF(Penalties!$Q4:$Y4,E$55))</f>
        <v/>
      </c>
      <c r="F56" s="425" t="str">
        <f>IF($B56="","",COUNTIF(Penalties!$Q4:$Y4,F$55))</f>
        <v/>
      </c>
      <c r="G56" s="425" t="str">
        <f>IF($B56="","",COUNTIF(Penalties!$Q4:$Y4,G$55))</f>
        <v/>
      </c>
      <c r="H56" s="425" t="str">
        <f>IF($B56="","",COUNTIF(Penalties!$Q4:$Y4,H$55))</f>
        <v/>
      </c>
      <c r="I56" s="425" t="str">
        <f>IF($B56="","",COUNTIF(Penalties!$Q4:$Y4,I$55))</f>
        <v/>
      </c>
      <c r="J56" s="425" t="str">
        <f>IF($B56="","",COUNTIF(Penalties!$Q4:$Y4,J$55))</f>
        <v/>
      </c>
      <c r="K56" s="425" t="str">
        <f>IF($B56="","",COUNTIF(Penalties!$Q4:$Y4,K$55))</f>
        <v/>
      </c>
      <c r="L56" s="425" t="str">
        <f>IF($B56="","",COUNTIF(Penalties!$Q4:$Y4,L$55))</f>
        <v/>
      </c>
      <c r="M56" s="425" t="str">
        <f>IF($B56="","",COUNTIF(Penalties!$Q4:$Y4,M$55))</f>
        <v/>
      </c>
      <c r="N56" s="425" t="str">
        <f>IF($B56="","",COUNTIF(Penalties!$Q4:$Y4,N$55))</f>
        <v/>
      </c>
      <c r="O56" s="425" t="str">
        <f>IF($B56="","",COUNTIF(Penalties!$Q4:$Y4,O$55))</f>
        <v/>
      </c>
      <c r="P56" s="425" t="str">
        <f>IF($B56="","",COUNTIF(Penalties!$Q4:$Y4,P$55))</f>
        <v/>
      </c>
      <c r="Q56" s="425" t="str">
        <f>IF($B56="","",COUNTIF(Penalties!$Q4:$Y4,Q$55))</f>
        <v/>
      </c>
      <c r="R56" s="425" t="str">
        <f>IF($B56="","",COUNTIF(Penalties!$Q4:$Y4,R$55))</f>
        <v/>
      </c>
      <c r="S56" s="425"/>
      <c r="T56" s="425"/>
      <c r="U56" s="433" t="str">
        <f>IF(B56="","",SUM(E56:T56))</f>
        <v/>
      </c>
      <c r="V56" s="434" t="str">
        <f>IF(B56="","",SUM(E56:T56)*0.5)</f>
        <v/>
      </c>
      <c r="W56" s="435" t="str">
        <f>IF($B56="","",IF(Penalties!$Z4=W$55,1,""))</f>
        <v/>
      </c>
      <c r="X56" s="435" t="str">
        <f>IF($B56="","",IF(Penalties!$Z4=X$55,1,""))</f>
        <v/>
      </c>
      <c r="Y56" s="435" t="str">
        <f>IF($B56="","",IF(Penalties!$Z4=Y$55,1,""))</f>
        <v/>
      </c>
      <c r="Z56" s="435" t="str">
        <f>IF($B56="","",IF(Penalties!$Z4=Z$55,1,""))</f>
        <v/>
      </c>
      <c r="AA56" s="435" t="str">
        <f>IF($B56="","",IF(Penalties!$Z4=AA$55,1,""))</f>
        <v/>
      </c>
      <c r="AB56" s="435" t="str">
        <f>IF($B56="","",IF(Penalties!$Z4=AB$55,1,""))</f>
        <v/>
      </c>
      <c r="AC56" s="435" t="str">
        <f>IF($B56="","",IF(Penalties!$Z4=AC$55,1,""))</f>
        <v/>
      </c>
      <c r="AD56" s="435" t="str">
        <f>IF($B56="","",IF(Penalties!$Z4=AD$55,1,""))</f>
        <v/>
      </c>
      <c r="AE56" s="435" t="str">
        <f>IF($B56="","",IF(Penalties!$Z4=AE$55,1,""))</f>
        <v/>
      </c>
      <c r="AF56" s="435" t="str">
        <f>IF($B56="","",IF(Penalties!$Z4=AF$55,1,""))</f>
        <v/>
      </c>
      <c r="AG56" s="435" t="str">
        <f>IF($B56="","",IF(Penalties!$Z4=AG$55,1,""))</f>
        <v/>
      </c>
      <c r="AH56" s="435" t="str">
        <f>IF($B56="","",IF(Penalties!$Z4=AH$55,1,""))</f>
        <v/>
      </c>
      <c r="AI56" s="435" t="str">
        <f>IF($B56="","",IF(Penalties!$Z4=AI$55,1,""))</f>
        <v/>
      </c>
      <c r="AJ56" s="436"/>
      <c r="AK56" s="74"/>
      <c r="AL56" s="74"/>
      <c r="AM56" s="74"/>
      <c r="AN56" s="74"/>
      <c r="AO56" s="74"/>
      <c r="AP56" s="74"/>
      <c r="AQ56" s="74"/>
      <c r="AR56" s="74"/>
      <c r="AS56" s="74"/>
      <c r="AT56" s="74"/>
      <c r="AU56" s="74"/>
      <c r="AV56" s="74"/>
      <c r="AW56" s="74"/>
      <c r="AX56" s="74"/>
    </row>
    <row r="57" spans="1:50" x14ac:dyDescent="0.2">
      <c r="A57" s="1492"/>
      <c r="B57" s="1493"/>
      <c r="C57" s="1494"/>
      <c r="D57" s="432" t="s">
        <v>21</v>
      </c>
      <c r="E57" s="425" t="str">
        <f>IF($B56="","",COUNTIF(Penalties!$AS4:$BA4,E$55))</f>
        <v/>
      </c>
      <c r="F57" s="425" t="str">
        <f>IF($B56="","",COUNTIF(Penalties!$AS4:$BA4,F$55))</f>
        <v/>
      </c>
      <c r="G57" s="425" t="str">
        <f>IF($B56="","",COUNTIF(Penalties!$AS4:$BA4,G$55))</f>
        <v/>
      </c>
      <c r="H57" s="425" t="str">
        <f>IF($B56="","",COUNTIF(Penalties!$AS4:$BA4,H$55))</f>
        <v/>
      </c>
      <c r="I57" s="425" t="str">
        <f>IF($B56="","",COUNTIF(Penalties!$AS4:$BA4,I$55))</f>
        <v/>
      </c>
      <c r="J57" s="425" t="str">
        <f>IF($B56="","",COUNTIF(Penalties!$AS4:$BA4,J$55))</f>
        <v/>
      </c>
      <c r="K57" s="425" t="str">
        <f>IF($B56="","",COUNTIF(Penalties!$AS4:$BA4,K$55))</f>
        <v/>
      </c>
      <c r="L57" s="425" t="str">
        <f>IF($B56="","",COUNTIF(Penalties!$AS4:$BA4,L$55))</f>
        <v/>
      </c>
      <c r="M57" s="425" t="str">
        <f>IF($B56="","",COUNTIF(Penalties!$AS4:$BA4,M$55))</f>
        <v/>
      </c>
      <c r="N57" s="425" t="str">
        <f>IF($B56="","",COUNTIF(Penalties!$AS4:$BA4,N$55))</f>
        <v/>
      </c>
      <c r="O57" s="425" t="str">
        <f>IF($B56="","",COUNTIF(Penalties!$AS4:$BA4,O$55))</f>
        <v/>
      </c>
      <c r="P57" s="425" t="str">
        <f>IF($B56="","",COUNTIF(Penalties!$AS4:$BA4,P$55))</f>
        <v/>
      </c>
      <c r="Q57" s="425" t="str">
        <f>IF($B56="","",COUNTIF(Penalties!$AS4:$BA4,Q$55))</f>
        <v/>
      </c>
      <c r="R57" s="425" t="str">
        <f>IF($B56="","",COUNTIF(Penalties!$AS4:$BA4,R$55))</f>
        <v/>
      </c>
      <c r="S57" s="425"/>
      <c r="T57" s="425"/>
      <c r="U57" s="433" t="str">
        <f>IF(B56="","",SUM(E57:T57))</f>
        <v/>
      </c>
      <c r="V57" s="434" t="str">
        <f>IF(B56="","",SUM(E57:T57)*0.5)</f>
        <v/>
      </c>
      <c r="W57" s="435" t="str">
        <f>IF($B56="","",IF(Penalties!$BB4=W$55,1,""))</f>
        <v/>
      </c>
      <c r="X57" s="435" t="str">
        <f>IF($B56="","",IF(Penalties!$BB4=X$55,1,""))</f>
        <v/>
      </c>
      <c r="Y57" s="435" t="str">
        <f>IF($B56="","",IF(Penalties!$BB4=Y$55,1,""))</f>
        <v/>
      </c>
      <c r="Z57" s="435" t="str">
        <f>IF($B56="","",IF(Penalties!$BB4=Z$55,1,""))</f>
        <v/>
      </c>
      <c r="AA57" s="435" t="str">
        <f>IF($B56="","",IF(Penalties!$BB4=AA$55,1,""))</f>
        <v/>
      </c>
      <c r="AB57" s="435" t="str">
        <f>IF($B56="","",IF(Penalties!$BB4=AB$55,1,""))</f>
        <v/>
      </c>
      <c r="AC57" s="435" t="str">
        <f>IF($B56="","",IF(Penalties!$BB4=AC$55,1,""))</f>
        <v/>
      </c>
      <c r="AD57" s="435" t="str">
        <f>IF($B56="","",IF(Penalties!$BB4=AD$55,1,""))</f>
        <v/>
      </c>
      <c r="AE57" s="435" t="str">
        <f>IF($B56="","",IF(Penalties!$BB4=AE$55,1,""))</f>
        <v/>
      </c>
      <c r="AF57" s="435" t="str">
        <f>IF($B56="","",IF(Penalties!$BB4=AF$55,1,""))</f>
        <v/>
      </c>
      <c r="AG57" s="435" t="str">
        <f>IF($B56="","",IF(Penalties!$BB4=AG$55,1,""))</f>
        <v/>
      </c>
      <c r="AH57" s="435" t="str">
        <f>IF($B56="","",IF(Penalties!$BB4=AH$55,1,""))</f>
        <v/>
      </c>
      <c r="AI57" s="435" t="str">
        <f>IF($B56="","",IF(Penalties!$BB4=AI$55,1,""))</f>
        <v/>
      </c>
      <c r="AJ57" s="437" t="str">
        <f>IF(SUM(X56:AI57)=0, "", IF(SUM(X56:AI56)=1, LOOKUP(1, X56:AI56, $X$55:$AI$55), LOOKUP(1, X57:AI57, $X$55:$AI$55)))</f>
        <v/>
      </c>
      <c r="AK57" s="74"/>
      <c r="AL57" s="74"/>
      <c r="AM57" s="74"/>
      <c r="AN57" s="74"/>
      <c r="AO57" s="74"/>
      <c r="AP57" s="74"/>
      <c r="AQ57" s="74"/>
      <c r="AR57" s="74"/>
      <c r="AS57" s="74"/>
      <c r="AT57" s="74"/>
      <c r="AU57" s="74"/>
      <c r="AV57" s="74"/>
      <c r="AW57" s="74"/>
      <c r="AX57" s="74"/>
    </row>
    <row r="58" spans="1:50" x14ac:dyDescent="0.2">
      <c r="A58" s="1486">
        <f>A56+1</f>
        <v>2</v>
      </c>
      <c r="B58" s="1487" t="str">
        <f>IF(IGRF!I15="","",IGRF!I15)</f>
        <v/>
      </c>
      <c r="C58" s="1488" t="str">
        <f>IF(IGRF!J15="","",IGRF!J15)</f>
        <v/>
      </c>
      <c r="D58" s="426" t="s">
        <v>5</v>
      </c>
      <c r="E58" s="426" t="str">
        <f>IF($B58="","",COUNTIF(Penalties!$Q6:$Y6,E$55))</f>
        <v/>
      </c>
      <c r="F58" s="426" t="str">
        <f>IF($B58="","",COUNTIF(Penalties!$Q6:$Y6,F$55))</f>
        <v/>
      </c>
      <c r="G58" s="426" t="str">
        <f>IF($B58="","",COUNTIF(Penalties!$Q6:$Y6,G$55))</f>
        <v/>
      </c>
      <c r="H58" s="426" t="str">
        <f>IF($B58="","",COUNTIF(Penalties!$Q6:$Y6,H$55))</f>
        <v/>
      </c>
      <c r="I58" s="426" t="str">
        <f>IF($B58="","",COUNTIF(Penalties!$Q6:$Y6,I$55))</f>
        <v/>
      </c>
      <c r="J58" s="426" t="str">
        <f>IF($B58="","",COUNTIF(Penalties!$Q6:$Y6,J$55))</f>
        <v/>
      </c>
      <c r="K58" s="426" t="str">
        <f>IF($B58="","",COUNTIF(Penalties!$Q6:$Y6,K$55))</f>
        <v/>
      </c>
      <c r="L58" s="426" t="str">
        <f>IF($B58="","",COUNTIF(Penalties!$Q6:$Y6,L$55))</f>
        <v/>
      </c>
      <c r="M58" s="426" t="str">
        <f>IF($B58="","",COUNTIF(Penalties!$Q6:$Y6,M$55))</f>
        <v/>
      </c>
      <c r="N58" s="426" t="str">
        <f>IF($B58="","",COUNTIF(Penalties!$Q6:$Y6,N$55))</f>
        <v/>
      </c>
      <c r="O58" s="426" t="str">
        <f>IF($B58="","",COUNTIF(Penalties!$Q6:$Y6,O$55))</f>
        <v/>
      </c>
      <c r="P58" s="426" t="str">
        <f>IF($B58="","",COUNTIF(Penalties!$Q6:$Y6,P$55))</f>
        <v/>
      </c>
      <c r="Q58" s="426" t="str">
        <f>IF($B58="","",COUNTIF(Penalties!$Q6:$Y6,Q$55))</f>
        <v/>
      </c>
      <c r="R58" s="426" t="str">
        <f>IF($B58="","",COUNTIF(Penalties!$Q6:$Y6,R$55))</f>
        <v/>
      </c>
      <c r="S58" s="426"/>
      <c r="T58" s="426"/>
      <c r="U58" s="438" t="str">
        <f>IF(B58="","",SUM(E58:T58))</f>
        <v/>
      </c>
      <c r="V58" s="439" t="str">
        <f>IF(B58="","",SUM(E58:T58)*0.5)</f>
        <v/>
      </c>
      <c r="W58" s="440" t="str">
        <f>IF($B58="","",IF(Penalties!$Z6=W$55,1,""))</f>
        <v/>
      </c>
      <c r="X58" s="440" t="str">
        <f>IF($B58="","",IF(Penalties!$Z6=X$55,1,""))</f>
        <v/>
      </c>
      <c r="Y58" s="440" t="str">
        <f>IF($B58="","",IF(Penalties!$Z6=Y$55,1,""))</f>
        <v/>
      </c>
      <c r="Z58" s="440" t="str">
        <f>IF($B58="","",IF(Penalties!$Z6=Z$55,1,""))</f>
        <v/>
      </c>
      <c r="AA58" s="440" t="str">
        <f>IF($B58="","",IF(Penalties!$Z6=AA$55,1,""))</f>
        <v/>
      </c>
      <c r="AB58" s="440" t="str">
        <f>IF($B58="","",IF(Penalties!$Z6=AB$55,1,""))</f>
        <v/>
      </c>
      <c r="AC58" s="440" t="str">
        <f>IF($B58="","",IF(Penalties!$Z6=AC$55,1,""))</f>
        <v/>
      </c>
      <c r="AD58" s="440" t="str">
        <f>IF($B58="","",IF(Penalties!$Z6=AD$55,1,""))</f>
        <v/>
      </c>
      <c r="AE58" s="440" t="str">
        <f>IF($B58="","",IF(Penalties!$Z6=AE$55,1,""))</f>
        <v/>
      </c>
      <c r="AF58" s="440" t="str">
        <f>IF($B58="","",IF(Penalties!$Z6=AF$55,1,""))</f>
        <v/>
      </c>
      <c r="AG58" s="440" t="str">
        <f>IF($B58="","",IF(Penalties!$Z6=AG$55,1,""))</f>
        <v/>
      </c>
      <c r="AH58" s="440" t="str">
        <f>IF($B58="","",IF(Penalties!$Z6=AH$55,1,""))</f>
        <v/>
      </c>
      <c r="AI58" s="440" t="str">
        <f>IF($B58="","",IF(Penalties!$Z6=AI$55,1,""))</f>
        <v/>
      </c>
      <c r="AJ58" s="441"/>
      <c r="AK58" s="74"/>
      <c r="AL58" s="74"/>
      <c r="AM58" s="74"/>
      <c r="AN58" s="74"/>
      <c r="AO58" s="74"/>
      <c r="AP58" s="74"/>
      <c r="AQ58" s="74"/>
      <c r="AR58" s="74"/>
      <c r="AS58" s="74"/>
      <c r="AT58" s="74"/>
      <c r="AU58" s="74"/>
      <c r="AV58" s="74"/>
      <c r="AW58" s="74"/>
      <c r="AX58" s="74"/>
    </row>
    <row r="59" spans="1:50" ht="13.5" thickBot="1" x14ac:dyDescent="0.25">
      <c r="A59" s="1486"/>
      <c r="B59" s="1487"/>
      <c r="C59" s="1488"/>
      <c r="D59" s="426" t="s">
        <v>21</v>
      </c>
      <c r="E59" s="426" t="str">
        <f>IF($B58="","",COUNTIF(Penalties!$AS6:$BA6,E$55))</f>
        <v/>
      </c>
      <c r="F59" s="426" t="str">
        <f>IF($B58="","",COUNTIF(Penalties!$AS6:$BA6,F$55))</f>
        <v/>
      </c>
      <c r="G59" s="426" t="str">
        <f>IF($B58="","",COUNTIF(Penalties!$AS6:$BA6,G$55))</f>
        <v/>
      </c>
      <c r="H59" s="426" t="str">
        <f>IF($B58="","",COUNTIF(Penalties!$AS6:$BA6,H$55))</f>
        <v/>
      </c>
      <c r="I59" s="426" t="str">
        <f>IF($B58="","",COUNTIF(Penalties!$AS6:$BA6,I$55))</f>
        <v/>
      </c>
      <c r="J59" s="426" t="str">
        <f>IF($B58="","",COUNTIF(Penalties!$AS6:$BA6,J$55))</f>
        <v/>
      </c>
      <c r="K59" s="426" t="str">
        <f>IF($B58="","",COUNTIF(Penalties!$AS6:$BA6,K$55))</f>
        <v/>
      </c>
      <c r="L59" s="426" t="str">
        <f>IF($B58="","",COUNTIF(Penalties!$AS6:$BA6,L$55))</f>
        <v/>
      </c>
      <c r="M59" s="426" t="str">
        <f>IF($B58="","",COUNTIF(Penalties!$AS6:$BA6,M$55))</f>
        <v/>
      </c>
      <c r="N59" s="426" t="str">
        <f>IF($B58="","",COUNTIF(Penalties!$AS6:$BA6,N$55))</f>
        <v/>
      </c>
      <c r="O59" s="426" t="str">
        <f>IF($B58="","",COUNTIF(Penalties!$AS6:$BA6,O$55))</f>
        <v/>
      </c>
      <c r="P59" s="426" t="str">
        <f>IF($B58="","",COUNTIF(Penalties!$AS6:$BA6,P$55))</f>
        <v/>
      </c>
      <c r="Q59" s="426" t="str">
        <f>IF($B58="","",COUNTIF(Penalties!$AS6:$BA6,Q$55))</f>
        <v/>
      </c>
      <c r="R59" s="426" t="str">
        <f>IF($B58="","",COUNTIF(Penalties!$AS6:$BA6,R$55))</f>
        <v/>
      </c>
      <c r="S59" s="426"/>
      <c r="T59" s="426"/>
      <c r="U59" s="438" t="str">
        <f>IF(B58="","",SUM(E59:T59))</f>
        <v/>
      </c>
      <c r="V59" s="439" t="str">
        <f>IF(B58="","",SUM(E59:T59)*0.5)</f>
        <v/>
      </c>
      <c r="W59" s="440" t="str">
        <f>IF($B58="","",IF(Penalties!$BB6=W$55,1,""))</f>
        <v/>
      </c>
      <c r="X59" s="440" t="str">
        <f>IF($B58="","",IF(Penalties!$BB6=X$55,1,""))</f>
        <v/>
      </c>
      <c r="Y59" s="440" t="str">
        <f>IF($B58="","",IF(Penalties!$BB6=Y$55,1,""))</f>
        <v/>
      </c>
      <c r="Z59" s="440" t="str">
        <f>IF($B58="","",IF(Penalties!$BB6=Z$55,1,""))</f>
        <v/>
      </c>
      <c r="AA59" s="440" t="str">
        <f>IF($B58="","",IF(Penalties!$BB6=AA$55,1,""))</f>
        <v/>
      </c>
      <c r="AB59" s="440" t="str">
        <f>IF($B58="","",IF(Penalties!$BB6=AB$55,1,""))</f>
        <v/>
      </c>
      <c r="AC59" s="440" t="str">
        <f>IF($B58="","",IF(Penalties!$BB6=AC$55,1,""))</f>
        <v/>
      </c>
      <c r="AD59" s="440" t="str">
        <f>IF($B58="","",IF(Penalties!$BB6=AD$55,1,""))</f>
        <v/>
      </c>
      <c r="AE59" s="440" t="str">
        <f>IF($B58="","",IF(Penalties!$BB6=AE$55,1,""))</f>
        <v/>
      </c>
      <c r="AF59" s="440" t="str">
        <f>IF($B58="","",IF(Penalties!$BB6=AF$55,1,""))</f>
        <v/>
      </c>
      <c r="AG59" s="440" t="str">
        <f>IF($B58="","",IF(Penalties!$BB6=AG$55,1,""))</f>
        <v/>
      </c>
      <c r="AH59" s="440" t="str">
        <f>IF($B58="","",IF(Penalties!$BB6=AH$55,1,""))</f>
        <v/>
      </c>
      <c r="AI59" s="440" t="str">
        <f>IF($B58="","",IF(Penalties!$BB6=AI$55,1,""))</f>
        <v/>
      </c>
      <c r="AJ59" s="442" t="str">
        <f>IF(SUM(X58:AI59)=0, "", IF(SUM(X58:AI58)=1, LOOKUP(1, X58:AI58, $X$55:$AI$55), LOOKUP(1, X59:AI59, $X$55:$AI$55)))</f>
        <v/>
      </c>
      <c r="AK59" s="74"/>
      <c r="AL59" s="74"/>
      <c r="AM59" s="74"/>
      <c r="AN59" s="74"/>
      <c r="AO59" s="74"/>
      <c r="AP59" s="74"/>
      <c r="AQ59" s="74"/>
      <c r="AR59" s="74"/>
      <c r="AS59" s="74"/>
      <c r="AT59" s="74"/>
      <c r="AU59" s="74"/>
      <c r="AV59" s="74"/>
      <c r="AW59" s="74"/>
      <c r="AX59" s="74"/>
    </row>
    <row r="60" spans="1:50" x14ac:dyDescent="0.2">
      <c r="A60" s="1492">
        <f>A58+1</f>
        <v>3</v>
      </c>
      <c r="B60" s="1493" t="str">
        <f>IF(IGRF!I16="","",IGRF!I16)</f>
        <v/>
      </c>
      <c r="C60" s="1494" t="str">
        <f>IF(IGRF!J16="","",IGRF!J16)</f>
        <v/>
      </c>
      <c r="D60" s="432" t="s">
        <v>5</v>
      </c>
      <c r="E60" s="425" t="str">
        <f>IF($B60="","",COUNTIF(Penalties!$Q8:$Y8,E$55))</f>
        <v/>
      </c>
      <c r="F60" s="425" t="str">
        <f>IF($B60="","",COUNTIF(Penalties!$Q8:$Y8,F$55))</f>
        <v/>
      </c>
      <c r="G60" s="425" t="str">
        <f>IF($B60="","",COUNTIF(Penalties!$Q8:$Y8,G$55))</f>
        <v/>
      </c>
      <c r="H60" s="425" t="str">
        <f>IF($B60="","",COUNTIF(Penalties!$Q8:$Y8,H$55))</f>
        <v/>
      </c>
      <c r="I60" s="425" t="str">
        <f>IF($B60="","",COUNTIF(Penalties!$Q8:$Y8,I$55))</f>
        <v/>
      </c>
      <c r="J60" s="425" t="str">
        <f>IF($B60="","",COUNTIF(Penalties!$Q8:$Y8,J$55))</f>
        <v/>
      </c>
      <c r="K60" s="425" t="str">
        <f>IF($B60="","",COUNTIF(Penalties!$Q8:$Y8,K$55))</f>
        <v/>
      </c>
      <c r="L60" s="425" t="str">
        <f>IF($B60="","",COUNTIF(Penalties!$Q8:$Y8,L$55))</f>
        <v/>
      </c>
      <c r="M60" s="425" t="str">
        <f>IF($B60="","",COUNTIF(Penalties!$Q8:$Y8,M$55))</f>
        <v/>
      </c>
      <c r="N60" s="425" t="str">
        <f>IF($B60="","",COUNTIF(Penalties!$Q8:$Y8,N$55))</f>
        <v/>
      </c>
      <c r="O60" s="425" t="str">
        <f>IF($B60="","",COUNTIF(Penalties!$Q8:$Y8,O$55))</f>
        <v/>
      </c>
      <c r="P60" s="425" t="str">
        <f>IF($B60="","",COUNTIF(Penalties!$Q8:$Y8,P$55))</f>
        <v/>
      </c>
      <c r="Q60" s="425" t="str">
        <f>IF($B60="","",COUNTIF(Penalties!$Q8:$Y8,Q$55))</f>
        <v/>
      </c>
      <c r="R60" s="425" t="str">
        <f>IF($B60="","",COUNTIF(Penalties!$Q8:$Y8,R$55))</f>
        <v/>
      </c>
      <c r="S60" s="425"/>
      <c r="T60" s="425"/>
      <c r="U60" s="433" t="str">
        <f>IF(B60="","",SUM(E60:T60))</f>
        <v/>
      </c>
      <c r="V60" s="434" t="str">
        <f>IF(B60="","",SUM(E60:T60)*0.5)</f>
        <v/>
      </c>
      <c r="W60" s="435" t="str">
        <f>IF($B60="","",IF(Penalties!$Z8=W$55,1,""))</f>
        <v/>
      </c>
      <c r="X60" s="435" t="str">
        <f>IF($B60="","",IF(Penalties!$Z8=X$55,1,""))</f>
        <v/>
      </c>
      <c r="Y60" s="435" t="str">
        <f>IF($B60="","",IF(Penalties!$Z8=Y$55,1,""))</f>
        <v/>
      </c>
      <c r="Z60" s="435" t="str">
        <f>IF($B60="","",IF(Penalties!$Z8=Z$55,1,""))</f>
        <v/>
      </c>
      <c r="AA60" s="435" t="str">
        <f>IF($B60="","",IF(Penalties!$Z8=AA$55,1,""))</f>
        <v/>
      </c>
      <c r="AB60" s="435" t="str">
        <f>IF($B60="","",IF(Penalties!$Z8=AB$55,1,""))</f>
        <v/>
      </c>
      <c r="AC60" s="435" t="str">
        <f>IF($B60="","",IF(Penalties!$Z8=AC$55,1,""))</f>
        <v/>
      </c>
      <c r="AD60" s="435" t="str">
        <f>IF($B60="","",IF(Penalties!$Z8=AD$55,1,""))</f>
        <v/>
      </c>
      <c r="AE60" s="435" t="str">
        <f>IF($B60="","",IF(Penalties!$Z8=AE$55,1,""))</f>
        <v/>
      </c>
      <c r="AF60" s="435" t="str">
        <f>IF($B60="","",IF(Penalties!$Z8=AF$55,1,""))</f>
        <v/>
      </c>
      <c r="AG60" s="435" t="str">
        <f>IF($B60="","",IF(Penalties!$Z8=AG$55,1,""))</f>
        <v/>
      </c>
      <c r="AH60" s="435" t="str">
        <f>IF($B60="","",IF(Penalties!$Z8=AH$55,1,""))</f>
        <v/>
      </c>
      <c r="AI60" s="435" t="str">
        <f>IF($B60="","",IF(Penalties!$Z8=AI$55,1,""))</f>
        <v/>
      </c>
      <c r="AJ60" s="436"/>
      <c r="AK60" s="74"/>
      <c r="AL60" s="74"/>
      <c r="AM60" s="74"/>
      <c r="AN60" s="74"/>
      <c r="AO60" s="74"/>
      <c r="AP60" s="74"/>
      <c r="AQ60" s="74"/>
      <c r="AR60" s="74"/>
      <c r="AS60" s="74"/>
      <c r="AT60" s="74"/>
      <c r="AU60" s="74"/>
      <c r="AV60" s="74"/>
      <c r="AW60" s="74"/>
      <c r="AX60" s="74"/>
    </row>
    <row r="61" spans="1:50" x14ac:dyDescent="0.2">
      <c r="A61" s="1492"/>
      <c r="B61" s="1493"/>
      <c r="C61" s="1494"/>
      <c r="D61" s="432" t="s">
        <v>21</v>
      </c>
      <c r="E61" s="425" t="str">
        <f>IF($B60="","",COUNTIF(Penalties!$AS8:$BA8,E$55))</f>
        <v/>
      </c>
      <c r="F61" s="425" t="str">
        <f>IF($B60="","",COUNTIF(Penalties!$AS8:$BA8,F$55))</f>
        <v/>
      </c>
      <c r="G61" s="425" t="str">
        <f>IF($B60="","",COUNTIF(Penalties!$AS8:$BA8,G$55))</f>
        <v/>
      </c>
      <c r="H61" s="425" t="str">
        <f>IF($B60="","",COUNTIF(Penalties!$AS8:$BA8,H$55))</f>
        <v/>
      </c>
      <c r="I61" s="425" t="str">
        <f>IF($B60="","",COUNTIF(Penalties!$AS8:$BA8,I$55))</f>
        <v/>
      </c>
      <c r="J61" s="425" t="str">
        <f>IF($B60="","",COUNTIF(Penalties!$AS8:$BA8,J$55))</f>
        <v/>
      </c>
      <c r="K61" s="425" t="str">
        <f>IF($B60="","",COUNTIF(Penalties!$AS8:$BA8,K$55))</f>
        <v/>
      </c>
      <c r="L61" s="425" t="str">
        <f>IF($B60="","",COUNTIF(Penalties!$AS8:$BA8,L$55))</f>
        <v/>
      </c>
      <c r="M61" s="425" t="str">
        <f>IF($B60="","",COUNTIF(Penalties!$AS8:$BA8,M$55))</f>
        <v/>
      </c>
      <c r="N61" s="425" t="str">
        <f>IF($B60="","",COUNTIF(Penalties!$AS8:$BA8,N$55))</f>
        <v/>
      </c>
      <c r="O61" s="425" t="str">
        <f>IF($B60="","",COUNTIF(Penalties!$AS8:$BA8,O$55))</f>
        <v/>
      </c>
      <c r="P61" s="425" t="str">
        <f>IF($B60="","",COUNTIF(Penalties!$AS8:$BA8,P$55))</f>
        <v/>
      </c>
      <c r="Q61" s="425" t="str">
        <f>IF($B60="","",COUNTIF(Penalties!$AS8:$BA8,Q$55))</f>
        <v/>
      </c>
      <c r="R61" s="425" t="str">
        <f>IF($B60="","",COUNTIF(Penalties!$AS8:$BA8,R$55))</f>
        <v/>
      </c>
      <c r="S61" s="425"/>
      <c r="T61" s="425"/>
      <c r="U61" s="433" t="str">
        <f>IF(B60="","",SUM(E61:T61))</f>
        <v/>
      </c>
      <c r="V61" s="434" t="str">
        <f>IF(B60="","",SUM(E61:T61)*0.5)</f>
        <v/>
      </c>
      <c r="W61" s="435" t="str">
        <f>IF($B60="","",IF(Penalties!$BB8=W$55,1,""))</f>
        <v/>
      </c>
      <c r="X61" s="435" t="str">
        <f>IF($B60="","",IF(Penalties!$BB8=X$55,1,""))</f>
        <v/>
      </c>
      <c r="Y61" s="435" t="str">
        <f>IF($B60="","",IF(Penalties!$BB8=Y$55,1,""))</f>
        <v/>
      </c>
      <c r="Z61" s="435" t="str">
        <f>IF($B60="","",IF(Penalties!$BB8=Z$55,1,""))</f>
        <v/>
      </c>
      <c r="AA61" s="435" t="str">
        <f>IF($B60="","",IF(Penalties!$BB8=AA$55,1,""))</f>
        <v/>
      </c>
      <c r="AB61" s="435" t="str">
        <f>IF($B60="","",IF(Penalties!$BB8=AB$55,1,""))</f>
        <v/>
      </c>
      <c r="AC61" s="435" t="str">
        <f>IF($B60="","",IF(Penalties!$BB8=AC$55,1,""))</f>
        <v/>
      </c>
      <c r="AD61" s="435" t="str">
        <f>IF($B60="","",IF(Penalties!$BB8=AD$55,1,""))</f>
        <v/>
      </c>
      <c r="AE61" s="435" t="str">
        <f>IF($B60="","",IF(Penalties!$BB8=AE$55,1,""))</f>
        <v/>
      </c>
      <c r="AF61" s="435" t="str">
        <f>IF($B60="","",IF(Penalties!$BB8=AF$55,1,""))</f>
        <v/>
      </c>
      <c r="AG61" s="435" t="str">
        <f>IF($B60="","",IF(Penalties!$BB8=AG$55,1,""))</f>
        <v/>
      </c>
      <c r="AH61" s="435" t="str">
        <f>IF($B60="","",IF(Penalties!$BB8=AH$55,1,""))</f>
        <v/>
      </c>
      <c r="AI61" s="435" t="str">
        <f>IF($B60="","",IF(Penalties!$BB8=AI$55,1,""))</f>
        <v/>
      </c>
      <c r="AJ61" s="437" t="str">
        <f>IF(SUM(X60:AI61)=0, "", IF(SUM(X60:AI60)=1, LOOKUP(1, X60:AI60, $X$55:$AI$55), LOOKUP(1, X61:AI61, $X$55:$AI$55)))</f>
        <v/>
      </c>
      <c r="AK61" s="74"/>
      <c r="AL61" s="74"/>
      <c r="AM61" s="74"/>
      <c r="AN61" s="74"/>
      <c r="AO61" s="74"/>
      <c r="AP61" s="74"/>
      <c r="AQ61" s="74"/>
      <c r="AR61" s="74"/>
      <c r="AS61" s="74"/>
      <c r="AT61" s="74"/>
      <c r="AU61" s="74"/>
      <c r="AV61" s="74"/>
      <c r="AW61" s="74"/>
      <c r="AX61" s="74"/>
    </row>
    <row r="62" spans="1:50" x14ac:dyDescent="0.2">
      <c r="A62" s="1486">
        <f>A60+1</f>
        <v>4</v>
      </c>
      <c r="B62" s="1487" t="str">
        <f>IF(IGRF!I17="","",IGRF!I17)</f>
        <v/>
      </c>
      <c r="C62" s="1488" t="str">
        <f>IF(IGRF!J17="","",IGRF!J17)</f>
        <v/>
      </c>
      <c r="D62" s="426" t="s">
        <v>5</v>
      </c>
      <c r="E62" s="426" t="str">
        <f>IF($B62="","",COUNTIF(Penalties!$Q10:$Y10,E$55))</f>
        <v/>
      </c>
      <c r="F62" s="426" t="str">
        <f>IF($B62="","",COUNTIF(Penalties!$Q10:$Y10,F$55))</f>
        <v/>
      </c>
      <c r="G62" s="426" t="str">
        <f>IF($B62="","",COUNTIF(Penalties!$Q10:$Y10,G$55))</f>
        <v/>
      </c>
      <c r="H62" s="426" t="str">
        <f>IF($B62="","",COUNTIF(Penalties!$Q10:$Y10,H$55))</f>
        <v/>
      </c>
      <c r="I62" s="426" t="str">
        <f>IF($B62="","",COUNTIF(Penalties!$Q10:$Y10,I$55))</f>
        <v/>
      </c>
      <c r="J62" s="426" t="str">
        <f>IF($B62="","",COUNTIF(Penalties!$Q10:$Y10,J$55))</f>
        <v/>
      </c>
      <c r="K62" s="426" t="str">
        <f>IF($B62="","",COUNTIF(Penalties!$Q10:$Y10,K$55))</f>
        <v/>
      </c>
      <c r="L62" s="426" t="str">
        <f>IF($B62="","",COUNTIF(Penalties!$Q10:$Y10,L$55))</f>
        <v/>
      </c>
      <c r="M62" s="426" t="str">
        <f>IF($B62="","",COUNTIF(Penalties!$Q10:$Y10,M$55))</f>
        <v/>
      </c>
      <c r="N62" s="426" t="str">
        <f>IF($B62="","",COUNTIF(Penalties!$Q10:$Y10,N$55))</f>
        <v/>
      </c>
      <c r="O62" s="426" t="str">
        <f>IF($B62="","",COUNTIF(Penalties!$Q10:$Y10,O$55))</f>
        <v/>
      </c>
      <c r="P62" s="426" t="str">
        <f>IF($B62="","",COUNTIF(Penalties!$Q10:$Y10,P$55))</f>
        <v/>
      </c>
      <c r="Q62" s="426" t="str">
        <f>IF($B62="","",COUNTIF(Penalties!$Q10:$Y10,Q$55))</f>
        <v/>
      </c>
      <c r="R62" s="426" t="str">
        <f>IF($B62="","",COUNTIF(Penalties!$Q10:$Y10,R$55))</f>
        <v/>
      </c>
      <c r="S62" s="426"/>
      <c r="T62" s="426"/>
      <c r="U62" s="438" t="str">
        <f>IF(B62="","",SUM(E62:T62))</f>
        <v/>
      </c>
      <c r="V62" s="439" t="str">
        <f>IF(B62="","",SUM(E62:T62)*0.5)</f>
        <v/>
      </c>
      <c r="W62" s="440" t="str">
        <f>IF($B62="","",IF(Penalties!$Z10=W$55,1,""))</f>
        <v/>
      </c>
      <c r="X62" s="440" t="str">
        <f>IF($B62="","",IF(Penalties!$Z10=X$55,1,""))</f>
        <v/>
      </c>
      <c r="Y62" s="440" t="str">
        <f>IF($B62="","",IF(Penalties!$Z10=Y$55,1,""))</f>
        <v/>
      </c>
      <c r="Z62" s="440" t="str">
        <f>IF($B62="","",IF(Penalties!$Z10=Z$55,1,""))</f>
        <v/>
      </c>
      <c r="AA62" s="440" t="str">
        <f>IF($B62="","",IF(Penalties!$Z10=AA$55,1,""))</f>
        <v/>
      </c>
      <c r="AB62" s="440" t="str">
        <f>IF($B62="","",IF(Penalties!$Z10=AB$55,1,""))</f>
        <v/>
      </c>
      <c r="AC62" s="440" t="str">
        <f>IF($B62="","",IF(Penalties!$Z10=AC$55,1,""))</f>
        <v/>
      </c>
      <c r="AD62" s="440" t="str">
        <f>IF($B62="","",IF(Penalties!$Z10=AD$55,1,""))</f>
        <v/>
      </c>
      <c r="AE62" s="440" t="str">
        <f>IF($B62="","",IF(Penalties!$Z10=AE$55,1,""))</f>
        <v/>
      </c>
      <c r="AF62" s="440" t="str">
        <f>IF($B62="","",IF(Penalties!$Z10=AF$55,1,""))</f>
        <v/>
      </c>
      <c r="AG62" s="440" t="str">
        <f>IF($B62="","",IF(Penalties!$Z10=AG$55,1,""))</f>
        <v/>
      </c>
      <c r="AH62" s="440" t="str">
        <f>IF($B62="","",IF(Penalties!$Z10=AH$55,1,""))</f>
        <v/>
      </c>
      <c r="AI62" s="440" t="str">
        <f>IF($B62="","",IF(Penalties!$Z10=AI$55,1,""))</f>
        <v/>
      </c>
      <c r="AJ62" s="441"/>
      <c r="AK62" s="74"/>
      <c r="AL62" s="74"/>
      <c r="AM62" s="74"/>
      <c r="AN62" s="74"/>
      <c r="AO62" s="74"/>
      <c r="AP62" s="74"/>
      <c r="AQ62" s="74"/>
      <c r="AR62" s="74"/>
      <c r="AS62" s="74"/>
      <c r="AT62" s="74"/>
      <c r="AU62" s="74"/>
      <c r="AV62" s="74"/>
      <c r="AW62" s="74"/>
      <c r="AX62" s="74"/>
    </row>
    <row r="63" spans="1:50" ht="13.5" thickBot="1" x14ac:dyDescent="0.25">
      <c r="A63" s="1486"/>
      <c r="B63" s="1487"/>
      <c r="C63" s="1488"/>
      <c r="D63" s="426" t="s">
        <v>21</v>
      </c>
      <c r="E63" s="426" t="str">
        <f>IF($B62="","",COUNTIF(Penalties!$AS10:$BA10,E$55))</f>
        <v/>
      </c>
      <c r="F63" s="426" t="str">
        <f>IF($B62="","",COUNTIF(Penalties!$AS10:$BA10,F$55))</f>
        <v/>
      </c>
      <c r="G63" s="426" t="str">
        <f>IF($B62="","",COUNTIF(Penalties!$AS10:$BA10,G$55))</f>
        <v/>
      </c>
      <c r="H63" s="426" t="str">
        <f>IF($B62="","",COUNTIF(Penalties!$AS10:$BA10,H$55))</f>
        <v/>
      </c>
      <c r="I63" s="426" t="str">
        <f>IF($B62="","",COUNTIF(Penalties!$AS10:$BA10,I$55))</f>
        <v/>
      </c>
      <c r="J63" s="426" t="str">
        <f>IF($B62="","",COUNTIF(Penalties!$AS10:$BA10,J$55))</f>
        <v/>
      </c>
      <c r="K63" s="426" t="str">
        <f>IF($B62="","",COUNTIF(Penalties!$AS10:$BA10,K$55))</f>
        <v/>
      </c>
      <c r="L63" s="426" t="str">
        <f>IF($B62="","",COUNTIF(Penalties!$AS10:$BA10,L$55))</f>
        <v/>
      </c>
      <c r="M63" s="426" t="str">
        <f>IF($B62="","",COUNTIF(Penalties!$AS10:$BA10,M$55))</f>
        <v/>
      </c>
      <c r="N63" s="426" t="str">
        <f>IF($B62="","",COUNTIF(Penalties!$AS10:$BA10,N$55))</f>
        <v/>
      </c>
      <c r="O63" s="426" t="str">
        <f>IF($B62="","",COUNTIF(Penalties!$AS10:$BA10,O$55))</f>
        <v/>
      </c>
      <c r="P63" s="426" t="str">
        <f>IF($B62="","",COUNTIF(Penalties!$AS10:$BA10,P$55))</f>
        <v/>
      </c>
      <c r="Q63" s="426" t="str">
        <f>IF($B62="","",COUNTIF(Penalties!$AS10:$BA10,Q$55))</f>
        <v/>
      </c>
      <c r="R63" s="426" t="str">
        <f>IF($B62="","",COUNTIF(Penalties!$AS10:$BA10,R$55))</f>
        <v/>
      </c>
      <c r="S63" s="426"/>
      <c r="T63" s="426"/>
      <c r="U63" s="438" t="str">
        <f>IF(B62="","",SUM(E63:T63))</f>
        <v/>
      </c>
      <c r="V63" s="439" t="str">
        <f>IF(B62="","",SUM(E63:T63)*0.5)</f>
        <v/>
      </c>
      <c r="W63" s="440" t="str">
        <f>IF($B62="","",IF(Penalties!$BB10=W$55,1,""))</f>
        <v/>
      </c>
      <c r="X63" s="440" t="str">
        <f>IF($B62="","",IF(Penalties!$BB10=X$55,1,""))</f>
        <v/>
      </c>
      <c r="Y63" s="440" t="str">
        <f>IF($B62="","",IF(Penalties!$BB10=Y$55,1,""))</f>
        <v/>
      </c>
      <c r="Z63" s="440" t="str">
        <f>IF($B62="","",IF(Penalties!$BB10=Z$55,1,""))</f>
        <v/>
      </c>
      <c r="AA63" s="440" t="str">
        <f>IF($B62="","",IF(Penalties!$BB10=AA$55,1,""))</f>
        <v/>
      </c>
      <c r="AB63" s="440" t="str">
        <f>IF($B62="","",IF(Penalties!$BB10=AB$55,1,""))</f>
        <v/>
      </c>
      <c r="AC63" s="440" t="str">
        <f>IF($B62="","",IF(Penalties!$BB10=AC$55,1,""))</f>
        <v/>
      </c>
      <c r="AD63" s="440" t="str">
        <f>IF($B62="","",IF(Penalties!$BB10=AD$55,1,""))</f>
        <v/>
      </c>
      <c r="AE63" s="440" t="str">
        <f>IF($B62="","",IF(Penalties!$BB10=AE$55,1,""))</f>
        <v/>
      </c>
      <c r="AF63" s="440" t="str">
        <f>IF($B62="","",IF(Penalties!$BB10=AF$55,1,""))</f>
        <v/>
      </c>
      <c r="AG63" s="440" t="str">
        <f>IF($B62="","",IF(Penalties!$BB10=AG$55,1,""))</f>
        <v/>
      </c>
      <c r="AH63" s="440" t="str">
        <f>IF($B62="","",IF(Penalties!$BB10=AH$55,1,""))</f>
        <v/>
      </c>
      <c r="AI63" s="440" t="str">
        <f>IF($B62="","",IF(Penalties!$BB10=AI$55,1,""))</f>
        <v/>
      </c>
      <c r="AJ63" s="442" t="str">
        <f>IF(SUM(X62:AI63)=0, "", IF(SUM(X62:AI62)=1, LOOKUP(1, X62:AI62, $X$55:$AI$55), LOOKUP(1, X63:AI63, $X$55:$AI$55)))</f>
        <v/>
      </c>
      <c r="AK63" s="74"/>
      <c r="AL63" s="74"/>
      <c r="AM63" s="74"/>
      <c r="AN63" s="74"/>
      <c r="AO63" s="74"/>
      <c r="AP63" s="74"/>
      <c r="AQ63" s="74"/>
      <c r="AR63" s="74"/>
      <c r="AS63" s="74"/>
      <c r="AT63" s="74"/>
      <c r="AU63" s="74"/>
      <c r="AV63" s="74"/>
      <c r="AW63" s="74"/>
      <c r="AX63" s="74"/>
    </row>
    <row r="64" spans="1:50" x14ac:dyDescent="0.2">
      <c r="A64" s="1492">
        <f>A62+1</f>
        <v>5</v>
      </c>
      <c r="B64" s="1493" t="str">
        <f>IF(IGRF!I18="","",IGRF!I18)</f>
        <v/>
      </c>
      <c r="C64" s="1494" t="str">
        <f>IF(IGRF!J18="","",IGRF!J18)</f>
        <v/>
      </c>
      <c r="D64" s="432" t="s">
        <v>5</v>
      </c>
      <c r="E64" s="425" t="str">
        <f>IF($B64="","",COUNTIF(Penalties!$Q12:$Y12,E$55))</f>
        <v/>
      </c>
      <c r="F64" s="425" t="str">
        <f>IF($B64="","",COUNTIF(Penalties!$Q12:$Y12,F$55))</f>
        <v/>
      </c>
      <c r="G64" s="425" t="str">
        <f>IF($B64="","",COUNTIF(Penalties!$Q12:$Y12,G$55))</f>
        <v/>
      </c>
      <c r="H64" s="425" t="str">
        <f>IF($B64="","",COUNTIF(Penalties!$Q12:$Y12,H$55))</f>
        <v/>
      </c>
      <c r="I64" s="425" t="str">
        <f>IF($B64="","",COUNTIF(Penalties!$Q12:$Y12,I$55))</f>
        <v/>
      </c>
      <c r="J64" s="425" t="str">
        <f>IF($B64="","",COUNTIF(Penalties!$Q12:$Y12,J$55))</f>
        <v/>
      </c>
      <c r="K64" s="425" t="str">
        <f>IF($B64="","",COUNTIF(Penalties!$Q12:$Y12,K$55))</f>
        <v/>
      </c>
      <c r="L64" s="425" t="str">
        <f>IF($B64="","",COUNTIF(Penalties!$Q12:$Y12,L$55))</f>
        <v/>
      </c>
      <c r="M64" s="425" t="str">
        <f>IF($B64="","",COUNTIF(Penalties!$Q12:$Y12,M$55))</f>
        <v/>
      </c>
      <c r="N64" s="425" t="str">
        <f>IF($B64="","",COUNTIF(Penalties!$Q12:$Y12,N$55))</f>
        <v/>
      </c>
      <c r="O64" s="425" t="str">
        <f>IF($B64="","",COUNTIF(Penalties!$Q12:$Y12,O$55))</f>
        <v/>
      </c>
      <c r="P64" s="425" t="str">
        <f>IF($B64="","",COUNTIF(Penalties!$Q12:$Y12,P$55))</f>
        <v/>
      </c>
      <c r="Q64" s="425" t="str">
        <f>IF($B64="","",COUNTIF(Penalties!$Q12:$Y12,Q$55))</f>
        <v/>
      </c>
      <c r="R64" s="425" t="str">
        <f>IF($B64="","",COUNTIF(Penalties!$Q12:$Y12,R$55))</f>
        <v/>
      </c>
      <c r="S64" s="425"/>
      <c r="T64" s="425"/>
      <c r="U64" s="433" t="str">
        <f>IF(B64="","",SUM(E64:T64))</f>
        <v/>
      </c>
      <c r="V64" s="434" t="str">
        <f>IF(B64="","",SUM(E64:T64)*0.5)</f>
        <v/>
      </c>
      <c r="W64" s="435" t="str">
        <f>IF($B64="","",IF(Penalties!$Z12=W$55,1,""))</f>
        <v/>
      </c>
      <c r="X64" s="435" t="str">
        <f>IF($B64="","",IF(Penalties!$Z12=X$55,1,""))</f>
        <v/>
      </c>
      <c r="Y64" s="435" t="str">
        <f>IF($B64="","",IF(Penalties!$Z12=Y$55,1,""))</f>
        <v/>
      </c>
      <c r="Z64" s="435" t="str">
        <f>IF($B64="","",IF(Penalties!$Z12=Z$55,1,""))</f>
        <v/>
      </c>
      <c r="AA64" s="435" t="str">
        <f>IF($B64="","",IF(Penalties!$Z12=AA$55,1,""))</f>
        <v/>
      </c>
      <c r="AB64" s="435" t="str">
        <f>IF($B64="","",IF(Penalties!$Z12=AB$55,1,""))</f>
        <v/>
      </c>
      <c r="AC64" s="435" t="str">
        <f>IF($B64="","",IF(Penalties!$Z12=AC$55,1,""))</f>
        <v/>
      </c>
      <c r="AD64" s="435" t="str">
        <f>IF($B64="","",IF(Penalties!$Z12=AD$55,1,""))</f>
        <v/>
      </c>
      <c r="AE64" s="435" t="str">
        <f>IF($B64="","",IF(Penalties!$Z12=AE$55,1,""))</f>
        <v/>
      </c>
      <c r="AF64" s="435" t="str">
        <f>IF($B64="","",IF(Penalties!$Z12=AF$55,1,""))</f>
        <v/>
      </c>
      <c r="AG64" s="435" t="str">
        <f>IF($B64="","",IF(Penalties!$Z12=AG$55,1,""))</f>
        <v/>
      </c>
      <c r="AH64" s="435" t="str">
        <f>IF($B64="","",IF(Penalties!$Z12=AH$55,1,""))</f>
        <v/>
      </c>
      <c r="AI64" s="435" t="str">
        <f>IF($B64="","",IF(Penalties!$Z12=AI$55,1,""))</f>
        <v/>
      </c>
      <c r="AJ64" s="436"/>
      <c r="AK64" s="74"/>
      <c r="AL64" s="74"/>
      <c r="AM64" s="74"/>
      <c r="AN64" s="74"/>
      <c r="AO64" s="74"/>
      <c r="AP64" s="74"/>
      <c r="AQ64" s="74"/>
      <c r="AR64" s="74"/>
      <c r="AS64" s="74"/>
      <c r="AT64" s="74"/>
      <c r="AU64" s="74"/>
      <c r="AV64" s="74"/>
      <c r="AW64" s="74"/>
      <c r="AX64" s="74"/>
    </row>
    <row r="65" spans="1:50" x14ac:dyDescent="0.2">
      <c r="A65" s="1492"/>
      <c r="B65" s="1493"/>
      <c r="C65" s="1494"/>
      <c r="D65" s="432" t="s">
        <v>21</v>
      </c>
      <c r="E65" s="425" t="str">
        <f>IF($B64="","",COUNTIF(Penalties!$AS12:$BA12,E$55))</f>
        <v/>
      </c>
      <c r="F65" s="425" t="str">
        <f>IF($B64="","",COUNTIF(Penalties!$AS12:$BA12,F$55))</f>
        <v/>
      </c>
      <c r="G65" s="425" t="str">
        <f>IF($B64="","",COUNTIF(Penalties!$AS12:$BA12,G$55))</f>
        <v/>
      </c>
      <c r="H65" s="425" t="str">
        <f>IF($B64="","",COUNTIF(Penalties!$AS12:$BA12,H$55))</f>
        <v/>
      </c>
      <c r="I65" s="425" t="str">
        <f>IF($B64="","",COUNTIF(Penalties!$AS12:$BA12,I$55))</f>
        <v/>
      </c>
      <c r="J65" s="425" t="str">
        <f>IF($B64="","",COUNTIF(Penalties!$AS12:$BA12,J$55))</f>
        <v/>
      </c>
      <c r="K65" s="425" t="str">
        <f>IF($B64="","",COUNTIF(Penalties!$AS12:$BA12,K$55))</f>
        <v/>
      </c>
      <c r="L65" s="425" t="str">
        <f>IF($B64="","",COUNTIF(Penalties!$AS12:$BA12,L$55))</f>
        <v/>
      </c>
      <c r="M65" s="425" t="str">
        <f>IF($B64="","",COUNTIF(Penalties!$AS12:$BA12,M$55))</f>
        <v/>
      </c>
      <c r="N65" s="425" t="str">
        <f>IF($B64="","",COUNTIF(Penalties!$AS12:$BA12,N$55))</f>
        <v/>
      </c>
      <c r="O65" s="425" t="str">
        <f>IF($B64="","",COUNTIF(Penalties!$AS12:$BA12,O$55))</f>
        <v/>
      </c>
      <c r="P65" s="425" t="str">
        <f>IF($B64="","",COUNTIF(Penalties!$AS12:$BA12,P$55))</f>
        <v/>
      </c>
      <c r="Q65" s="425" t="str">
        <f>IF($B64="","",COUNTIF(Penalties!$AS12:$BA12,Q$55))</f>
        <v/>
      </c>
      <c r="R65" s="425" t="str">
        <f>IF($B64="","",COUNTIF(Penalties!$AS12:$BA12,R$55))</f>
        <v/>
      </c>
      <c r="S65" s="425"/>
      <c r="T65" s="425"/>
      <c r="U65" s="433" t="str">
        <f>IF(B64="","",SUM(E65:T65))</f>
        <v/>
      </c>
      <c r="V65" s="434" t="str">
        <f>IF(B64="","",SUM(E65:T65)*0.5)</f>
        <v/>
      </c>
      <c r="W65" s="435" t="str">
        <f>IF($B64="","",IF(Penalties!$BB12=W$55,1,""))</f>
        <v/>
      </c>
      <c r="X65" s="435" t="str">
        <f>IF($B64="","",IF(Penalties!$BB12=X$55,1,""))</f>
        <v/>
      </c>
      <c r="Y65" s="435" t="str">
        <f>IF($B64="","",IF(Penalties!$BB12=Y$55,1,""))</f>
        <v/>
      </c>
      <c r="Z65" s="435" t="str">
        <f>IF($B64="","",IF(Penalties!$BB12=Z$55,1,""))</f>
        <v/>
      </c>
      <c r="AA65" s="435" t="str">
        <f>IF($B64="","",IF(Penalties!$BB12=AA$55,1,""))</f>
        <v/>
      </c>
      <c r="AB65" s="435" t="str">
        <f>IF($B64="","",IF(Penalties!$BB12=AB$55,1,""))</f>
        <v/>
      </c>
      <c r="AC65" s="435" t="str">
        <f>IF($B64="","",IF(Penalties!$BB12=AC$55,1,""))</f>
        <v/>
      </c>
      <c r="AD65" s="435" t="str">
        <f>IF($B64="","",IF(Penalties!$BB12=AD$55,1,""))</f>
        <v/>
      </c>
      <c r="AE65" s="435" t="str">
        <f>IF($B64="","",IF(Penalties!$BB12=AE$55,1,""))</f>
        <v/>
      </c>
      <c r="AF65" s="435" t="str">
        <f>IF($B64="","",IF(Penalties!$BB12=AF$55,1,""))</f>
        <v/>
      </c>
      <c r="AG65" s="435" t="str">
        <f>IF($B64="","",IF(Penalties!$BB12=AG$55,1,""))</f>
        <v/>
      </c>
      <c r="AH65" s="435" t="str">
        <f>IF($B64="","",IF(Penalties!$BB12=AH$55,1,""))</f>
        <v/>
      </c>
      <c r="AI65" s="435" t="str">
        <f>IF($B64="","",IF(Penalties!$BB12=AI$55,1,""))</f>
        <v/>
      </c>
      <c r="AJ65" s="437" t="str">
        <f>IF(SUM(X64:AI65)=0, "", IF(SUM(X64:AI64)=1, LOOKUP(1, X64:AI64, $X$55:$AI$55), LOOKUP(1, X65:AI65, $X$55:$AI$55)))</f>
        <v/>
      </c>
      <c r="AK65" s="74"/>
      <c r="AL65" s="74"/>
      <c r="AM65" s="74"/>
      <c r="AN65" s="74"/>
      <c r="AO65" s="74"/>
      <c r="AP65" s="74"/>
      <c r="AQ65" s="74"/>
      <c r="AR65" s="74"/>
      <c r="AS65" s="74"/>
      <c r="AT65" s="74"/>
      <c r="AU65" s="74"/>
      <c r="AV65" s="74"/>
      <c r="AW65" s="74"/>
      <c r="AX65" s="74"/>
    </row>
    <row r="66" spans="1:50" x14ac:dyDescent="0.2">
      <c r="A66" s="1486">
        <f>A64+1</f>
        <v>6</v>
      </c>
      <c r="B66" s="1487" t="str">
        <f>IF(IGRF!I19="","",IGRF!I19)</f>
        <v/>
      </c>
      <c r="C66" s="1488" t="str">
        <f>IF(IGRF!J19="","",IGRF!J19)</f>
        <v/>
      </c>
      <c r="D66" s="426" t="s">
        <v>5</v>
      </c>
      <c r="E66" s="426" t="str">
        <f>IF($B66="","",COUNTIF(Penalties!$Q14:$Y14,E$55))</f>
        <v/>
      </c>
      <c r="F66" s="426" t="str">
        <f>IF($B66="","",COUNTIF(Penalties!$Q14:$Y14,F$55))</f>
        <v/>
      </c>
      <c r="G66" s="426" t="str">
        <f>IF($B66="","",COUNTIF(Penalties!$Q14:$Y14,G$55))</f>
        <v/>
      </c>
      <c r="H66" s="426" t="str">
        <f>IF($B66="","",COUNTIF(Penalties!$Q14:$Y14,H$55))</f>
        <v/>
      </c>
      <c r="I66" s="426" t="str">
        <f>IF($B66="","",COUNTIF(Penalties!$Q14:$Y14,I$55))</f>
        <v/>
      </c>
      <c r="J66" s="426" t="str">
        <f>IF($B66="","",COUNTIF(Penalties!$Q14:$Y14,J$55))</f>
        <v/>
      </c>
      <c r="K66" s="426" t="str">
        <f>IF($B66="","",COUNTIF(Penalties!$Q14:$Y14,K$55))</f>
        <v/>
      </c>
      <c r="L66" s="426" t="str">
        <f>IF($B66="","",COUNTIF(Penalties!$Q14:$Y14,L$55))</f>
        <v/>
      </c>
      <c r="M66" s="426" t="str">
        <f>IF($B66="","",COUNTIF(Penalties!$Q14:$Y14,M$55))</f>
        <v/>
      </c>
      <c r="N66" s="426" t="str">
        <f>IF($B66="","",COUNTIF(Penalties!$Q14:$Y14,N$55))</f>
        <v/>
      </c>
      <c r="O66" s="426" t="str">
        <f>IF($B66="","",COUNTIF(Penalties!$Q14:$Y14,O$55))</f>
        <v/>
      </c>
      <c r="P66" s="426" t="str">
        <f>IF($B66="","",COUNTIF(Penalties!$Q14:$Y14,P$55))</f>
        <v/>
      </c>
      <c r="Q66" s="426" t="str">
        <f>IF($B66="","",COUNTIF(Penalties!$Q14:$Y14,Q$55))</f>
        <v/>
      </c>
      <c r="R66" s="426" t="str">
        <f>IF($B66="","",COUNTIF(Penalties!$Q14:$Y14,R$55))</f>
        <v/>
      </c>
      <c r="S66" s="426"/>
      <c r="T66" s="426"/>
      <c r="U66" s="438" t="str">
        <f>IF(B66="","",SUM(E66:T66))</f>
        <v/>
      </c>
      <c r="V66" s="439" t="str">
        <f>IF(B66="","",SUM(E66:T66)*0.5)</f>
        <v/>
      </c>
      <c r="W66" s="440" t="str">
        <f>IF($B66="","",IF(Penalties!$Z14=W$55,1,""))</f>
        <v/>
      </c>
      <c r="X66" s="440" t="str">
        <f>IF($B66="","",IF(Penalties!$Z14=X$55,1,""))</f>
        <v/>
      </c>
      <c r="Y66" s="440" t="str">
        <f>IF($B66="","",IF(Penalties!$Z14=Y$55,1,""))</f>
        <v/>
      </c>
      <c r="Z66" s="440" t="str">
        <f>IF($B66="","",IF(Penalties!$Z14=Z$55,1,""))</f>
        <v/>
      </c>
      <c r="AA66" s="440" t="str">
        <f>IF($B66="","",IF(Penalties!$Z14=AA$55,1,""))</f>
        <v/>
      </c>
      <c r="AB66" s="440" t="str">
        <f>IF($B66="","",IF(Penalties!$Z14=AB$55,1,""))</f>
        <v/>
      </c>
      <c r="AC66" s="440" t="str">
        <f>IF($B66="","",IF(Penalties!$Z14=AC$55,1,""))</f>
        <v/>
      </c>
      <c r="AD66" s="440" t="str">
        <f>IF($B66="","",IF(Penalties!$Z14=AD$55,1,""))</f>
        <v/>
      </c>
      <c r="AE66" s="440" t="str">
        <f>IF($B66="","",IF(Penalties!$Z14=AE$55,1,""))</f>
        <v/>
      </c>
      <c r="AF66" s="440" t="str">
        <f>IF($B66="","",IF(Penalties!$Z14=AF$55,1,""))</f>
        <v/>
      </c>
      <c r="AG66" s="440" t="str">
        <f>IF($B66="","",IF(Penalties!$Z14=AG$55,1,""))</f>
        <v/>
      </c>
      <c r="AH66" s="440" t="str">
        <f>IF($B66="","",IF(Penalties!$Z14=AH$55,1,""))</f>
        <v/>
      </c>
      <c r="AI66" s="440" t="str">
        <f>IF($B66="","",IF(Penalties!$Z14=AI$55,1,""))</f>
        <v/>
      </c>
      <c r="AJ66" s="441"/>
      <c r="AK66" s="74"/>
      <c r="AL66" s="74"/>
      <c r="AM66" s="74"/>
      <c r="AN66" s="74"/>
      <c r="AO66" s="74"/>
      <c r="AP66" s="74"/>
      <c r="AQ66" s="74"/>
      <c r="AR66" s="74"/>
      <c r="AS66" s="74"/>
      <c r="AT66" s="74"/>
      <c r="AU66" s="74"/>
      <c r="AV66" s="74"/>
      <c r="AW66" s="74"/>
      <c r="AX66" s="74"/>
    </row>
    <row r="67" spans="1:50" ht="13.5" thickBot="1" x14ac:dyDescent="0.25">
      <c r="A67" s="1486"/>
      <c r="B67" s="1487"/>
      <c r="C67" s="1488"/>
      <c r="D67" s="426" t="s">
        <v>21</v>
      </c>
      <c r="E67" s="426" t="str">
        <f>IF($B66="","",COUNTIF(Penalties!$AS14:$BA14,E$55))</f>
        <v/>
      </c>
      <c r="F67" s="426" t="str">
        <f>IF($B66="","",COUNTIF(Penalties!$AS14:$BA14,F$55))</f>
        <v/>
      </c>
      <c r="G67" s="426" t="str">
        <f>IF($B66="","",COUNTIF(Penalties!$AS14:$BA14,G$55))</f>
        <v/>
      </c>
      <c r="H67" s="426" t="str">
        <f>IF($B66="","",COUNTIF(Penalties!$AS14:$BA14,H$55))</f>
        <v/>
      </c>
      <c r="I67" s="426" t="str">
        <f>IF($B66="","",COUNTIF(Penalties!$AS14:$BA14,I$55))</f>
        <v/>
      </c>
      <c r="J67" s="426" t="str">
        <f>IF($B66="","",COUNTIF(Penalties!$AS14:$BA14,J$55))</f>
        <v/>
      </c>
      <c r="K67" s="426" t="str">
        <f>IF($B66="","",COUNTIF(Penalties!$AS14:$BA14,K$55))</f>
        <v/>
      </c>
      <c r="L67" s="426" t="str">
        <f>IF($B66="","",COUNTIF(Penalties!$AS14:$BA14,L$55))</f>
        <v/>
      </c>
      <c r="M67" s="426" t="str">
        <f>IF($B66="","",COUNTIF(Penalties!$AS14:$BA14,M$55))</f>
        <v/>
      </c>
      <c r="N67" s="426" t="str">
        <f>IF($B66="","",COUNTIF(Penalties!$AS14:$BA14,N$55))</f>
        <v/>
      </c>
      <c r="O67" s="426" t="str">
        <f>IF($B66="","",COUNTIF(Penalties!$AS14:$BA14,O$55))</f>
        <v/>
      </c>
      <c r="P67" s="426" t="str">
        <f>IF($B66="","",COUNTIF(Penalties!$AS14:$BA14,P$55))</f>
        <v/>
      </c>
      <c r="Q67" s="426" t="str">
        <f>IF($B66="","",COUNTIF(Penalties!$AS14:$BA14,Q$55))</f>
        <v/>
      </c>
      <c r="R67" s="426" t="str">
        <f>IF($B66="","",COUNTIF(Penalties!$AS14:$BA14,R$55))</f>
        <v/>
      </c>
      <c r="S67" s="426"/>
      <c r="T67" s="426"/>
      <c r="U67" s="438" t="str">
        <f>IF(B66="","",SUM(E67:T67))</f>
        <v/>
      </c>
      <c r="V67" s="439" t="str">
        <f>IF(B66="","",SUM(E67:T67)*0.5)</f>
        <v/>
      </c>
      <c r="W67" s="440" t="str">
        <f>IF($B66="","",IF(Penalties!$BB14=W$55,1,""))</f>
        <v/>
      </c>
      <c r="X67" s="440" t="str">
        <f>IF($B66="","",IF(Penalties!$BB14=X$55,1,""))</f>
        <v/>
      </c>
      <c r="Y67" s="440" t="str">
        <f>IF($B66="","",IF(Penalties!$BB14=Y$55,1,""))</f>
        <v/>
      </c>
      <c r="Z67" s="440" t="str">
        <f>IF($B66="","",IF(Penalties!$BB14=Z$55,1,""))</f>
        <v/>
      </c>
      <c r="AA67" s="440" t="str">
        <f>IF($B66="","",IF(Penalties!$BB14=AA$55,1,""))</f>
        <v/>
      </c>
      <c r="AB67" s="440" t="str">
        <f>IF($B66="","",IF(Penalties!$BB14=AB$55,1,""))</f>
        <v/>
      </c>
      <c r="AC67" s="440" t="str">
        <f>IF($B66="","",IF(Penalties!$BB14=AC$55,1,""))</f>
        <v/>
      </c>
      <c r="AD67" s="440" t="str">
        <f>IF($B66="","",IF(Penalties!$BB14=AD$55,1,""))</f>
        <v/>
      </c>
      <c r="AE67" s="440" t="str">
        <f>IF($B66="","",IF(Penalties!$BB14=AE$55,1,""))</f>
        <v/>
      </c>
      <c r="AF67" s="440" t="str">
        <f>IF($B66="","",IF(Penalties!$BB14=AF$55,1,""))</f>
        <v/>
      </c>
      <c r="AG67" s="440" t="str">
        <f>IF($B66="","",IF(Penalties!$BB14=AG$55,1,""))</f>
        <v/>
      </c>
      <c r="AH67" s="440" t="str">
        <f>IF($B66="","",IF(Penalties!$BB14=AH$55,1,""))</f>
        <v/>
      </c>
      <c r="AI67" s="440" t="str">
        <f>IF($B66="","",IF(Penalties!$BB14=AI$55,1,""))</f>
        <v/>
      </c>
      <c r="AJ67" s="442" t="str">
        <f>IF(SUM(X66:AI67)=0, "", IF(SUM(X66:AI66)=1, LOOKUP(1, X66:AI66, $X$55:$AI$55), LOOKUP(1, X67:AI67, $X$55:$AI$55)))</f>
        <v/>
      </c>
      <c r="AK67" s="74"/>
      <c r="AL67" s="74"/>
      <c r="AM67" s="74"/>
      <c r="AN67" s="74"/>
      <c r="AO67" s="74"/>
      <c r="AP67" s="74"/>
      <c r="AQ67" s="74"/>
      <c r="AR67" s="74"/>
      <c r="AS67" s="74"/>
      <c r="AT67" s="74"/>
      <c r="AU67" s="74"/>
      <c r="AV67" s="74"/>
      <c r="AW67" s="74"/>
      <c r="AX67" s="74"/>
    </row>
    <row r="68" spans="1:50" x14ac:dyDescent="0.2">
      <c r="A68" s="1492">
        <f>A66+1</f>
        <v>7</v>
      </c>
      <c r="B68" s="1493" t="str">
        <f>IF(IGRF!I20="","",IGRF!I20)</f>
        <v/>
      </c>
      <c r="C68" s="1494" t="str">
        <f>IF(IGRF!J20="","",IGRF!J20)</f>
        <v/>
      </c>
      <c r="D68" s="432" t="s">
        <v>5</v>
      </c>
      <c r="E68" s="425" t="str">
        <f>IF($B68="","",COUNTIF(Penalties!$Q16:$Y16,E$55))</f>
        <v/>
      </c>
      <c r="F68" s="425" t="str">
        <f>IF($B68="","",COUNTIF(Penalties!$Q16:$Y16,F$55))</f>
        <v/>
      </c>
      <c r="G68" s="425" t="str">
        <f>IF($B68="","",COUNTIF(Penalties!$Q16:$Y16,G$55))</f>
        <v/>
      </c>
      <c r="H68" s="425" t="str">
        <f>IF($B68="","",COUNTIF(Penalties!$Q16:$Y16,H$55))</f>
        <v/>
      </c>
      <c r="I68" s="425" t="str">
        <f>IF($B68="","",COUNTIF(Penalties!$Q16:$Y16,I$55))</f>
        <v/>
      </c>
      <c r="J68" s="425" t="str">
        <f>IF($B68="","",COUNTIF(Penalties!$Q16:$Y16,J$55))</f>
        <v/>
      </c>
      <c r="K68" s="425" t="str">
        <f>IF($B68="","",COUNTIF(Penalties!$Q16:$Y16,K$55))</f>
        <v/>
      </c>
      <c r="L68" s="425" t="str">
        <f>IF($B68="","",COUNTIF(Penalties!$Q16:$Y16,L$55))</f>
        <v/>
      </c>
      <c r="M68" s="425" t="str">
        <f>IF($B68="","",COUNTIF(Penalties!$Q16:$Y16,M$55))</f>
        <v/>
      </c>
      <c r="N68" s="425" t="str">
        <f>IF($B68="","",COUNTIF(Penalties!$Q16:$Y16,N$55))</f>
        <v/>
      </c>
      <c r="O68" s="425" t="str">
        <f>IF($B68="","",COUNTIF(Penalties!$Q16:$Y16,O$55))</f>
        <v/>
      </c>
      <c r="P68" s="425" t="str">
        <f>IF($B68="","",COUNTIF(Penalties!$Q16:$Y16,P$55))</f>
        <v/>
      </c>
      <c r="Q68" s="425" t="str">
        <f>IF($B68="","",COUNTIF(Penalties!$Q16:$Y16,Q$55))</f>
        <v/>
      </c>
      <c r="R68" s="425" t="str">
        <f>IF($B68="","",COUNTIF(Penalties!$Q16:$Y16,R$55))</f>
        <v/>
      </c>
      <c r="S68" s="425"/>
      <c r="T68" s="425"/>
      <c r="U68" s="433" t="str">
        <f>IF(B68="","",SUM(E68:T68))</f>
        <v/>
      </c>
      <c r="V68" s="434" t="str">
        <f>IF(B68="","",SUM(E68:T68)*0.5)</f>
        <v/>
      </c>
      <c r="W68" s="435" t="str">
        <f>IF($B68="","",IF(Penalties!$Z16=W$55,1,""))</f>
        <v/>
      </c>
      <c r="X68" s="435" t="str">
        <f>IF($B68="","",IF(Penalties!$Z16=X$55,1,""))</f>
        <v/>
      </c>
      <c r="Y68" s="435" t="str">
        <f>IF($B68="","",IF(Penalties!$Z16=Y$55,1,""))</f>
        <v/>
      </c>
      <c r="Z68" s="435" t="str">
        <f>IF($B68="","",IF(Penalties!$Z16=Z$55,1,""))</f>
        <v/>
      </c>
      <c r="AA68" s="435" t="str">
        <f>IF($B68="","",IF(Penalties!$Z16=AA$55,1,""))</f>
        <v/>
      </c>
      <c r="AB68" s="435" t="str">
        <f>IF($B68="","",IF(Penalties!$Z16=AB$55,1,""))</f>
        <v/>
      </c>
      <c r="AC68" s="435" t="str">
        <f>IF($B68="","",IF(Penalties!$Z16=AC$55,1,""))</f>
        <v/>
      </c>
      <c r="AD68" s="435" t="str">
        <f>IF($B68="","",IF(Penalties!$Z16=AD$55,1,""))</f>
        <v/>
      </c>
      <c r="AE68" s="435" t="str">
        <f>IF($B68="","",IF(Penalties!$Z16=AE$55,1,""))</f>
        <v/>
      </c>
      <c r="AF68" s="435" t="str">
        <f>IF($B68="","",IF(Penalties!$Z16=AF$55,1,""))</f>
        <v/>
      </c>
      <c r="AG68" s="435" t="str">
        <f>IF($B68="","",IF(Penalties!$Z16=AG$55,1,""))</f>
        <v/>
      </c>
      <c r="AH68" s="435" t="str">
        <f>IF($B68="","",IF(Penalties!$Z16=AH$55,1,""))</f>
        <v/>
      </c>
      <c r="AI68" s="435" t="str">
        <f>IF($B68="","",IF(Penalties!$Z16=AI$55,1,""))</f>
        <v/>
      </c>
      <c r="AJ68" s="436"/>
      <c r="AK68" s="74"/>
      <c r="AL68" s="74"/>
      <c r="AM68" s="74"/>
      <c r="AN68" s="74"/>
      <c r="AO68" s="74"/>
      <c r="AP68" s="74"/>
      <c r="AQ68" s="74"/>
      <c r="AR68" s="74"/>
      <c r="AS68" s="74"/>
      <c r="AT68" s="74"/>
      <c r="AU68" s="74"/>
      <c r="AV68" s="74"/>
      <c r="AW68" s="74"/>
      <c r="AX68" s="74"/>
    </row>
    <row r="69" spans="1:50" x14ac:dyDescent="0.2">
      <c r="A69" s="1492"/>
      <c r="B69" s="1493"/>
      <c r="C69" s="1494"/>
      <c r="D69" s="432" t="s">
        <v>21</v>
      </c>
      <c r="E69" s="425" t="str">
        <f>IF($B68="","",COUNTIF(Penalties!$AS16:$BA16,E$55))</f>
        <v/>
      </c>
      <c r="F69" s="425" t="str">
        <f>IF($B68="","",COUNTIF(Penalties!$AS16:$BA16,F$55))</f>
        <v/>
      </c>
      <c r="G69" s="425" t="str">
        <f>IF($B68="","",COUNTIF(Penalties!$AS16:$BA16,G$55))</f>
        <v/>
      </c>
      <c r="H69" s="425" t="str">
        <f>IF($B68="","",COUNTIF(Penalties!$AS16:$BA16,H$55))</f>
        <v/>
      </c>
      <c r="I69" s="425" t="str">
        <f>IF($B68="","",COUNTIF(Penalties!$AS16:$BA16,I$55))</f>
        <v/>
      </c>
      <c r="J69" s="425" t="str">
        <f>IF($B68="","",COUNTIF(Penalties!$AS16:$BA16,J$55))</f>
        <v/>
      </c>
      <c r="K69" s="425" t="str">
        <f>IF($B68="","",COUNTIF(Penalties!$AS16:$BA16,K$55))</f>
        <v/>
      </c>
      <c r="L69" s="425" t="str">
        <f>IF($B68="","",COUNTIF(Penalties!$AS16:$BA16,L$55))</f>
        <v/>
      </c>
      <c r="M69" s="425" t="str">
        <f>IF($B68="","",COUNTIF(Penalties!$AS16:$BA16,M$55))</f>
        <v/>
      </c>
      <c r="N69" s="425" t="str">
        <f>IF($B68="","",COUNTIF(Penalties!$AS16:$BA16,N$55))</f>
        <v/>
      </c>
      <c r="O69" s="425" t="str">
        <f>IF($B68="","",COUNTIF(Penalties!$AS16:$BA16,O$55))</f>
        <v/>
      </c>
      <c r="P69" s="425" t="str">
        <f>IF($B68="","",COUNTIF(Penalties!$AS16:$BA16,P$55))</f>
        <v/>
      </c>
      <c r="Q69" s="425" t="str">
        <f>IF($B68="","",COUNTIF(Penalties!$AS16:$BA16,Q$55))</f>
        <v/>
      </c>
      <c r="R69" s="425" t="str">
        <f>IF($B68="","",COUNTIF(Penalties!$AS16:$BA16,R$55))</f>
        <v/>
      </c>
      <c r="S69" s="425"/>
      <c r="T69" s="425"/>
      <c r="U69" s="433" t="str">
        <f>IF(B68="","",SUM(E69:T69))</f>
        <v/>
      </c>
      <c r="V69" s="434" t="str">
        <f>IF(B68="","",SUM(E69:T69)*0.5)</f>
        <v/>
      </c>
      <c r="W69" s="435" t="str">
        <f>IF($B68="","",IF(Penalties!$BB16=W$55,1,""))</f>
        <v/>
      </c>
      <c r="X69" s="435" t="str">
        <f>IF($B68="","",IF(Penalties!$BB16=X$55,1,""))</f>
        <v/>
      </c>
      <c r="Y69" s="435" t="str">
        <f>IF($B68="","",IF(Penalties!$BB16=Y$55,1,""))</f>
        <v/>
      </c>
      <c r="Z69" s="435" t="str">
        <f>IF($B68="","",IF(Penalties!$BB16=Z$55,1,""))</f>
        <v/>
      </c>
      <c r="AA69" s="435" t="str">
        <f>IF($B68="","",IF(Penalties!$BB16=AA$55,1,""))</f>
        <v/>
      </c>
      <c r="AB69" s="435" t="str">
        <f>IF($B68="","",IF(Penalties!$BB16=AB$55,1,""))</f>
        <v/>
      </c>
      <c r="AC69" s="435" t="str">
        <f>IF($B68="","",IF(Penalties!$BB16=AC$55,1,""))</f>
        <v/>
      </c>
      <c r="AD69" s="435" t="str">
        <f>IF($B68="","",IF(Penalties!$BB16=AD$55,1,""))</f>
        <v/>
      </c>
      <c r="AE69" s="435" t="str">
        <f>IF($B68="","",IF(Penalties!$BB16=AE$55,1,""))</f>
        <v/>
      </c>
      <c r="AF69" s="435" t="str">
        <f>IF($B68="","",IF(Penalties!$BB16=AF$55,1,""))</f>
        <v/>
      </c>
      <c r="AG69" s="435" t="str">
        <f>IF($B68="","",IF(Penalties!$BB16=AG$55,1,""))</f>
        <v/>
      </c>
      <c r="AH69" s="435" t="str">
        <f>IF($B68="","",IF(Penalties!$BB16=AH$55,1,""))</f>
        <v/>
      </c>
      <c r="AI69" s="435" t="str">
        <f>IF($B68="","",IF(Penalties!$BB16=AI$55,1,""))</f>
        <v/>
      </c>
      <c r="AJ69" s="437" t="str">
        <f>IF(SUM(X68:AI69)=0, "", IF(SUM(X68:AI68)=1, LOOKUP(1, X68:AI68, $X$55:$AI$55), LOOKUP(1, X69:AI69, $X$55:$AI$55)))</f>
        <v/>
      </c>
      <c r="AK69" s="74"/>
      <c r="AL69" s="74"/>
      <c r="AM69" s="74"/>
      <c r="AN69" s="74"/>
      <c r="AO69" s="74"/>
      <c r="AP69" s="74"/>
      <c r="AQ69" s="74"/>
      <c r="AR69" s="74"/>
      <c r="AS69" s="74"/>
      <c r="AT69" s="74"/>
      <c r="AU69" s="74"/>
      <c r="AV69" s="74"/>
      <c r="AW69" s="74"/>
      <c r="AX69" s="74"/>
    </row>
    <row r="70" spans="1:50" x14ac:dyDescent="0.2">
      <c r="A70" s="1486">
        <f>A68+1</f>
        <v>8</v>
      </c>
      <c r="B70" s="1487" t="str">
        <f>IF(IGRF!I21="","",IGRF!I21)</f>
        <v/>
      </c>
      <c r="C70" s="1488" t="str">
        <f>IF(IGRF!J21="","",IGRF!J21)</f>
        <v/>
      </c>
      <c r="D70" s="426" t="s">
        <v>5</v>
      </c>
      <c r="E70" s="426" t="str">
        <f>IF($B70="","",COUNTIF(Penalties!$Q18:$Y18,E$55))</f>
        <v/>
      </c>
      <c r="F70" s="426" t="str">
        <f>IF($B70="","",COUNTIF(Penalties!$Q18:$Y18,F$55))</f>
        <v/>
      </c>
      <c r="G70" s="426" t="str">
        <f>IF($B70="","",COUNTIF(Penalties!$Q18:$Y18,G$55))</f>
        <v/>
      </c>
      <c r="H70" s="426" t="str">
        <f>IF($B70="","",COUNTIF(Penalties!$Q18:$Y18,H$55))</f>
        <v/>
      </c>
      <c r="I70" s="426" t="str">
        <f>IF($B70="","",COUNTIF(Penalties!$Q18:$Y18,I$55))</f>
        <v/>
      </c>
      <c r="J70" s="426" t="str">
        <f>IF($B70="","",COUNTIF(Penalties!$Q18:$Y18,J$55))</f>
        <v/>
      </c>
      <c r="K70" s="426" t="str">
        <f>IF($B70="","",COUNTIF(Penalties!$Q18:$Y18,K$55))</f>
        <v/>
      </c>
      <c r="L70" s="426" t="str">
        <f>IF($B70="","",COUNTIF(Penalties!$Q18:$Y18,L$55))</f>
        <v/>
      </c>
      <c r="M70" s="426" t="str">
        <f>IF($B70="","",COUNTIF(Penalties!$Q18:$Y18,M$55))</f>
        <v/>
      </c>
      <c r="N70" s="426" t="str">
        <f>IF($B70="","",COUNTIF(Penalties!$Q18:$Y18,N$55))</f>
        <v/>
      </c>
      <c r="O70" s="426" t="str">
        <f>IF($B70="","",COUNTIF(Penalties!$Q18:$Y18,O$55))</f>
        <v/>
      </c>
      <c r="P70" s="426" t="str">
        <f>IF($B70="","",COUNTIF(Penalties!$Q18:$Y18,P$55))</f>
        <v/>
      </c>
      <c r="Q70" s="426" t="str">
        <f>IF($B70="","",COUNTIF(Penalties!$Q18:$Y18,Q$55))</f>
        <v/>
      </c>
      <c r="R70" s="426" t="str">
        <f>IF($B70="","",COUNTIF(Penalties!$Q18:$Y18,R$55))</f>
        <v/>
      </c>
      <c r="S70" s="426"/>
      <c r="T70" s="426"/>
      <c r="U70" s="438" t="str">
        <f>IF(B70="","",SUM(E70:T70))</f>
        <v/>
      </c>
      <c r="V70" s="439" t="str">
        <f>IF(B70="","",SUM(E70:T70)*0.5)</f>
        <v/>
      </c>
      <c r="W70" s="440" t="str">
        <f>IF($B70="","",IF(Penalties!$Z18=W$55,1,""))</f>
        <v/>
      </c>
      <c r="X70" s="440" t="str">
        <f>IF($B70="","",IF(Penalties!$Z18=X$55,1,""))</f>
        <v/>
      </c>
      <c r="Y70" s="440" t="str">
        <f>IF($B70="","",IF(Penalties!$Z18=Y$55,1,""))</f>
        <v/>
      </c>
      <c r="Z70" s="440" t="str">
        <f>IF($B70="","",IF(Penalties!$Z18=Z$55,1,""))</f>
        <v/>
      </c>
      <c r="AA70" s="440" t="str">
        <f>IF($B70="","",IF(Penalties!$Z18=AA$55,1,""))</f>
        <v/>
      </c>
      <c r="AB70" s="440" t="str">
        <f>IF($B70="","",IF(Penalties!$Z18=AB$55,1,""))</f>
        <v/>
      </c>
      <c r="AC70" s="440" t="str">
        <f>IF($B70="","",IF(Penalties!$Z18=AC$55,1,""))</f>
        <v/>
      </c>
      <c r="AD70" s="440" t="str">
        <f>IF($B70="","",IF(Penalties!$Z18=AD$55,1,""))</f>
        <v/>
      </c>
      <c r="AE70" s="440" t="str">
        <f>IF($B70="","",IF(Penalties!$Z18=AE$55,1,""))</f>
        <v/>
      </c>
      <c r="AF70" s="440" t="str">
        <f>IF($B70="","",IF(Penalties!$Z18=AF$55,1,""))</f>
        <v/>
      </c>
      <c r="AG70" s="440" t="str">
        <f>IF($B70="","",IF(Penalties!$Z18=AG$55,1,""))</f>
        <v/>
      </c>
      <c r="AH70" s="440" t="str">
        <f>IF($B70="","",IF(Penalties!$Z18=AH$55,1,""))</f>
        <v/>
      </c>
      <c r="AI70" s="440" t="str">
        <f>IF($B70="","",IF(Penalties!$Z18=AI$55,1,""))</f>
        <v/>
      </c>
      <c r="AJ70" s="441"/>
      <c r="AK70" s="74"/>
      <c r="AL70" s="74"/>
      <c r="AM70" s="74"/>
      <c r="AN70" s="74"/>
      <c r="AO70" s="74"/>
      <c r="AP70" s="74"/>
      <c r="AQ70" s="74"/>
      <c r="AR70" s="74"/>
      <c r="AS70" s="74"/>
      <c r="AT70" s="74"/>
      <c r="AU70" s="74"/>
      <c r="AV70" s="74"/>
      <c r="AW70" s="74"/>
      <c r="AX70" s="74"/>
    </row>
    <row r="71" spans="1:50" ht="13.5" thickBot="1" x14ac:dyDescent="0.25">
      <c r="A71" s="1486"/>
      <c r="B71" s="1487"/>
      <c r="C71" s="1488"/>
      <c r="D71" s="426" t="s">
        <v>21</v>
      </c>
      <c r="E71" s="426" t="str">
        <f>IF($B70="","",COUNTIF(Penalties!$AS18:$BA18,E$55))</f>
        <v/>
      </c>
      <c r="F71" s="426" t="str">
        <f>IF($B70="","",COUNTIF(Penalties!$AS18:$BA18,F$55))</f>
        <v/>
      </c>
      <c r="G71" s="426" t="str">
        <f>IF($B70="","",COUNTIF(Penalties!$AS18:$BA18,G$55))</f>
        <v/>
      </c>
      <c r="H71" s="426" t="str">
        <f>IF($B70="","",COUNTIF(Penalties!$AS18:$BA18,H$55))</f>
        <v/>
      </c>
      <c r="I71" s="426" t="str">
        <f>IF($B70="","",COUNTIF(Penalties!$AS18:$BA18,I$55))</f>
        <v/>
      </c>
      <c r="J71" s="426" t="str">
        <f>IF($B70="","",COUNTIF(Penalties!$AS18:$BA18,J$55))</f>
        <v/>
      </c>
      <c r="K71" s="426" t="str">
        <f>IF($B70="","",COUNTIF(Penalties!$AS18:$BA18,K$55))</f>
        <v/>
      </c>
      <c r="L71" s="426" t="str">
        <f>IF($B70="","",COUNTIF(Penalties!$AS18:$BA18,L$55))</f>
        <v/>
      </c>
      <c r="M71" s="426" t="str">
        <f>IF($B70="","",COUNTIF(Penalties!$AS18:$BA18,M$55))</f>
        <v/>
      </c>
      <c r="N71" s="426" t="str">
        <f>IF($B70="","",COUNTIF(Penalties!$AS18:$BA18,N$55))</f>
        <v/>
      </c>
      <c r="O71" s="426" t="str">
        <f>IF($B70="","",COUNTIF(Penalties!$AS18:$BA18,O$55))</f>
        <v/>
      </c>
      <c r="P71" s="426" t="str">
        <f>IF($B70="","",COUNTIF(Penalties!$AS18:$BA18,P$55))</f>
        <v/>
      </c>
      <c r="Q71" s="426" t="str">
        <f>IF($B70="","",COUNTIF(Penalties!$AS18:$BA18,Q$55))</f>
        <v/>
      </c>
      <c r="R71" s="426" t="str">
        <f>IF($B70="","",COUNTIF(Penalties!$AS18:$BA18,R$55))</f>
        <v/>
      </c>
      <c r="S71" s="426"/>
      <c r="T71" s="426"/>
      <c r="U71" s="438" t="str">
        <f>IF(B70="","",SUM(E71:T71))</f>
        <v/>
      </c>
      <c r="V71" s="439" t="str">
        <f>IF(B70="","",SUM(E71:T71)*0.5)</f>
        <v/>
      </c>
      <c r="W71" s="440" t="str">
        <f>IF($B70="","",IF(Penalties!$BB18=W$55,1,""))</f>
        <v/>
      </c>
      <c r="X71" s="440" t="str">
        <f>IF($B70="","",IF(Penalties!$BB18=X$55,1,""))</f>
        <v/>
      </c>
      <c r="Y71" s="440" t="str">
        <f>IF($B70="","",IF(Penalties!$BB18=Y$55,1,""))</f>
        <v/>
      </c>
      <c r="Z71" s="440" t="str">
        <f>IF($B70="","",IF(Penalties!$BB18=Z$55,1,""))</f>
        <v/>
      </c>
      <c r="AA71" s="440" t="str">
        <f>IF($B70="","",IF(Penalties!$BB18=AA$55,1,""))</f>
        <v/>
      </c>
      <c r="AB71" s="440" t="str">
        <f>IF($B70="","",IF(Penalties!$BB18=AB$55,1,""))</f>
        <v/>
      </c>
      <c r="AC71" s="440" t="str">
        <f>IF($B70="","",IF(Penalties!$BB18=AC$55,1,""))</f>
        <v/>
      </c>
      <c r="AD71" s="440" t="str">
        <f>IF($B70="","",IF(Penalties!$BB18=AD$55,1,""))</f>
        <v/>
      </c>
      <c r="AE71" s="440" t="str">
        <f>IF($B70="","",IF(Penalties!$BB18=AE$55,1,""))</f>
        <v/>
      </c>
      <c r="AF71" s="440" t="str">
        <f>IF($B70="","",IF(Penalties!$BB18=AF$55,1,""))</f>
        <v/>
      </c>
      <c r="AG71" s="440" t="str">
        <f>IF($B70="","",IF(Penalties!$BB18=AG$55,1,""))</f>
        <v/>
      </c>
      <c r="AH71" s="440" t="str">
        <f>IF($B70="","",IF(Penalties!$BB18=AH$55,1,""))</f>
        <v/>
      </c>
      <c r="AI71" s="440" t="str">
        <f>IF($B70="","",IF(Penalties!$BB18=AI$55,1,""))</f>
        <v/>
      </c>
      <c r="AJ71" s="442" t="str">
        <f>IF(SUM(X70:AI71)=0, "", IF(SUM(X70:AI70)=1, LOOKUP(1, X70:AI70, $X$55:$AI$55), LOOKUP(1, X71:AI71, $X$55:$AI$55)))</f>
        <v/>
      </c>
      <c r="AK71" s="74"/>
      <c r="AL71" s="74"/>
      <c r="AM71" s="74"/>
      <c r="AN71" s="74"/>
      <c r="AO71" s="74"/>
      <c r="AP71" s="74"/>
      <c r="AQ71" s="74"/>
      <c r="AR71" s="74"/>
      <c r="AS71" s="74"/>
      <c r="AT71" s="74"/>
      <c r="AU71" s="74"/>
      <c r="AV71" s="74"/>
      <c r="AW71" s="74"/>
      <c r="AX71" s="74"/>
    </row>
    <row r="72" spans="1:50" x14ac:dyDescent="0.2">
      <c r="A72" s="1492">
        <f>A70+1</f>
        <v>9</v>
      </c>
      <c r="B72" s="1493" t="str">
        <f>IF(IGRF!I22="","",IGRF!I22)</f>
        <v/>
      </c>
      <c r="C72" s="1494" t="str">
        <f>IF(IGRF!J22="","",IGRF!J22)</f>
        <v/>
      </c>
      <c r="D72" s="432" t="s">
        <v>5</v>
      </c>
      <c r="E72" s="425" t="str">
        <f>IF($B72="","",COUNTIF(Penalties!$Q20:$Y20,E$55))</f>
        <v/>
      </c>
      <c r="F72" s="425" t="str">
        <f>IF($B72="","",COUNTIF(Penalties!$Q20:$Y20,F$55))</f>
        <v/>
      </c>
      <c r="G72" s="425" t="str">
        <f>IF($B72="","",COUNTIF(Penalties!$Q20:$Y20,G$55))</f>
        <v/>
      </c>
      <c r="H72" s="425" t="str">
        <f>IF($B72="","",COUNTIF(Penalties!$Q20:$Y20,H$55))</f>
        <v/>
      </c>
      <c r="I72" s="425" t="str">
        <f>IF($B72="","",COUNTIF(Penalties!$Q20:$Y20,I$55))</f>
        <v/>
      </c>
      <c r="J72" s="425" t="str">
        <f>IF($B72="","",COUNTIF(Penalties!$Q20:$Y20,J$55))</f>
        <v/>
      </c>
      <c r="K72" s="425" t="str">
        <f>IF($B72="","",COUNTIF(Penalties!$Q20:$Y20,K$55))</f>
        <v/>
      </c>
      <c r="L72" s="425" t="str">
        <f>IF($B72="","",COUNTIF(Penalties!$Q20:$Y20,L$55))</f>
        <v/>
      </c>
      <c r="M72" s="425" t="str">
        <f>IF($B72="","",COUNTIF(Penalties!$Q20:$Y20,M$55))</f>
        <v/>
      </c>
      <c r="N72" s="425" t="str">
        <f>IF($B72="","",COUNTIF(Penalties!$Q20:$Y20,N$55))</f>
        <v/>
      </c>
      <c r="O72" s="425" t="str">
        <f>IF($B72="","",COUNTIF(Penalties!$Q20:$Y20,O$55))</f>
        <v/>
      </c>
      <c r="P72" s="425" t="str">
        <f>IF($B72="","",COUNTIF(Penalties!$Q20:$Y20,P$55))</f>
        <v/>
      </c>
      <c r="Q72" s="425" t="str">
        <f>IF($B72="","",COUNTIF(Penalties!$Q20:$Y20,Q$55))</f>
        <v/>
      </c>
      <c r="R72" s="425" t="str">
        <f>IF($B72="","",COUNTIF(Penalties!$Q20:$Y20,R$55))</f>
        <v/>
      </c>
      <c r="S72" s="425"/>
      <c r="T72" s="425"/>
      <c r="U72" s="433" t="str">
        <f>IF(B72="","",SUM(E72:T72))</f>
        <v/>
      </c>
      <c r="V72" s="434" t="str">
        <f>IF(B72="","",SUM(E72:T72)*0.5)</f>
        <v/>
      </c>
      <c r="W72" s="435" t="str">
        <f>IF($B72="","",IF(Penalties!$Z20=W$55,1,""))</f>
        <v/>
      </c>
      <c r="X72" s="435" t="str">
        <f>IF($B72="","",IF(Penalties!$Z20=X$55,1,""))</f>
        <v/>
      </c>
      <c r="Y72" s="435" t="str">
        <f>IF($B72="","",IF(Penalties!$Z20=Y$55,1,""))</f>
        <v/>
      </c>
      <c r="Z72" s="435" t="str">
        <f>IF($B72="","",IF(Penalties!$Z20=Z$55,1,""))</f>
        <v/>
      </c>
      <c r="AA72" s="435" t="str">
        <f>IF($B72="","",IF(Penalties!$Z20=AA$55,1,""))</f>
        <v/>
      </c>
      <c r="AB72" s="435" t="str">
        <f>IF($B72="","",IF(Penalties!$Z20=AB$55,1,""))</f>
        <v/>
      </c>
      <c r="AC72" s="435" t="str">
        <f>IF($B72="","",IF(Penalties!$Z20=AC$55,1,""))</f>
        <v/>
      </c>
      <c r="AD72" s="435" t="str">
        <f>IF($B72="","",IF(Penalties!$Z20=AD$55,1,""))</f>
        <v/>
      </c>
      <c r="AE72" s="435" t="str">
        <f>IF($B72="","",IF(Penalties!$Z20=AE$55,1,""))</f>
        <v/>
      </c>
      <c r="AF72" s="435" t="str">
        <f>IF($B72="","",IF(Penalties!$Z20=AF$55,1,""))</f>
        <v/>
      </c>
      <c r="AG72" s="435" t="str">
        <f>IF($B72="","",IF(Penalties!$Z20=AG$55,1,""))</f>
        <v/>
      </c>
      <c r="AH72" s="435" t="str">
        <f>IF($B72="","",IF(Penalties!$Z20=AH$55,1,""))</f>
        <v/>
      </c>
      <c r="AI72" s="435" t="str">
        <f>IF($B72="","",IF(Penalties!$Z20=AI$55,1,""))</f>
        <v/>
      </c>
      <c r="AJ72" s="436"/>
      <c r="AK72" s="74"/>
      <c r="AL72" s="74"/>
      <c r="AM72" s="74"/>
      <c r="AN72" s="74"/>
      <c r="AO72" s="74"/>
      <c r="AP72" s="74"/>
      <c r="AQ72" s="74"/>
      <c r="AR72" s="74"/>
      <c r="AS72" s="74"/>
      <c r="AT72" s="74"/>
      <c r="AU72" s="74"/>
      <c r="AV72" s="74"/>
      <c r="AW72" s="74"/>
      <c r="AX72" s="74"/>
    </row>
    <row r="73" spans="1:50" x14ac:dyDescent="0.2">
      <c r="A73" s="1492"/>
      <c r="B73" s="1493"/>
      <c r="C73" s="1494"/>
      <c r="D73" s="432" t="s">
        <v>21</v>
      </c>
      <c r="E73" s="425" t="str">
        <f>IF($B72="","",COUNTIF(Penalties!$AS20:$BA20,E$55))</f>
        <v/>
      </c>
      <c r="F73" s="425" t="str">
        <f>IF($B72="","",COUNTIF(Penalties!$AS20:$BA20,F$55))</f>
        <v/>
      </c>
      <c r="G73" s="425" t="str">
        <f>IF($B72="","",COUNTIF(Penalties!$AS20:$BA20,G$55))</f>
        <v/>
      </c>
      <c r="H73" s="425" t="str">
        <f>IF($B72="","",COUNTIF(Penalties!$AS20:$BA20,H$55))</f>
        <v/>
      </c>
      <c r="I73" s="425" t="str">
        <f>IF($B72="","",COUNTIF(Penalties!$AS20:$BA20,I$55))</f>
        <v/>
      </c>
      <c r="J73" s="425" t="str">
        <f>IF($B72="","",COUNTIF(Penalties!$AS20:$BA20,J$55))</f>
        <v/>
      </c>
      <c r="K73" s="425" t="str">
        <f>IF($B72="","",COUNTIF(Penalties!$AS20:$BA20,K$55))</f>
        <v/>
      </c>
      <c r="L73" s="425" t="str">
        <f>IF($B72="","",COUNTIF(Penalties!$AS20:$BA20,L$55))</f>
        <v/>
      </c>
      <c r="M73" s="425" t="str">
        <f>IF($B72="","",COUNTIF(Penalties!$AS20:$BA20,M$55))</f>
        <v/>
      </c>
      <c r="N73" s="425" t="str">
        <f>IF($B72="","",COUNTIF(Penalties!$AS20:$BA20,N$55))</f>
        <v/>
      </c>
      <c r="O73" s="425" t="str">
        <f>IF($B72="","",COUNTIF(Penalties!$AS20:$BA20,O$55))</f>
        <v/>
      </c>
      <c r="P73" s="425" t="str">
        <f>IF($B72="","",COUNTIF(Penalties!$AS20:$BA20,P$55))</f>
        <v/>
      </c>
      <c r="Q73" s="425" t="str">
        <f>IF($B72="","",COUNTIF(Penalties!$AS20:$BA20,Q$55))</f>
        <v/>
      </c>
      <c r="R73" s="425" t="str">
        <f>IF($B72="","",COUNTIF(Penalties!$AS20:$BA20,R$55))</f>
        <v/>
      </c>
      <c r="S73" s="425"/>
      <c r="T73" s="425"/>
      <c r="U73" s="433" t="str">
        <f>IF(B72="","",SUM(E73:T73))</f>
        <v/>
      </c>
      <c r="V73" s="434" t="str">
        <f>IF(B72="","",SUM(E73:T73)*0.5)</f>
        <v/>
      </c>
      <c r="W73" s="435" t="str">
        <f>IF($B72="","",IF(Penalties!$BB20=W$55,1,""))</f>
        <v/>
      </c>
      <c r="X73" s="435" t="str">
        <f>IF($B72="","",IF(Penalties!$BB20=X$55,1,""))</f>
        <v/>
      </c>
      <c r="Y73" s="435" t="str">
        <f>IF($B72="","",IF(Penalties!$BB20=Y$55,1,""))</f>
        <v/>
      </c>
      <c r="Z73" s="435" t="str">
        <f>IF($B72="","",IF(Penalties!$BB20=Z$55,1,""))</f>
        <v/>
      </c>
      <c r="AA73" s="435" t="str">
        <f>IF($B72="","",IF(Penalties!$BB20=AA$55,1,""))</f>
        <v/>
      </c>
      <c r="AB73" s="435" t="str">
        <f>IF($B72="","",IF(Penalties!$BB20=AB$55,1,""))</f>
        <v/>
      </c>
      <c r="AC73" s="435" t="str">
        <f>IF($B72="","",IF(Penalties!$BB20=AC$55,1,""))</f>
        <v/>
      </c>
      <c r="AD73" s="435" t="str">
        <f>IF($B72="","",IF(Penalties!$BB20=AD$55,1,""))</f>
        <v/>
      </c>
      <c r="AE73" s="435" t="str">
        <f>IF($B72="","",IF(Penalties!$BB20=AE$55,1,""))</f>
        <v/>
      </c>
      <c r="AF73" s="435" t="str">
        <f>IF($B72="","",IF(Penalties!$BB20=AF$55,1,""))</f>
        <v/>
      </c>
      <c r="AG73" s="435" t="str">
        <f>IF($B72="","",IF(Penalties!$BB20=AG$55,1,""))</f>
        <v/>
      </c>
      <c r="AH73" s="435" t="str">
        <f>IF($B72="","",IF(Penalties!$BB20=AH$55,1,""))</f>
        <v/>
      </c>
      <c r="AI73" s="435" t="str">
        <f>IF($B72="","",IF(Penalties!$BB20=AI$55,1,""))</f>
        <v/>
      </c>
      <c r="AJ73" s="437" t="str">
        <f>IF(SUM(X72:AI73)=0, "", IF(SUM(X72:AI72)=1, LOOKUP(1, X72:AI72, $X$55:$AI$55), LOOKUP(1, X73:AI73, $X$55:$AI$55)))</f>
        <v/>
      </c>
      <c r="AK73" s="74"/>
      <c r="AL73" s="74"/>
      <c r="AM73" s="74"/>
      <c r="AN73" s="74"/>
      <c r="AO73" s="74"/>
      <c r="AP73" s="74"/>
      <c r="AQ73" s="74"/>
      <c r="AR73" s="74"/>
      <c r="AS73" s="74"/>
      <c r="AT73" s="74"/>
      <c r="AU73" s="74"/>
      <c r="AV73" s="74"/>
      <c r="AW73" s="74"/>
      <c r="AX73" s="74"/>
    </row>
    <row r="74" spans="1:50" x14ac:dyDescent="0.2">
      <c r="A74" s="1486">
        <f>A72+1</f>
        <v>10</v>
      </c>
      <c r="B74" s="1487" t="str">
        <f>IF(IGRF!I23="","",IGRF!I23)</f>
        <v/>
      </c>
      <c r="C74" s="1488" t="str">
        <f>IF(IGRF!J23="","",IGRF!J23)</f>
        <v/>
      </c>
      <c r="D74" s="426" t="s">
        <v>5</v>
      </c>
      <c r="E74" s="426" t="str">
        <f>IF($B74="","",COUNTIF(Penalties!$Q22:$Y22,E$55))</f>
        <v/>
      </c>
      <c r="F74" s="426" t="str">
        <f>IF($B74="","",COUNTIF(Penalties!$Q22:$Y22,F$55))</f>
        <v/>
      </c>
      <c r="G74" s="426" t="str">
        <f>IF($B74="","",COUNTIF(Penalties!$Q22:$Y22,G$55))</f>
        <v/>
      </c>
      <c r="H74" s="426" t="str">
        <f>IF($B74="","",COUNTIF(Penalties!$Q22:$Y22,H$55))</f>
        <v/>
      </c>
      <c r="I74" s="426" t="str">
        <f>IF($B74="","",COUNTIF(Penalties!$Q22:$Y22,I$55))</f>
        <v/>
      </c>
      <c r="J74" s="426" t="str">
        <f>IF($B74="","",COUNTIF(Penalties!$Q22:$Y22,J$55))</f>
        <v/>
      </c>
      <c r="K74" s="426" t="str">
        <f>IF($B74="","",COUNTIF(Penalties!$Q22:$Y22,K$55))</f>
        <v/>
      </c>
      <c r="L74" s="426" t="str">
        <f>IF($B74="","",COUNTIF(Penalties!$Q22:$Y22,L$55))</f>
        <v/>
      </c>
      <c r="M74" s="426" t="str">
        <f>IF($B74="","",COUNTIF(Penalties!$Q22:$Y22,M$55))</f>
        <v/>
      </c>
      <c r="N74" s="426" t="str">
        <f>IF($B74="","",COUNTIF(Penalties!$Q22:$Y22,N$55))</f>
        <v/>
      </c>
      <c r="O74" s="426" t="str">
        <f>IF($B74="","",COUNTIF(Penalties!$Q22:$Y22,O$55))</f>
        <v/>
      </c>
      <c r="P74" s="426" t="str">
        <f>IF($B74="","",COUNTIF(Penalties!$Q22:$Y22,P$55))</f>
        <v/>
      </c>
      <c r="Q74" s="426" t="str">
        <f>IF($B74="","",COUNTIF(Penalties!$Q22:$Y22,Q$55))</f>
        <v/>
      </c>
      <c r="R74" s="426" t="str">
        <f>IF($B74="","",COUNTIF(Penalties!$Q22:$Y22,R$55))</f>
        <v/>
      </c>
      <c r="S74" s="426"/>
      <c r="T74" s="426"/>
      <c r="U74" s="438" t="str">
        <f>IF(B74="","",SUM(E74:T74))</f>
        <v/>
      </c>
      <c r="V74" s="439" t="str">
        <f>IF(B74="","",SUM(E74:T74)*0.5)</f>
        <v/>
      </c>
      <c r="W74" s="440" t="str">
        <f>IF($B74="","",IF(Penalties!$Z22=W$55,1,""))</f>
        <v/>
      </c>
      <c r="X74" s="440" t="str">
        <f>IF($B74="","",IF(Penalties!$Z22=X$55,1,""))</f>
        <v/>
      </c>
      <c r="Y74" s="440" t="str">
        <f>IF($B74="","",IF(Penalties!$Z22=Y$55,1,""))</f>
        <v/>
      </c>
      <c r="Z74" s="440" t="str">
        <f>IF($B74="","",IF(Penalties!$Z22=Z$55,1,""))</f>
        <v/>
      </c>
      <c r="AA74" s="440" t="str">
        <f>IF($B74="","",IF(Penalties!$Z22=AA$55,1,""))</f>
        <v/>
      </c>
      <c r="AB74" s="440" t="str">
        <f>IF($B74="","",IF(Penalties!$Z22=AB$55,1,""))</f>
        <v/>
      </c>
      <c r="AC74" s="440" t="str">
        <f>IF($B74="","",IF(Penalties!$Z22=AC$55,1,""))</f>
        <v/>
      </c>
      <c r="AD74" s="440" t="str">
        <f>IF($B74="","",IF(Penalties!$Z22=AD$55,1,""))</f>
        <v/>
      </c>
      <c r="AE74" s="440" t="str">
        <f>IF($B74="","",IF(Penalties!$Z22=AE$55,1,""))</f>
        <v/>
      </c>
      <c r="AF74" s="440" t="str">
        <f>IF($B74="","",IF(Penalties!$Z22=AF$55,1,""))</f>
        <v/>
      </c>
      <c r="AG74" s="440" t="str">
        <f>IF($B74="","",IF(Penalties!$Z22=AG$55,1,""))</f>
        <v/>
      </c>
      <c r="AH74" s="440" t="str">
        <f>IF($B74="","",IF(Penalties!$Z22=AH$55,1,""))</f>
        <v/>
      </c>
      <c r="AI74" s="440" t="str">
        <f>IF($B74="","",IF(Penalties!$Z22=AI$55,1,""))</f>
        <v/>
      </c>
      <c r="AJ74" s="441"/>
      <c r="AK74" s="74"/>
      <c r="AL74" s="74"/>
      <c r="AM74" s="74"/>
      <c r="AN74" s="74"/>
      <c r="AO74" s="74"/>
      <c r="AP74" s="74"/>
      <c r="AQ74" s="74"/>
      <c r="AR74" s="74"/>
      <c r="AS74" s="74"/>
      <c r="AT74" s="74"/>
      <c r="AU74" s="74"/>
      <c r="AV74" s="74"/>
      <c r="AW74" s="74"/>
      <c r="AX74" s="74"/>
    </row>
    <row r="75" spans="1:50" ht="13.5" thickBot="1" x14ac:dyDescent="0.25">
      <c r="A75" s="1486"/>
      <c r="B75" s="1487"/>
      <c r="C75" s="1488"/>
      <c r="D75" s="426" t="s">
        <v>21</v>
      </c>
      <c r="E75" s="426" t="str">
        <f>IF($B74="","",COUNTIF(Penalties!$AS22:$BA22,E$55))</f>
        <v/>
      </c>
      <c r="F75" s="426" t="str">
        <f>IF($B74="","",COUNTIF(Penalties!$AS22:$BA22,F$55))</f>
        <v/>
      </c>
      <c r="G75" s="426" t="str">
        <f>IF($B74="","",COUNTIF(Penalties!$AS22:$BA22,G$55))</f>
        <v/>
      </c>
      <c r="H75" s="426" t="str">
        <f>IF($B74="","",COUNTIF(Penalties!$AS22:$BA22,H$55))</f>
        <v/>
      </c>
      <c r="I75" s="426" t="str">
        <f>IF($B74="","",COUNTIF(Penalties!$AS22:$BA22,I$55))</f>
        <v/>
      </c>
      <c r="J75" s="426" t="str">
        <f>IF($B74="","",COUNTIF(Penalties!$AS22:$BA22,J$55))</f>
        <v/>
      </c>
      <c r="K75" s="426" t="str">
        <f>IF($B74="","",COUNTIF(Penalties!$AS22:$BA22,K$55))</f>
        <v/>
      </c>
      <c r="L75" s="426" t="str">
        <f>IF($B74="","",COUNTIF(Penalties!$AS22:$BA22,L$55))</f>
        <v/>
      </c>
      <c r="M75" s="426" t="str">
        <f>IF($B74="","",COUNTIF(Penalties!$AS22:$BA22,M$55))</f>
        <v/>
      </c>
      <c r="N75" s="426" t="str">
        <f>IF($B74="","",COUNTIF(Penalties!$AS22:$BA22,N$55))</f>
        <v/>
      </c>
      <c r="O75" s="426" t="str">
        <f>IF($B74="","",COUNTIF(Penalties!$AS22:$BA22,O$55))</f>
        <v/>
      </c>
      <c r="P75" s="426" t="str">
        <f>IF($B74="","",COUNTIF(Penalties!$AS22:$BA22,P$55))</f>
        <v/>
      </c>
      <c r="Q75" s="426" t="str">
        <f>IF($B74="","",COUNTIF(Penalties!$AS22:$BA22,Q$55))</f>
        <v/>
      </c>
      <c r="R75" s="426" t="str">
        <f>IF($B74="","",COUNTIF(Penalties!$AS22:$BA22,R$55))</f>
        <v/>
      </c>
      <c r="S75" s="426"/>
      <c r="T75" s="426"/>
      <c r="U75" s="438" t="str">
        <f>IF(B74="","",SUM(E75:T75))</f>
        <v/>
      </c>
      <c r="V75" s="439" t="str">
        <f>IF(B74="","",SUM(E75:T75)*0.5)</f>
        <v/>
      </c>
      <c r="W75" s="440" t="str">
        <f>IF($B74="","",IF(Penalties!$BB22=W$55,1,""))</f>
        <v/>
      </c>
      <c r="X75" s="440" t="str">
        <f>IF($B74="","",IF(Penalties!$BB22=X$55,1,""))</f>
        <v/>
      </c>
      <c r="Y75" s="440" t="str">
        <f>IF($B74="","",IF(Penalties!$BB22=Y$55,1,""))</f>
        <v/>
      </c>
      <c r="Z75" s="440" t="str">
        <f>IF($B74="","",IF(Penalties!$BB22=Z$55,1,""))</f>
        <v/>
      </c>
      <c r="AA75" s="440" t="str">
        <f>IF($B74="","",IF(Penalties!$BB22=AA$55,1,""))</f>
        <v/>
      </c>
      <c r="AB75" s="440" t="str">
        <f>IF($B74="","",IF(Penalties!$BB22=AB$55,1,""))</f>
        <v/>
      </c>
      <c r="AC75" s="440" t="str">
        <f>IF($B74="","",IF(Penalties!$BB22=AC$55,1,""))</f>
        <v/>
      </c>
      <c r="AD75" s="440" t="str">
        <f>IF($B74="","",IF(Penalties!$BB22=AD$55,1,""))</f>
        <v/>
      </c>
      <c r="AE75" s="440" t="str">
        <f>IF($B74="","",IF(Penalties!$BB22=AE$55,1,""))</f>
        <v/>
      </c>
      <c r="AF75" s="440" t="str">
        <f>IF($B74="","",IF(Penalties!$BB22=AF$55,1,""))</f>
        <v/>
      </c>
      <c r="AG75" s="440" t="str">
        <f>IF($B74="","",IF(Penalties!$BB22=AG$55,1,""))</f>
        <v/>
      </c>
      <c r="AH75" s="440" t="str">
        <f>IF($B74="","",IF(Penalties!$BB22=AH$55,1,""))</f>
        <v/>
      </c>
      <c r="AI75" s="440" t="str">
        <f>IF($B74="","",IF(Penalties!$BB22=AI$55,1,""))</f>
        <v/>
      </c>
      <c r="AJ75" s="442" t="str">
        <f>IF(SUM(X74:AI75)=0, "", IF(SUM(X74:AI74)=1, LOOKUP(1, X74:AI74, $X$55:$AI$55), LOOKUP(1, X75:AI75, $X$55:$AI$55)))</f>
        <v/>
      </c>
      <c r="AK75" s="74"/>
      <c r="AL75" s="74"/>
      <c r="AM75" s="74"/>
      <c r="AN75" s="74"/>
      <c r="AO75" s="74"/>
      <c r="AP75" s="74"/>
      <c r="AQ75" s="74"/>
      <c r="AR75" s="74"/>
      <c r="AS75" s="74"/>
      <c r="AT75" s="74"/>
      <c r="AU75" s="74"/>
      <c r="AV75" s="74"/>
      <c r="AW75" s="74"/>
      <c r="AX75" s="74"/>
    </row>
    <row r="76" spans="1:50" x14ac:dyDescent="0.2">
      <c r="A76" s="1492">
        <f>A74+1</f>
        <v>11</v>
      </c>
      <c r="B76" s="1493" t="str">
        <f>IF(IGRF!I24="","",IGRF!I24)</f>
        <v/>
      </c>
      <c r="C76" s="1494" t="str">
        <f>IF(IGRF!J24="","",IGRF!J24)</f>
        <v/>
      </c>
      <c r="D76" s="432" t="s">
        <v>5</v>
      </c>
      <c r="E76" s="425" t="str">
        <f>IF($B76="","",COUNTIF(Penalties!$Q24:$Y24,E$55))</f>
        <v/>
      </c>
      <c r="F76" s="425" t="str">
        <f>IF($B76="","",COUNTIF(Penalties!$Q24:$Y24,F$55))</f>
        <v/>
      </c>
      <c r="G76" s="425" t="str">
        <f>IF($B76="","",COUNTIF(Penalties!$Q24:$Y24,G$55))</f>
        <v/>
      </c>
      <c r="H76" s="425" t="str">
        <f>IF($B76="","",COUNTIF(Penalties!$Q24:$Y24,H$55))</f>
        <v/>
      </c>
      <c r="I76" s="425" t="str">
        <f>IF($B76="","",COUNTIF(Penalties!$Q24:$Y24,I$55))</f>
        <v/>
      </c>
      <c r="J76" s="425" t="str">
        <f>IF($B76="","",COUNTIF(Penalties!$Q24:$Y24,J$55))</f>
        <v/>
      </c>
      <c r="K76" s="425" t="str">
        <f>IF($B76="","",COUNTIF(Penalties!$Q24:$Y24,K$55))</f>
        <v/>
      </c>
      <c r="L76" s="425" t="str">
        <f>IF($B76="","",COUNTIF(Penalties!$Q24:$Y24,L$55))</f>
        <v/>
      </c>
      <c r="M76" s="425" t="str">
        <f>IF($B76="","",COUNTIF(Penalties!$Q24:$Y24,M$55))</f>
        <v/>
      </c>
      <c r="N76" s="425" t="str">
        <f>IF($B76="","",COUNTIF(Penalties!$Q24:$Y24,N$55))</f>
        <v/>
      </c>
      <c r="O76" s="425" t="str">
        <f>IF($B76="","",COUNTIF(Penalties!$Q24:$Y24,O$55))</f>
        <v/>
      </c>
      <c r="P76" s="425" t="str">
        <f>IF($B76="","",COUNTIF(Penalties!$Q24:$Y24,P$55))</f>
        <v/>
      </c>
      <c r="Q76" s="425" t="str">
        <f>IF($B76="","",COUNTIF(Penalties!$Q24:$Y24,Q$55))</f>
        <v/>
      </c>
      <c r="R76" s="425" t="str">
        <f>IF($B76="","",COUNTIF(Penalties!$Q24:$Y24,R$55))</f>
        <v/>
      </c>
      <c r="S76" s="425"/>
      <c r="T76" s="425"/>
      <c r="U76" s="433" t="str">
        <f>IF(B76="","",SUM(E76:T76))</f>
        <v/>
      </c>
      <c r="V76" s="434" t="str">
        <f>IF(B76="","",SUM(E76:T76)*0.5)</f>
        <v/>
      </c>
      <c r="W76" s="435" t="str">
        <f>IF($B76="","",IF(Penalties!$Z24=W$55,1,""))</f>
        <v/>
      </c>
      <c r="X76" s="435" t="str">
        <f>IF($B76="","",IF(Penalties!$Z24=X$55,1,""))</f>
        <v/>
      </c>
      <c r="Y76" s="435" t="str">
        <f>IF($B76="","",IF(Penalties!$Z24=Y$55,1,""))</f>
        <v/>
      </c>
      <c r="Z76" s="435" t="str">
        <f>IF($B76="","",IF(Penalties!$Z24=Z$55,1,""))</f>
        <v/>
      </c>
      <c r="AA76" s="435" t="str">
        <f>IF($B76="","",IF(Penalties!$Z24=AA$55,1,""))</f>
        <v/>
      </c>
      <c r="AB76" s="435" t="str">
        <f>IF($B76="","",IF(Penalties!$Z24=AB$55,1,""))</f>
        <v/>
      </c>
      <c r="AC76" s="435" t="str">
        <f>IF($B76="","",IF(Penalties!$Z24=AC$55,1,""))</f>
        <v/>
      </c>
      <c r="AD76" s="435" t="str">
        <f>IF($B76="","",IF(Penalties!$Z24=AD$55,1,""))</f>
        <v/>
      </c>
      <c r="AE76" s="435" t="str">
        <f>IF($B76="","",IF(Penalties!$Z24=AE$55,1,""))</f>
        <v/>
      </c>
      <c r="AF76" s="435" t="str">
        <f>IF($B76="","",IF(Penalties!$Z24=AF$55,1,""))</f>
        <v/>
      </c>
      <c r="AG76" s="435" t="str">
        <f>IF($B76="","",IF(Penalties!$Z24=AG$55,1,""))</f>
        <v/>
      </c>
      <c r="AH76" s="435" t="str">
        <f>IF($B76="","",IF(Penalties!$Z24=AH$55,1,""))</f>
        <v/>
      </c>
      <c r="AI76" s="435" t="str">
        <f>IF($B76="","",IF(Penalties!$Z24=AI$55,1,""))</f>
        <v/>
      </c>
      <c r="AJ76" s="436"/>
      <c r="AK76" s="74"/>
      <c r="AL76" s="74"/>
      <c r="AM76" s="74"/>
      <c r="AN76" s="74"/>
      <c r="AO76" s="74"/>
      <c r="AP76" s="74"/>
      <c r="AQ76" s="74"/>
      <c r="AR76" s="74"/>
      <c r="AS76" s="74"/>
      <c r="AT76" s="74"/>
      <c r="AU76" s="74"/>
      <c r="AV76" s="74"/>
      <c r="AW76" s="74"/>
      <c r="AX76" s="74"/>
    </row>
    <row r="77" spans="1:50" x14ac:dyDescent="0.2">
      <c r="A77" s="1492"/>
      <c r="B77" s="1493"/>
      <c r="C77" s="1494"/>
      <c r="D77" s="432" t="s">
        <v>21</v>
      </c>
      <c r="E77" s="425" t="str">
        <f>IF($B76="","",COUNTIF(Penalties!$AS24:$BA24,E$55))</f>
        <v/>
      </c>
      <c r="F77" s="425" t="str">
        <f>IF($B76="","",COUNTIF(Penalties!$AS24:$BA24,F$55))</f>
        <v/>
      </c>
      <c r="G77" s="425" t="str">
        <f>IF($B76="","",COUNTIF(Penalties!$AS24:$BA24,G$55))</f>
        <v/>
      </c>
      <c r="H77" s="425" t="str">
        <f>IF($B76="","",COUNTIF(Penalties!$AS24:$BA24,H$55))</f>
        <v/>
      </c>
      <c r="I77" s="425" t="str">
        <f>IF($B76="","",COUNTIF(Penalties!$AS24:$BA24,I$55))</f>
        <v/>
      </c>
      <c r="J77" s="425" t="str">
        <f>IF($B76="","",COUNTIF(Penalties!$AS24:$BA24,J$55))</f>
        <v/>
      </c>
      <c r="K77" s="425" t="str">
        <f>IF($B76="","",COUNTIF(Penalties!$AS24:$BA24,K$55))</f>
        <v/>
      </c>
      <c r="L77" s="425" t="str">
        <f>IF($B76="","",COUNTIF(Penalties!$AS24:$BA24,L$55))</f>
        <v/>
      </c>
      <c r="M77" s="425" t="str">
        <f>IF($B76="","",COUNTIF(Penalties!$AS24:$BA24,M$55))</f>
        <v/>
      </c>
      <c r="N77" s="425" t="str">
        <f>IF($B76="","",COUNTIF(Penalties!$AS24:$BA24,N$55))</f>
        <v/>
      </c>
      <c r="O77" s="425" t="str">
        <f>IF($B76="","",COUNTIF(Penalties!$AS24:$BA24,O$55))</f>
        <v/>
      </c>
      <c r="P77" s="425" t="str">
        <f>IF($B76="","",COUNTIF(Penalties!$AS24:$BA24,P$55))</f>
        <v/>
      </c>
      <c r="Q77" s="425" t="str">
        <f>IF($B76="","",COUNTIF(Penalties!$AS24:$BA24,Q$55))</f>
        <v/>
      </c>
      <c r="R77" s="425" t="str">
        <f>IF($B76="","",COUNTIF(Penalties!$AS24:$BA24,R$55))</f>
        <v/>
      </c>
      <c r="S77" s="425"/>
      <c r="T77" s="425"/>
      <c r="U77" s="433" t="str">
        <f>IF(B76="","",SUM(E77:T77))</f>
        <v/>
      </c>
      <c r="V77" s="434" t="str">
        <f>IF(B76="","",SUM(E77:T77)*0.5)</f>
        <v/>
      </c>
      <c r="W77" s="435" t="str">
        <f>IF($B76="","",IF(Penalties!$BB24=W$55,1,""))</f>
        <v/>
      </c>
      <c r="X77" s="435" t="str">
        <f>IF($B76="","",IF(Penalties!$BB24=X$55,1,""))</f>
        <v/>
      </c>
      <c r="Y77" s="435" t="str">
        <f>IF($B76="","",IF(Penalties!$BB24=Y$55,1,""))</f>
        <v/>
      </c>
      <c r="Z77" s="435" t="str">
        <f>IF($B76="","",IF(Penalties!$BB24=Z$55,1,""))</f>
        <v/>
      </c>
      <c r="AA77" s="435" t="str">
        <f>IF($B76="","",IF(Penalties!$BB24=AA$55,1,""))</f>
        <v/>
      </c>
      <c r="AB77" s="435" t="str">
        <f>IF($B76="","",IF(Penalties!$BB24=AB$55,1,""))</f>
        <v/>
      </c>
      <c r="AC77" s="435" t="str">
        <f>IF($B76="","",IF(Penalties!$BB24=AC$55,1,""))</f>
        <v/>
      </c>
      <c r="AD77" s="435" t="str">
        <f>IF($B76="","",IF(Penalties!$BB24=AD$55,1,""))</f>
        <v/>
      </c>
      <c r="AE77" s="435" t="str">
        <f>IF($B76="","",IF(Penalties!$BB24=AE$55,1,""))</f>
        <v/>
      </c>
      <c r="AF77" s="435" t="str">
        <f>IF($B76="","",IF(Penalties!$BB24=AF$55,1,""))</f>
        <v/>
      </c>
      <c r="AG77" s="435" t="str">
        <f>IF($B76="","",IF(Penalties!$BB24=AG$55,1,""))</f>
        <v/>
      </c>
      <c r="AH77" s="435" t="str">
        <f>IF($B76="","",IF(Penalties!$BB24=AH$55,1,""))</f>
        <v/>
      </c>
      <c r="AI77" s="435" t="str">
        <f>IF($B76="","",IF(Penalties!$BB24=AI$55,1,""))</f>
        <v/>
      </c>
      <c r="AJ77" s="437" t="str">
        <f>IF(SUM(X76:AI77)=0, "", IF(SUM(X76:AI76)=1, LOOKUP(1, X76:AI76, $X$55:$AI$55), LOOKUP(1, X77:AI77, $X$55:$AI$55)))</f>
        <v/>
      </c>
      <c r="AK77" s="74"/>
      <c r="AL77" s="74"/>
      <c r="AM77" s="74"/>
      <c r="AN77" s="74"/>
      <c r="AO77" s="74"/>
      <c r="AP77" s="74"/>
      <c r="AQ77" s="74"/>
      <c r="AR77" s="74"/>
      <c r="AS77" s="74"/>
      <c r="AT77" s="74"/>
      <c r="AU77" s="74"/>
      <c r="AV77" s="74"/>
      <c r="AW77" s="74"/>
      <c r="AX77" s="74"/>
    </row>
    <row r="78" spans="1:50" x14ac:dyDescent="0.2">
      <c r="A78" s="1486">
        <f>A76+1</f>
        <v>12</v>
      </c>
      <c r="B78" s="1487" t="str">
        <f>IF(IGRF!I25="","",IGRF!I25)</f>
        <v/>
      </c>
      <c r="C78" s="1488" t="str">
        <f>IF(IGRF!J25="","",IGRF!J25)</f>
        <v/>
      </c>
      <c r="D78" s="426" t="s">
        <v>5</v>
      </c>
      <c r="E78" s="426" t="str">
        <f>IF($B78="","",COUNTIF(Penalties!$Q26:$Y26,E$55))</f>
        <v/>
      </c>
      <c r="F78" s="426" t="str">
        <f>IF($B78="","",COUNTIF(Penalties!$Q26:$Y26,F$55))</f>
        <v/>
      </c>
      <c r="G78" s="426" t="str">
        <f>IF($B78="","",COUNTIF(Penalties!$Q26:$Y26,G$55))</f>
        <v/>
      </c>
      <c r="H78" s="426" t="str">
        <f>IF($B78="","",COUNTIF(Penalties!$Q26:$Y26,H$55))</f>
        <v/>
      </c>
      <c r="I78" s="426" t="str">
        <f>IF($B78="","",COUNTIF(Penalties!$Q26:$Y26,I$55))</f>
        <v/>
      </c>
      <c r="J78" s="426" t="str">
        <f>IF($B78="","",COUNTIF(Penalties!$Q26:$Y26,J$55))</f>
        <v/>
      </c>
      <c r="K78" s="426" t="str">
        <f>IF($B78="","",COUNTIF(Penalties!$Q26:$Y26,K$55))</f>
        <v/>
      </c>
      <c r="L78" s="426" t="str">
        <f>IF($B78="","",COUNTIF(Penalties!$Q26:$Y26,L$55))</f>
        <v/>
      </c>
      <c r="M78" s="426" t="str">
        <f>IF($B78="","",COUNTIF(Penalties!$Q26:$Y26,M$55))</f>
        <v/>
      </c>
      <c r="N78" s="426" t="str">
        <f>IF($B78="","",COUNTIF(Penalties!$Q26:$Y26,N$55))</f>
        <v/>
      </c>
      <c r="O78" s="426" t="str">
        <f>IF($B78="","",COUNTIF(Penalties!$Q26:$Y26,O$55))</f>
        <v/>
      </c>
      <c r="P78" s="426" t="str">
        <f>IF($B78="","",COUNTIF(Penalties!$Q26:$Y26,P$55))</f>
        <v/>
      </c>
      <c r="Q78" s="426" t="str">
        <f>IF($B78="","",COUNTIF(Penalties!$Q26:$Y26,Q$55))</f>
        <v/>
      </c>
      <c r="R78" s="426" t="str">
        <f>IF($B78="","",COUNTIF(Penalties!$Q26:$Y26,R$55))</f>
        <v/>
      </c>
      <c r="S78" s="426"/>
      <c r="T78" s="426"/>
      <c r="U78" s="438" t="str">
        <f>IF(B78="","",SUM(E78:T78))</f>
        <v/>
      </c>
      <c r="V78" s="439" t="str">
        <f>IF(B78="","",SUM(E78:T78)*0.5)</f>
        <v/>
      </c>
      <c r="W78" s="440" t="str">
        <f>IF($B78="","",IF(Penalties!$Z26=W$55,1,""))</f>
        <v/>
      </c>
      <c r="X78" s="440" t="str">
        <f>IF($B78="","",IF(Penalties!$Z26=X$55,1,""))</f>
        <v/>
      </c>
      <c r="Y78" s="440" t="str">
        <f>IF($B78="","",IF(Penalties!$Z26=Y$55,1,""))</f>
        <v/>
      </c>
      <c r="Z78" s="440" t="str">
        <f>IF($B78="","",IF(Penalties!$Z26=Z$55,1,""))</f>
        <v/>
      </c>
      <c r="AA78" s="440" t="str">
        <f>IF($B78="","",IF(Penalties!$Z26=AA$55,1,""))</f>
        <v/>
      </c>
      <c r="AB78" s="440" t="str">
        <f>IF($B78="","",IF(Penalties!$Z26=AB$55,1,""))</f>
        <v/>
      </c>
      <c r="AC78" s="440" t="str">
        <f>IF($B78="","",IF(Penalties!$Z26=AC$55,1,""))</f>
        <v/>
      </c>
      <c r="AD78" s="440" t="str">
        <f>IF($B78="","",IF(Penalties!$Z26=AD$55,1,""))</f>
        <v/>
      </c>
      <c r="AE78" s="440" t="str">
        <f>IF($B78="","",IF(Penalties!$Z26=AE$55,1,""))</f>
        <v/>
      </c>
      <c r="AF78" s="440" t="str">
        <f>IF($B78="","",IF(Penalties!$Z26=AF$55,1,""))</f>
        <v/>
      </c>
      <c r="AG78" s="440" t="str">
        <f>IF($B78="","",IF(Penalties!$Z26=AG$55,1,""))</f>
        <v/>
      </c>
      <c r="AH78" s="440" t="str">
        <f>IF($B78="","",IF(Penalties!$Z26=AH$55,1,""))</f>
        <v/>
      </c>
      <c r="AI78" s="440" t="str">
        <f>IF($B78="","",IF(Penalties!$Z26=AI$55,1,""))</f>
        <v/>
      </c>
      <c r="AJ78" s="441"/>
      <c r="AK78" s="74"/>
      <c r="AL78" s="74"/>
      <c r="AM78" s="74"/>
      <c r="AN78" s="74"/>
      <c r="AO78" s="74"/>
      <c r="AP78" s="74"/>
      <c r="AQ78" s="74"/>
      <c r="AR78" s="74"/>
      <c r="AS78" s="74"/>
      <c r="AT78" s="74"/>
      <c r="AU78" s="74"/>
      <c r="AV78" s="74"/>
      <c r="AW78" s="74"/>
      <c r="AX78" s="74"/>
    </row>
    <row r="79" spans="1:50" ht="13.5" thickBot="1" x14ac:dyDescent="0.25">
      <c r="A79" s="1486"/>
      <c r="B79" s="1487"/>
      <c r="C79" s="1488"/>
      <c r="D79" s="426" t="s">
        <v>21</v>
      </c>
      <c r="E79" s="426" t="str">
        <f>IF($B78="","",COUNTIF(Penalties!$AS26:$BA26,E$55))</f>
        <v/>
      </c>
      <c r="F79" s="426" t="str">
        <f>IF($B78="","",COUNTIF(Penalties!$AS26:$BA26,F$55))</f>
        <v/>
      </c>
      <c r="G79" s="426" t="str">
        <f>IF($B78="","",COUNTIF(Penalties!$AS26:$BA26,G$55))</f>
        <v/>
      </c>
      <c r="H79" s="426" t="str">
        <f>IF($B78="","",COUNTIF(Penalties!$AS26:$BA26,H$55))</f>
        <v/>
      </c>
      <c r="I79" s="426" t="str">
        <f>IF($B78="","",COUNTIF(Penalties!$AS26:$BA26,I$55))</f>
        <v/>
      </c>
      <c r="J79" s="426" t="str">
        <f>IF($B78="","",COUNTIF(Penalties!$AS26:$BA26,J$55))</f>
        <v/>
      </c>
      <c r="K79" s="426" t="str">
        <f>IF($B78="","",COUNTIF(Penalties!$AS26:$BA26,K$55))</f>
        <v/>
      </c>
      <c r="L79" s="426" t="str">
        <f>IF($B78="","",COUNTIF(Penalties!$AS26:$BA26,L$55))</f>
        <v/>
      </c>
      <c r="M79" s="426" t="str">
        <f>IF($B78="","",COUNTIF(Penalties!$AS26:$BA26,M$55))</f>
        <v/>
      </c>
      <c r="N79" s="426" t="str">
        <f>IF($B78="","",COUNTIF(Penalties!$AS26:$BA26,N$55))</f>
        <v/>
      </c>
      <c r="O79" s="426" t="str">
        <f>IF($B78="","",COUNTIF(Penalties!$AS26:$BA26,O$55))</f>
        <v/>
      </c>
      <c r="P79" s="426" t="str">
        <f>IF($B78="","",COUNTIF(Penalties!$AS26:$BA26,P$55))</f>
        <v/>
      </c>
      <c r="Q79" s="426" t="str">
        <f>IF($B78="","",COUNTIF(Penalties!$AS26:$BA26,Q$55))</f>
        <v/>
      </c>
      <c r="R79" s="426" t="str">
        <f>IF($B78="","",COUNTIF(Penalties!$AS26:$BA26,R$55))</f>
        <v/>
      </c>
      <c r="S79" s="426"/>
      <c r="T79" s="426"/>
      <c r="U79" s="438" t="str">
        <f>IF(B78="","",SUM(E79:T79))</f>
        <v/>
      </c>
      <c r="V79" s="439" t="str">
        <f>IF(B78="","",SUM(E79:T79)*0.5)</f>
        <v/>
      </c>
      <c r="W79" s="440" t="str">
        <f>IF($B78="","",IF(Penalties!$BB26=W$55,1,""))</f>
        <v/>
      </c>
      <c r="X79" s="440" t="str">
        <f>IF($B78="","",IF(Penalties!$BB26=X$55,1,""))</f>
        <v/>
      </c>
      <c r="Y79" s="440" t="str">
        <f>IF($B78="","",IF(Penalties!$BB26=Y$55,1,""))</f>
        <v/>
      </c>
      <c r="Z79" s="440" t="str">
        <f>IF($B78="","",IF(Penalties!$BB26=Z$55,1,""))</f>
        <v/>
      </c>
      <c r="AA79" s="440" t="str">
        <f>IF($B78="","",IF(Penalties!$BB26=AA$55,1,""))</f>
        <v/>
      </c>
      <c r="AB79" s="440" t="str">
        <f>IF($B78="","",IF(Penalties!$BB26=AB$55,1,""))</f>
        <v/>
      </c>
      <c r="AC79" s="440" t="str">
        <f>IF($B78="","",IF(Penalties!$BB26=AC$55,1,""))</f>
        <v/>
      </c>
      <c r="AD79" s="440" t="str">
        <f>IF($B78="","",IF(Penalties!$BB26=AD$55,1,""))</f>
        <v/>
      </c>
      <c r="AE79" s="440" t="str">
        <f>IF($B78="","",IF(Penalties!$BB26=AE$55,1,""))</f>
        <v/>
      </c>
      <c r="AF79" s="440" t="str">
        <f>IF($B78="","",IF(Penalties!$BB26=AF$55,1,""))</f>
        <v/>
      </c>
      <c r="AG79" s="440" t="str">
        <f>IF($B78="","",IF(Penalties!$BB26=AG$55,1,""))</f>
        <v/>
      </c>
      <c r="AH79" s="440" t="str">
        <f>IF($B78="","",IF(Penalties!$BB26=AH$55,1,""))</f>
        <v/>
      </c>
      <c r="AI79" s="440" t="str">
        <f>IF($B78="","",IF(Penalties!$BB26=AI$55,1,""))</f>
        <v/>
      </c>
      <c r="AJ79" s="442" t="str">
        <f>IF(SUM(X78:AI79)=0, "", IF(SUM(X78:AI78)=1, LOOKUP(1, X78:AI78, $X$55:$AI$55), LOOKUP(1, X79:AI79, $X$55:$AI$55)))</f>
        <v/>
      </c>
      <c r="AK79" s="74"/>
      <c r="AL79" s="74"/>
      <c r="AM79" s="74"/>
      <c r="AN79" s="74"/>
      <c r="AO79" s="74"/>
      <c r="AP79" s="74"/>
      <c r="AQ79" s="74"/>
      <c r="AR79" s="74"/>
      <c r="AS79" s="74"/>
      <c r="AT79" s="74"/>
      <c r="AU79" s="74"/>
      <c r="AV79" s="74"/>
      <c r="AW79" s="74"/>
      <c r="AX79" s="74"/>
    </row>
    <row r="80" spans="1:50" x14ac:dyDescent="0.2">
      <c r="A80" s="1492">
        <f>A78+1</f>
        <v>13</v>
      </c>
      <c r="B80" s="1493" t="str">
        <f>IF(IGRF!I26="","",IGRF!I26)</f>
        <v/>
      </c>
      <c r="C80" s="1494" t="str">
        <f>IF(IGRF!J26="","",IGRF!J26)</f>
        <v/>
      </c>
      <c r="D80" s="432" t="s">
        <v>5</v>
      </c>
      <c r="E80" s="425" t="str">
        <f>IF($B80="","",COUNTIF(Penalties!$Q28:$Y28,E$55))</f>
        <v/>
      </c>
      <c r="F80" s="425" t="str">
        <f>IF($B80="","",COUNTIF(Penalties!$Q28:$Y28,F$55))</f>
        <v/>
      </c>
      <c r="G80" s="425" t="str">
        <f>IF($B80="","",COUNTIF(Penalties!$Q28:$Y28,G$55))</f>
        <v/>
      </c>
      <c r="H80" s="425" t="str">
        <f>IF($B80="","",COUNTIF(Penalties!$Q28:$Y28,H$55))</f>
        <v/>
      </c>
      <c r="I80" s="425" t="str">
        <f>IF($B80="","",COUNTIF(Penalties!$Q28:$Y28,I$55))</f>
        <v/>
      </c>
      <c r="J80" s="425" t="str">
        <f>IF($B80="","",COUNTIF(Penalties!$Q28:$Y28,J$55))</f>
        <v/>
      </c>
      <c r="K80" s="425" t="str">
        <f>IF($B80="","",COUNTIF(Penalties!$Q28:$Y28,K$55))</f>
        <v/>
      </c>
      <c r="L80" s="425" t="str">
        <f>IF($B80="","",COUNTIF(Penalties!$Q28:$Y28,L$55))</f>
        <v/>
      </c>
      <c r="M80" s="425" t="str">
        <f>IF($B80="","",COUNTIF(Penalties!$Q28:$Y28,M$55))</f>
        <v/>
      </c>
      <c r="N80" s="425" t="str">
        <f>IF($B80="","",COUNTIF(Penalties!$Q28:$Y28,N$55))</f>
        <v/>
      </c>
      <c r="O80" s="425" t="str">
        <f>IF($B80="","",COUNTIF(Penalties!$Q28:$Y28,O$55))</f>
        <v/>
      </c>
      <c r="P80" s="425" t="str">
        <f>IF($B80="","",COUNTIF(Penalties!$Q28:$Y28,P$55))</f>
        <v/>
      </c>
      <c r="Q80" s="425" t="str">
        <f>IF($B80="","",COUNTIF(Penalties!$Q28:$Y28,Q$55))</f>
        <v/>
      </c>
      <c r="R80" s="425" t="str">
        <f>IF($B80="","",COUNTIF(Penalties!$Q28:$Y28,R$55))</f>
        <v/>
      </c>
      <c r="S80" s="425"/>
      <c r="T80" s="425"/>
      <c r="U80" s="433" t="str">
        <f>IF(B80="","",SUM(E80:T80))</f>
        <v/>
      </c>
      <c r="V80" s="434" t="str">
        <f>IF(B80="","",SUM(E80:T80)*0.5)</f>
        <v/>
      </c>
      <c r="W80" s="435" t="str">
        <f>IF($B80="","",IF(Penalties!$Z28=W$55,1,""))</f>
        <v/>
      </c>
      <c r="X80" s="435" t="str">
        <f>IF($B80="","",IF(Penalties!$Z28=X$55,1,""))</f>
        <v/>
      </c>
      <c r="Y80" s="435" t="str">
        <f>IF($B80="","",IF(Penalties!$Z28=Y$55,1,""))</f>
        <v/>
      </c>
      <c r="Z80" s="435" t="str">
        <f>IF($B80="","",IF(Penalties!$Z28=Z$55,1,""))</f>
        <v/>
      </c>
      <c r="AA80" s="435" t="str">
        <f>IF($B80="","",IF(Penalties!$Z28=AA$55,1,""))</f>
        <v/>
      </c>
      <c r="AB80" s="435" t="str">
        <f>IF($B80="","",IF(Penalties!$Z28=AB$55,1,""))</f>
        <v/>
      </c>
      <c r="AC80" s="435" t="str">
        <f>IF($B80="","",IF(Penalties!$Z28=AC$55,1,""))</f>
        <v/>
      </c>
      <c r="AD80" s="435" t="str">
        <f>IF($B80="","",IF(Penalties!$Z28=AD$55,1,""))</f>
        <v/>
      </c>
      <c r="AE80" s="435" t="str">
        <f>IF($B80="","",IF(Penalties!$Z28=AE$55,1,""))</f>
        <v/>
      </c>
      <c r="AF80" s="435" t="str">
        <f>IF($B80="","",IF(Penalties!$Z28=AF$55,1,""))</f>
        <v/>
      </c>
      <c r="AG80" s="435" t="str">
        <f>IF($B80="","",IF(Penalties!$Z28=AG$55,1,""))</f>
        <v/>
      </c>
      <c r="AH80" s="435" t="str">
        <f>IF($B80="","",IF(Penalties!$Z28=AH$55,1,""))</f>
        <v/>
      </c>
      <c r="AI80" s="435" t="str">
        <f>IF($B80="","",IF(Penalties!$Z28=AI$55,1,""))</f>
        <v/>
      </c>
      <c r="AJ80" s="436"/>
      <c r="AK80" s="74"/>
      <c r="AL80" s="74"/>
      <c r="AM80" s="74"/>
      <c r="AN80" s="74"/>
      <c r="AO80" s="74"/>
      <c r="AP80" s="74"/>
      <c r="AQ80" s="74"/>
      <c r="AR80" s="74"/>
      <c r="AS80" s="74"/>
      <c r="AT80" s="74"/>
      <c r="AU80" s="74"/>
      <c r="AV80" s="74"/>
      <c r="AW80" s="74"/>
      <c r="AX80" s="74"/>
    </row>
    <row r="81" spans="1:50" x14ac:dyDescent="0.2">
      <c r="A81" s="1492"/>
      <c r="B81" s="1493"/>
      <c r="C81" s="1494"/>
      <c r="D81" s="432" t="s">
        <v>21</v>
      </c>
      <c r="E81" s="425" t="str">
        <f>IF($B80="","",COUNTIF(Penalties!$AS28:$BA28,E$55))</f>
        <v/>
      </c>
      <c r="F81" s="425" t="str">
        <f>IF($B80="","",COUNTIF(Penalties!$AS28:$BA28,F$55))</f>
        <v/>
      </c>
      <c r="G81" s="425" t="str">
        <f>IF($B80="","",COUNTIF(Penalties!$AS28:$BA28,G$55))</f>
        <v/>
      </c>
      <c r="H81" s="425" t="str">
        <f>IF($B80="","",COUNTIF(Penalties!$AS28:$BA28,H$55))</f>
        <v/>
      </c>
      <c r="I81" s="425" t="str">
        <f>IF($B80="","",COUNTIF(Penalties!$AS28:$BA28,I$55))</f>
        <v/>
      </c>
      <c r="J81" s="425" t="str">
        <f>IF($B80="","",COUNTIF(Penalties!$AS28:$BA28,J$55))</f>
        <v/>
      </c>
      <c r="K81" s="425" t="str">
        <f>IF($B80="","",COUNTIF(Penalties!$AS28:$BA28,K$55))</f>
        <v/>
      </c>
      <c r="L81" s="425" t="str">
        <f>IF($B80="","",COUNTIF(Penalties!$AS28:$BA28,L$55))</f>
        <v/>
      </c>
      <c r="M81" s="425" t="str">
        <f>IF($B80="","",COUNTIF(Penalties!$AS28:$BA28,M$55))</f>
        <v/>
      </c>
      <c r="N81" s="425" t="str">
        <f>IF($B80="","",COUNTIF(Penalties!$AS28:$BA28,N$55))</f>
        <v/>
      </c>
      <c r="O81" s="425" t="str">
        <f>IF($B80="","",COUNTIF(Penalties!$AS28:$BA28,O$55))</f>
        <v/>
      </c>
      <c r="P81" s="425" t="str">
        <f>IF($B80="","",COUNTIF(Penalties!$AS28:$BA28,P$55))</f>
        <v/>
      </c>
      <c r="Q81" s="425" t="str">
        <f>IF($B80="","",COUNTIF(Penalties!$AS28:$BA28,Q$55))</f>
        <v/>
      </c>
      <c r="R81" s="425" t="str">
        <f>IF($B80="","",COUNTIF(Penalties!$AS28:$BA28,R$55))</f>
        <v/>
      </c>
      <c r="S81" s="425"/>
      <c r="T81" s="425"/>
      <c r="U81" s="433" t="str">
        <f>IF(B80="","",SUM(E81:T81))</f>
        <v/>
      </c>
      <c r="V81" s="434" t="str">
        <f>IF(B80="","",SUM(E81:T81)*0.5)</f>
        <v/>
      </c>
      <c r="W81" s="435" t="str">
        <f>IF($B80="","",IF(Penalties!$BB28=W$55,1,""))</f>
        <v/>
      </c>
      <c r="X81" s="435" t="str">
        <f>IF($B80="","",IF(Penalties!$BB28=X$55,1,""))</f>
        <v/>
      </c>
      <c r="Y81" s="435" t="str">
        <f>IF($B80="","",IF(Penalties!$BB28=Y$55,1,""))</f>
        <v/>
      </c>
      <c r="Z81" s="435" t="str">
        <f>IF($B80="","",IF(Penalties!$BB28=Z$55,1,""))</f>
        <v/>
      </c>
      <c r="AA81" s="435" t="str">
        <f>IF($B80="","",IF(Penalties!$BB28=AA$55,1,""))</f>
        <v/>
      </c>
      <c r="AB81" s="435" t="str">
        <f>IF($B80="","",IF(Penalties!$BB28=AB$55,1,""))</f>
        <v/>
      </c>
      <c r="AC81" s="435" t="str">
        <f>IF($B80="","",IF(Penalties!$BB28=AC$55,1,""))</f>
        <v/>
      </c>
      <c r="AD81" s="435" t="str">
        <f>IF($B80="","",IF(Penalties!$BB28=AD$55,1,""))</f>
        <v/>
      </c>
      <c r="AE81" s="435" t="str">
        <f>IF($B80="","",IF(Penalties!$BB28=AE$55,1,""))</f>
        <v/>
      </c>
      <c r="AF81" s="435" t="str">
        <f>IF($B80="","",IF(Penalties!$BB28=AF$55,1,""))</f>
        <v/>
      </c>
      <c r="AG81" s="435" t="str">
        <f>IF($B80="","",IF(Penalties!$BB28=AG$55,1,""))</f>
        <v/>
      </c>
      <c r="AH81" s="435" t="str">
        <f>IF($B80="","",IF(Penalties!$BB28=AH$55,1,""))</f>
        <v/>
      </c>
      <c r="AI81" s="435" t="str">
        <f>IF($B80="","",IF(Penalties!$BB28=AI$55,1,""))</f>
        <v/>
      </c>
      <c r="AJ81" s="437" t="str">
        <f>IF(SUM(X80:AI81)=0, "", IF(SUM(X80:AI80)=1, LOOKUP(1, X80:AI80, $X$55:$AI$55), LOOKUP(1, X81:AI81, $X$55:$AI$55)))</f>
        <v/>
      </c>
      <c r="AK81" s="74"/>
      <c r="AL81" s="74"/>
      <c r="AM81" s="74"/>
      <c r="AN81" s="74"/>
      <c r="AO81" s="74"/>
      <c r="AP81" s="74"/>
      <c r="AQ81" s="74"/>
      <c r="AR81" s="74"/>
      <c r="AS81" s="74"/>
      <c r="AT81" s="74"/>
      <c r="AU81" s="74"/>
      <c r="AV81" s="74"/>
      <c r="AW81" s="74"/>
      <c r="AX81" s="74"/>
    </row>
    <row r="82" spans="1:50" x14ac:dyDescent="0.2">
      <c r="A82" s="1486">
        <f>A80+1</f>
        <v>14</v>
      </c>
      <c r="B82" s="1487" t="str">
        <f>IF(IGRF!I27="","",IGRF!I27)</f>
        <v/>
      </c>
      <c r="C82" s="1488" t="str">
        <f>IF(IGRF!J27="","",IGRF!J27)</f>
        <v/>
      </c>
      <c r="D82" s="426" t="s">
        <v>5</v>
      </c>
      <c r="E82" s="426" t="str">
        <f>IF($B82="","",COUNTIF(Penalties!$Q30:$Y30,E$55))</f>
        <v/>
      </c>
      <c r="F82" s="426" t="str">
        <f>IF($B82="","",COUNTIF(Penalties!$Q30:$Y30,F$55))</f>
        <v/>
      </c>
      <c r="G82" s="426" t="str">
        <f>IF($B82="","",COUNTIF(Penalties!$Q30:$Y30,G$55))</f>
        <v/>
      </c>
      <c r="H82" s="426" t="str">
        <f>IF($B82="","",COUNTIF(Penalties!$Q30:$Y30,H$55))</f>
        <v/>
      </c>
      <c r="I82" s="426" t="str">
        <f>IF($B82="","",COUNTIF(Penalties!$Q30:$Y30,I$55))</f>
        <v/>
      </c>
      <c r="J82" s="426" t="str">
        <f>IF($B82="","",COUNTIF(Penalties!$Q30:$Y30,J$55))</f>
        <v/>
      </c>
      <c r="K82" s="426" t="str">
        <f>IF($B82="","",COUNTIF(Penalties!$Q30:$Y30,K$55))</f>
        <v/>
      </c>
      <c r="L82" s="426" t="str">
        <f>IF($B82="","",COUNTIF(Penalties!$Q30:$Y30,L$55))</f>
        <v/>
      </c>
      <c r="M82" s="426" t="str">
        <f>IF($B82="","",COUNTIF(Penalties!$Q30:$Y30,M$55))</f>
        <v/>
      </c>
      <c r="N82" s="426" t="str">
        <f>IF($B82="","",COUNTIF(Penalties!$Q30:$Y30,N$55))</f>
        <v/>
      </c>
      <c r="O82" s="426" t="str">
        <f>IF($B82="","",COUNTIF(Penalties!$Q30:$Y30,O$55))</f>
        <v/>
      </c>
      <c r="P82" s="426" t="str">
        <f>IF($B82="","",COUNTIF(Penalties!$Q30:$Y30,P$55))</f>
        <v/>
      </c>
      <c r="Q82" s="426" t="str">
        <f>IF($B82="","",COUNTIF(Penalties!$Q30:$Y30,Q$55))</f>
        <v/>
      </c>
      <c r="R82" s="426" t="str">
        <f>IF($B82="","",COUNTIF(Penalties!$Q30:$Y30,R$55))</f>
        <v/>
      </c>
      <c r="S82" s="426"/>
      <c r="T82" s="426"/>
      <c r="U82" s="438" t="str">
        <f>IF(B82="","",SUM(E82:T82))</f>
        <v/>
      </c>
      <c r="V82" s="439" t="str">
        <f>IF(B82="","",SUM(E82:T82)*0.5)</f>
        <v/>
      </c>
      <c r="W82" s="440" t="str">
        <f>IF($B82="","",IF(Penalties!$Z30=W$55,1,""))</f>
        <v/>
      </c>
      <c r="X82" s="440" t="str">
        <f>IF($B82="","",IF(Penalties!$Z30=X$55,1,""))</f>
        <v/>
      </c>
      <c r="Y82" s="440" t="str">
        <f>IF($B82="","",IF(Penalties!$Z30=Y$55,1,""))</f>
        <v/>
      </c>
      <c r="Z82" s="440" t="str">
        <f>IF($B82="","",IF(Penalties!$Z30=Z$55,1,""))</f>
        <v/>
      </c>
      <c r="AA82" s="440" t="str">
        <f>IF($B82="","",IF(Penalties!$Z30=AA$55,1,""))</f>
        <v/>
      </c>
      <c r="AB82" s="440" t="str">
        <f>IF($B82="","",IF(Penalties!$Z30=AB$55,1,""))</f>
        <v/>
      </c>
      <c r="AC82" s="440" t="str">
        <f>IF($B82="","",IF(Penalties!$Z30=AC$55,1,""))</f>
        <v/>
      </c>
      <c r="AD82" s="440" t="str">
        <f>IF($B82="","",IF(Penalties!$Z30=AD$55,1,""))</f>
        <v/>
      </c>
      <c r="AE82" s="440" t="str">
        <f>IF($B82="","",IF(Penalties!$Z30=AE$55,1,""))</f>
        <v/>
      </c>
      <c r="AF82" s="440" t="str">
        <f>IF($B82="","",IF(Penalties!$Z30=AF$55,1,""))</f>
        <v/>
      </c>
      <c r="AG82" s="440" t="str">
        <f>IF($B82="","",IF(Penalties!$Z30=AG$55,1,""))</f>
        <v/>
      </c>
      <c r="AH82" s="440" t="str">
        <f>IF($B82="","",IF(Penalties!$Z30=AH$55,1,""))</f>
        <v/>
      </c>
      <c r="AI82" s="440" t="str">
        <f>IF($B82="","",IF(Penalties!$Z30=AI$55,1,""))</f>
        <v/>
      </c>
      <c r="AJ82" s="441"/>
      <c r="AK82" s="74"/>
      <c r="AL82" s="74"/>
      <c r="AM82" s="74"/>
      <c r="AN82" s="74"/>
      <c r="AO82" s="74"/>
      <c r="AP82" s="74"/>
      <c r="AQ82" s="74"/>
      <c r="AR82" s="74"/>
      <c r="AS82" s="74"/>
      <c r="AT82" s="74"/>
      <c r="AU82" s="74"/>
      <c r="AV82" s="74"/>
      <c r="AW82" s="74"/>
      <c r="AX82" s="74"/>
    </row>
    <row r="83" spans="1:50" ht="13.5" thickBot="1" x14ac:dyDescent="0.25">
      <c r="A83" s="1486"/>
      <c r="B83" s="1487"/>
      <c r="C83" s="1488"/>
      <c r="D83" s="426" t="s">
        <v>21</v>
      </c>
      <c r="E83" s="426" t="str">
        <f>IF($B82="","",COUNTIF(Penalties!$AS30:$BA30,E$55))</f>
        <v/>
      </c>
      <c r="F83" s="426" t="str">
        <f>IF($B82="","",COUNTIF(Penalties!$AS30:$BA30,F$55))</f>
        <v/>
      </c>
      <c r="G83" s="426" t="str">
        <f>IF($B82="","",COUNTIF(Penalties!$AS30:$BA30,G$55))</f>
        <v/>
      </c>
      <c r="H83" s="426" t="str">
        <f>IF($B82="","",COUNTIF(Penalties!$AS30:$BA30,H$55))</f>
        <v/>
      </c>
      <c r="I83" s="426" t="str">
        <f>IF($B82="","",COUNTIF(Penalties!$AS30:$BA30,I$55))</f>
        <v/>
      </c>
      <c r="J83" s="426" t="str">
        <f>IF($B82="","",COUNTIF(Penalties!$AS30:$BA30,J$55))</f>
        <v/>
      </c>
      <c r="K83" s="426" t="str">
        <f>IF($B82="","",COUNTIF(Penalties!$AS30:$BA30,K$55))</f>
        <v/>
      </c>
      <c r="L83" s="426" t="str">
        <f>IF($B82="","",COUNTIF(Penalties!$AS30:$BA30,L$55))</f>
        <v/>
      </c>
      <c r="M83" s="426" t="str">
        <f>IF($B82="","",COUNTIF(Penalties!$AS30:$BA30,M$55))</f>
        <v/>
      </c>
      <c r="N83" s="426" t="str">
        <f>IF($B82="","",COUNTIF(Penalties!$AS30:$BA30,N$55))</f>
        <v/>
      </c>
      <c r="O83" s="426" t="str">
        <f>IF($B82="","",COUNTIF(Penalties!$AS30:$BA30,O$55))</f>
        <v/>
      </c>
      <c r="P83" s="426" t="str">
        <f>IF($B82="","",COUNTIF(Penalties!$AS30:$BA30,P$55))</f>
        <v/>
      </c>
      <c r="Q83" s="426" t="str">
        <f>IF($B82="","",COUNTIF(Penalties!$AS30:$BA30,Q$55))</f>
        <v/>
      </c>
      <c r="R83" s="426" t="str">
        <f>IF($B82="","",COUNTIF(Penalties!$AS30:$BA30,R$55))</f>
        <v/>
      </c>
      <c r="S83" s="426"/>
      <c r="T83" s="426"/>
      <c r="U83" s="438" t="str">
        <f>IF(B82="","",SUM(E83:T83))</f>
        <v/>
      </c>
      <c r="V83" s="439" t="str">
        <f>IF(B82="","",SUM(E83:T83)*0.5)</f>
        <v/>
      </c>
      <c r="W83" s="440" t="str">
        <f>IF($B82="","",IF(Penalties!$BB30=W$55,1,""))</f>
        <v/>
      </c>
      <c r="X83" s="440" t="str">
        <f>IF($B82="","",IF(Penalties!$BB30=X$55,1,""))</f>
        <v/>
      </c>
      <c r="Y83" s="440" t="str">
        <f>IF($B82="","",IF(Penalties!$BB30=Y$55,1,""))</f>
        <v/>
      </c>
      <c r="Z83" s="440" t="str">
        <f>IF($B82="","",IF(Penalties!$BB30=Z$55,1,""))</f>
        <v/>
      </c>
      <c r="AA83" s="440" t="str">
        <f>IF($B82="","",IF(Penalties!$BB30=AA$55,1,""))</f>
        <v/>
      </c>
      <c r="AB83" s="440" t="str">
        <f>IF($B82="","",IF(Penalties!$BB30=AB$55,1,""))</f>
        <v/>
      </c>
      <c r="AC83" s="440" t="str">
        <f>IF($B82="","",IF(Penalties!$BB30=AC$55,1,""))</f>
        <v/>
      </c>
      <c r="AD83" s="440" t="str">
        <f>IF($B82="","",IF(Penalties!$BB30=AD$55,1,""))</f>
        <v/>
      </c>
      <c r="AE83" s="440" t="str">
        <f>IF($B82="","",IF(Penalties!$BB30=AE$55,1,""))</f>
        <v/>
      </c>
      <c r="AF83" s="440" t="str">
        <f>IF($B82="","",IF(Penalties!$BB30=AF$55,1,""))</f>
        <v/>
      </c>
      <c r="AG83" s="440" t="str">
        <f>IF($B82="","",IF(Penalties!$BB30=AG$55,1,""))</f>
        <v/>
      </c>
      <c r="AH83" s="440" t="str">
        <f>IF($B82="","",IF(Penalties!$BB30=AH$55,1,""))</f>
        <v/>
      </c>
      <c r="AI83" s="440" t="str">
        <f>IF($B82="","",IF(Penalties!$BB30=AI$55,1,""))</f>
        <v/>
      </c>
      <c r="AJ83" s="442" t="str">
        <f>IF(SUM(X82:AI83)=0, "", IF(SUM(X82:AI82)=1, LOOKUP(1, X82:AI82, $X$55:$AI$55), LOOKUP(1, X83:AI83, $X$55:$AI$55)))</f>
        <v/>
      </c>
      <c r="AK83" s="74"/>
      <c r="AL83" s="74"/>
      <c r="AM83" s="74"/>
      <c r="AN83" s="74"/>
      <c r="AO83" s="74"/>
      <c r="AP83" s="74"/>
      <c r="AQ83" s="74"/>
      <c r="AR83" s="74"/>
      <c r="AS83" s="74"/>
      <c r="AT83" s="74"/>
      <c r="AU83" s="74"/>
      <c r="AV83" s="74"/>
      <c r="AW83" s="74"/>
      <c r="AX83" s="74"/>
    </row>
    <row r="84" spans="1:50" x14ac:dyDescent="0.2">
      <c r="A84" s="1492">
        <f>A82+1</f>
        <v>15</v>
      </c>
      <c r="B84" s="1493" t="str">
        <f>IF(IGRF!I28="","",IGRF!I28)</f>
        <v/>
      </c>
      <c r="C84" s="1494" t="str">
        <f>IF(IGRF!J28="","",IGRF!J28)</f>
        <v/>
      </c>
      <c r="D84" s="432" t="s">
        <v>5</v>
      </c>
      <c r="E84" s="425" t="str">
        <f>IF($B84="","",COUNTIF(Penalties!$Q32:$Y32,E$55))</f>
        <v/>
      </c>
      <c r="F84" s="425" t="str">
        <f>IF($B84="","",COUNTIF(Penalties!$Q32:$Y32,F$55))</f>
        <v/>
      </c>
      <c r="G84" s="425" t="str">
        <f>IF($B84="","",COUNTIF(Penalties!$Q32:$Y32,G$55))</f>
        <v/>
      </c>
      <c r="H84" s="425" t="str">
        <f>IF($B84="","",COUNTIF(Penalties!$Q32:$Y32,H$55))</f>
        <v/>
      </c>
      <c r="I84" s="425" t="str">
        <f>IF($B84="","",COUNTIF(Penalties!$Q32:$Y32,I$55))</f>
        <v/>
      </c>
      <c r="J84" s="425" t="str">
        <f>IF($B84="","",COUNTIF(Penalties!$Q32:$Y32,J$55))</f>
        <v/>
      </c>
      <c r="K84" s="425" t="str">
        <f>IF($B84="","",COUNTIF(Penalties!$Q32:$Y32,K$55))</f>
        <v/>
      </c>
      <c r="L84" s="425" t="str">
        <f>IF($B84="","",COUNTIF(Penalties!$Q32:$Y32,L$55))</f>
        <v/>
      </c>
      <c r="M84" s="425" t="str">
        <f>IF($B84="","",COUNTIF(Penalties!$Q32:$Y32,M$55))</f>
        <v/>
      </c>
      <c r="N84" s="425" t="str">
        <f>IF($B84="","",COUNTIF(Penalties!$Q32:$Y32,N$55))</f>
        <v/>
      </c>
      <c r="O84" s="425" t="str">
        <f>IF($B84="","",COUNTIF(Penalties!$Q32:$Y32,O$55))</f>
        <v/>
      </c>
      <c r="P84" s="425" t="str">
        <f>IF($B84="","",COUNTIF(Penalties!$Q32:$Y32,P$55))</f>
        <v/>
      </c>
      <c r="Q84" s="425" t="str">
        <f>IF($B84="","",COUNTIF(Penalties!$Q32:$Y32,Q$55))</f>
        <v/>
      </c>
      <c r="R84" s="425" t="str">
        <f>IF($B84="","",COUNTIF(Penalties!$Q32:$Y32,R$55))</f>
        <v/>
      </c>
      <c r="S84" s="425"/>
      <c r="T84" s="425"/>
      <c r="U84" s="433" t="str">
        <f>IF(B84="","",SUM(E84:T84))</f>
        <v/>
      </c>
      <c r="V84" s="434" t="str">
        <f>IF(B84="","",SUM(E84:T84)*0.5)</f>
        <v/>
      </c>
      <c r="W84" s="435" t="str">
        <f>IF($B84="","",IF(Penalties!$Z32=W$55,1,""))</f>
        <v/>
      </c>
      <c r="X84" s="435" t="str">
        <f>IF($B84="","",IF(Penalties!$Z32=X$55,1,""))</f>
        <v/>
      </c>
      <c r="Y84" s="435" t="str">
        <f>IF($B84="","",IF(Penalties!$Z32=Y$55,1,""))</f>
        <v/>
      </c>
      <c r="Z84" s="435" t="str">
        <f>IF($B84="","",IF(Penalties!$Z32=Z$55,1,""))</f>
        <v/>
      </c>
      <c r="AA84" s="435" t="str">
        <f>IF($B84="","",IF(Penalties!$Z32=AA$55,1,""))</f>
        <v/>
      </c>
      <c r="AB84" s="435" t="str">
        <f>IF($B84="","",IF(Penalties!$Z32=AB$55,1,""))</f>
        <v/>
      </c>
      <c r="AC84" s="435" t="str">
        <f>IF($B84="","",IF(Penalties!$Z32=AC$55,1,""))</f>
        <v/>
      </c>
      <c r="AD84" s="435" t="str">
        <f>IF($B84="","",IF(Penalties!$Z32=AD$55,1,""))</f>
        <v/>
      </c>
      <c r="AE84" s="435" t="str">
        <f>IF($B84="","",IF(Penalties!$Z32=AE$55,1,""))</f>
        <v/>
      </c>
      <c r="AF84" s="435" t="str">
        <f>IF($B84="","",IF(Penalties!$Z32=AF$55,1,""))</f>
        <v/>
      </c>
      <c r="AG84" s="435" t="str">
        <f>IF($B84="","",IF(Penalties!$Z32=AG$55,1,""))</f>
        <v/>
      </c>
      <c r="AH84" s="435" t="str">
        <f>IF($B84="","",IF(Penalties!$Z32=AH$55,1,""))</f>
        <v/>
      </c>
      <c r="AI84" s="435" t="str">
        <f>IF($B84="","",IF(Penalties!$Z32=AI$55,1,""))</f>
        <v/>
      </c>
      <c r="AJ84" s="436"/>
      <c r="AK84" s="74"/>
      <c r="AL84" s="74"/>
      <c r="AM84" s="74"/>
      <c r="AN84" s="74"/>
      <c r="AO84" s="74"/>
      <c r="AP84" s="74"/>
      <c r="AQ84" s="74"/>
      <c r="AR84" s="74"/>
      <c r="AS84" s="74"/>
      <c r="AT84" s="74"/>
      <c r="AU84" s="74"/>
      <c r="AV84" s="74"/>
      <c r="AW84" s="74"/>
      <c r="AX84" s="74"/>
    </row>
    <row r="85" spans="1:50" x14ac:dyDescent="0.2">
      <c r="A85" s="1492"/>
      <c r="B85" s="1493"/>
      <c r="C85" s="1494"/>
      <c r="D85" s="432" t="s">
        <v>21</v>
      </c>
      <c r="E85" s="425" t="str">
        <f>IF($B84="","",COUNTIF(Penalties!$AS32:$BA32,E$55))</f>
        <v/>
      </c>
      <c r="F85" s="425" t="str">
        <f>IF($B84="","",COUNTIF(Penalties!$AS32:$BA32,F$55))</f>
        <v/>
      </c>
      <c r="G85" s="425" t="str">
        <f>IF($B84="","",COUNTIF(Penalties!$AS32:$BA32,G$55))</f>
        <v/>
      </c>
      <c r="H85" s="425" t="str">
        <f>IF($B84="","",COUNTIF(Penalties!$AS32:$BA32,H$55))</f>
        <v/>
      </c>
      <c r="I85" s="425" t="str">
        <f>IF($B84="","",COUNTIF(Penalties!$AS32:$BA32,I$55))</f>
        <v/>
      </c>
      <c r="J85" s="425" t="str">
        <f>IF($B84="","",COUNTIF(Penalties!$AS32:$BA32,J$55))</f>
        <v/>
      </c>
      <c r="K85" s="425" t="str">
        <f>IF($B84="","",COUNTIF(Penalties!$AS32:$BA32,K$55))</f>
        <v/>
      </c>
      <c r="L85" s="425" t="str">
        <f>IF($B84="","",COUNTIF(Penalties!$AS32:$BA32,L$55))</f>
        <v/>
      </c>
      <c r="M85" s="425" t="str">
        <f>IF($B84="","",COUNTIF(Penalties!$AS32:$BA32,M$55))</f>
        <v/>
      </c>
      <c r="N85" s="425" t="str">
        <f>IF($B84="","",COUNTIF(Penalties!$AS32:$BA32,N$55))</f>
        <v/>
      </c>
      <c r="O85" s="425" t="str">
        <f>IF($B84="","",COUNTIF(Penalties!$AS32:$BA32,O$55))</f>
        <v/>
      </c>
      <c r="P85" s="425" t="str">
        <f>IF($B84="","",COUNTIF(Penalties!$AS32:$BA32,P$55))</f>
        <v/>
      </c>
      <c r="Q85" s="425" t="str">
        <f>IF($B84="","",COUNTIF(Penalties!$AS32:$BA32,Q$55))</f>
        <v/>
      </c>
      <c r="R85" s="425" t="str">
        <f>IF($B84="","",COUNTIF(Penalties!$AS32:$BA32,R$55))</f>
        <v/>
      </c>
      <c r="S85" s="425"/>
      <c r="T85" s="425"/>
      <c r="U85" s="433" t="str">
        <f>IF(B84="","",SUM(E85:T85))</f>
        <v/>
      </c>
      <c r="V85" s="434" t="str">
        <f>IF(B84="","",SUM(E85:T85)*0.5)</f>
        <v/>
      </c>
      <c r="W85" s="435" t="str">
        <f>IF($B84="","",IF(Penalties!$BB32=W$55,1,""))</f>
        <v/>
      </c>
      <c r="X85" s="435" t="str">
        <f>IF($B84="","",IF(Penalties!$BB32=X$55,1,""))</f>
        <v/>
      </c>
      <c r="Y85" s="435" t="str">
        <f>IF($B84="","",IF(Penalties!$BB32=Y$55,1,""))</f>
        <v/>
      </c>
      <c r="Z85" s="435" t="str">
        <f>IF($B84="","",IF(Penalties!$BB32=Z$55,1,""))</f>
        <v/>
      </c>
      <c r="AA85" s="435" t="str">
        <f>IF($B84="","",IF(Penalties!$BB32=AA$55,1,""))</f>
        <v/>
      </c>
      <c r="AB85" s="435" t="str">
        <f>IF($B84="","",IF(Penalties!$BB32=AB$55,1,""))</f>
        <v/>
      </c>
      <c r="AC85" s="435" t="str">
        <f>IF($B84="","",IF(Penalties!$BB32=AC$55,1,""))</f>
        <v/>
      </c>
      <c r="AD85" s="435" t="str">
        <f>IF($B84="","",IF(Penalties!$BB32=AD$55,1,""))</f>
        <v/>
      </c>
      <c r="AE85" s="435" t="str">
        <f>IF($B84="","",IF(Penalties!$BB32=AE$55,1,""))</f>
        <v/>
      </c>
      <c r="AF85" s="435" t="str">
        <f>IF($B84="","",IF(Penalties!$BB32=AF$55,1,""))</f>
        <v/>
      </c>
      <c r="AG85" s="435" t="str">
        <f>IF($B84="","",IF(Penalties!$BB32=AG$55,1,""))</f>
        <v/>
      </c>
      <c r="AH85" s="435" t="str">
        <f>IF($B84="","",IF(Penalties!$BB32=AH$55,1,""))</f>
        <v/>
      </c>
      <c r="AI85" s="435" t="str">
        <f>IF($B84="","",IF(Penalties!$BB32=AI$55,1,""))</f>
        <v/>
      </c>
      <c r="AJ85" s="437" t="str">
        <f>IF(SUM(X84:AI85)=0, "", IF(SUM(X84:AI84)=1, LOOKUP(1, X84:AI84, $X$55:$AI$55), LOOKUP(1, X85:AI85, $X$55:$AI$55)))</f>
        <v/>
      </c>
      <c r="AK85" s="74"/>
      <c r="AL85" s="74"/>
      <c r="AM85" s="74"/>
      <c r="AN85" s="74"/>
      <c r="AO85" s="74"/>
      <c r="AP85" s="74"/>
      <c r="AQ85" s="74"/>
      <c r="AR85" s="74"/>
      <c r="AS85" s="74"/>
      <c r="AT85" s="74"/>
      <c r="AU85" s="74"/>
      <c r="AV85" s="74"/>
      <c r="AW85" s="74"/>
      <c r="AX85" s="74"/>
    </row>
    <row r="86" spans="1:50" x14ac:dyDescent="0.2">
      <c r="A86" s="1486">
        <f>A84+1</f>
        <v>16</v>
      </c>
      <c r="B86" s="1487" t="str">
        <f>IF(IGRF!I29="","",IGRF!I29)</f>
        <v/>
      </c>
      <c r="C86" s="1488" t="str">
        <f>IF(IGRF!J29="","",IGRF!J29)</f>
        <v/>
      </c>
      <c r="D86" s="426" t="s">
        <v>5</v>
      </c>
      <c r="E86" s="426" t="str">
        <f>IF($B86="","",COUNTIF(Penalties!$Q34:$Y34,E$55))</f>
        <v/>
      </c>
      <c r="F86" s="426" t="str">
        <f>IF($B86="","",COUNTIF(Penalties!$Q34:$Y34,F$55))</f>
        <v/>
      </c>
      <c r="G86" s="426" t="str">
        <f>IF($B86="","",COUNTIF(Penalties!$Q34:$Y34,G$55))</f>
        <v/>
      </c>
      <c r="H86" s="426" t="str">
        <f>IF($B86="","",COUNTIF(Penalties!$Q34:$Y34,H$55))</f>
        <v/>
      </c>
      <c r="I86" s="426" t="str">
        <f>IF($B86="","",COUNTIF(Penalties!$Q34:$Y34,I$55))</f>
        <v/>
      </c>
      <c r="J86" s="426" t="str">
        <f>IF($B86="","",COUNTIF(Penalties!$Q34:$Y34,J$55))</f>
        <v/>
      </c>
      <c r="K86" s="426" t="str">
        <f>IF($B86="","",COUNTIF(Penalties!$Q34:$Y34,K$55))</f>
        <v/>
      </c>
      <c r="L86" s="426" t="str">
        <f>IF($B86="","",COUNTIF(Penalties!$Q34:$Y34,L$55))</f>
        <v/>
      </c>
      <c r="M86" s="426" t="str">
        <f>IF($B86="","",COUNTIF(Penalties!$Q34:$Y34,M$55))</f>
        <v/>
      </c>
      <c r="N86" s="426" t="str">
        <f>IF($B86="","",COUNTIF(Penalties!$Q34:$Y34,N$55))</f>
        <v/>
      </c>
      <c r="O86" s="426" t="str">
        <f>IF($B86="","",COUNTIF(Penalties!$Q34:$Y34,O$55))</f>
        <v/>
      </c>
      <c r="P86" s="426" t="str">
        <f>IF($B86="","",COUNTIF(Penalties!$Q34:$Y34,P$55))</f>
        <v/>
      </c>
      <c r="Q86" s="426" t="str">
        <f>IF($B86="","",COUNTIF(Penalties!$Q34:$Y34,Q$55))</f>
        <v/>
      </c>
      <c r="R86" s="426" t="str">
        <f>IF($B86="","",COUNTIF(Penalties!$Q34:$Y34,R$55))</f>
        <v/>
      </c>
      <c r="S86" s="426"/>
      <c r="T86" s="426"/>
      <c r="U86" s="438" t="str">
        <f>IF(B86="","",SUM(E86:T86))</f>
        <v/>
      </c>
      <c r="V86" s="439" t="str">
        <f>IF(B86="","",SUM(E86:T86)*0.5)</f>
        <v/>
      </c>
      <c r="W86" s="440" t="str">
        <f>IF($B86="","",IF(Penalties!$Z34=W$55,1,""))</f>
        <v/>
      </c>
      <c r="X86" s="440" t="str">
        <f>IF($B86="","",IF(Penalties!$Z34=X$55,1,""))</f>
        <v/>
      </c>
      <c r="Y86" s="440" t="str">
        <f>IF($B86="","",IF(Penalties!$Z34=Y$55,1,""))</f>
        <v/>
      </c>
      <c r="Z86" s="440" t="str">
        <f>IF($B86="","",IF(Penalties!$Z34=Z$55,1,""))</f>
        <v/>
      </c>
      <c r="AA86" s="440" t="str">
        <f>IF($B86="","",IF(Penalties!$Z34=AA$55,1,""))</f>
        <v/>
      </c>
      <c r="AB86" s="440" t="str">
        <f>IF($B86="","",IF(Penalties!$Z34=AB$55,1,""))</f>
        <v/>
      </c>
      <c r="AC86" s="440" t="str">
        <f>IF($B86="","",IF(Penalties!$Z34=AC$55,1,""))</f>
        <v/>
      </c>
      <c r="AD86" s="440" t="str">
        <f>IF($B86="","",IF(Penalties!$Z34=AD$55,1,""))</f>
        <v/>
      </c>
      <c r="AE86" s="440" t="str">
        <f>IF($B86="","",IF(Penalties!$Z34=AE$55,1,""))</f>
        <v/>
      </c>
      <c r="AF86" s="440" t="str">
        <f>IF($B86="","",IF(Penalties!$Z34=AF$55,1,""))</f>
        <v/>
      </c>
      <c r="AG86" s="440" t="str">
        <f>IF($B86="","",IF(Penalties!$Z34=AG$55,1,""))</f>
        <v/>
      </c>
      <c r="AH86" s="440" t="str">
        <f>IF($B86="","",IF(Penalties!$Z34=AH$55,1,""))</f>
        <v/>
      </c>
      <c r="AI86" s="440" t="str">
        <f>IF($B86="","",IF(Penalties!$Z34=AI$55,1,""))</f>
        <v/>
      </c>
      <c r="AJ86" s="441"/>
      <c r="AK86" s="74"/>
      <c r="AL86" s="74"/>
      <c r="AM86" s="74"/>
      <c r="AN86" s="74"/>
      <c r="AO86" s="74"/>
      <c r="AP86" s="74"/>
      <c r="AQ86" s="74"/>
      <c r="AR86" s="74"/>
      <c r="AS86" s="74"/>
      <c r="AT86" s="74"/>
      <c r="AU86" s="74"/>
      <c r="AV86" s="74"/>
      <c r="AW86" s="74"/>
      <c r="AX86" s="74"/>
    </row>
    <row r="87" spans="1:50" ht="13.5" thickBot="1" x14ac:dyDescent="0.25">
      <c r="A87" s="1486"/>
      <c r="B87" s="1487"/>
      <c r="C87" s="1488"/>
      <c r="D87" s="426" t="s">
        <v>21</v>
      </c>
      <c r="E87" s="426" t="str">
        <f>IF($B86="","",COUNTIF(Penalties!$AS34:$BA34,E$55))</f>
        <v/>
      </c>
      <c r="F87" s="426" t="str">
        <f>IF($B86="","",COUNTIF(Penalties!$AS34:$BA34,F$55))</f>
        <v/>
      </c>
      <c r="G87" s="426" t="str">
        <f>IF($B86="","",COUNTIF(Penalties!$AS34:$BA34,G$55))</f>
        <v/>
      </c>
      <c r="H87" s="426" t="str">
        <f>IF($B86="","",COUNTIF(Penalties!$AS34:$BA34,H$55))</f>
        <v/>
      </c>
      <c r="I87" s="426" t="str">
        <f>IF($B86="","",COUNTIF(Penalties!$AS34:$BA34,I$55))</f>
        <v/>
      </c>
      <c r="J87" s="426" t="str">
        <f>IF($B86="","",COUNTIF(Penalties!$AS34:$BA34,J$55))</f>
        <v/>
      </c>
      <c r="K87" s="426" t="str">
        <f>IF($B86="","",COUNTIF(Penalties!$AS34:$BA34,K$55))</f>
        <v/>
      </c>
      <c r="L87" s="426" t="str">
        <f>IF($B86="","",COUNTIF(Penalties!$AS34:$BA34,L$55))</f>
        <v/>
      </c>
      <c r="M87" s="426" t="str">
        <f>IF($B86="","",COUNTIF(Penalties!$AS34:$BA34,M$55))</f>
        <v/>
      </c>
      <c r="N87" s="426" t="str">
        <f>IF($B86="","",COUNTIF(Penalties!$AS34:$BA34,N$55))</f>
        <v/>
      </c>
      <c r="O87" s="426" t="str">
        <f>IF($B86="","",COUNTIF(Penalties!$AS34:$BA34,O$55))</f>
        <v/>
      </c>
      <c r="P87" s="426" t="str">
        <f>IF($B86="","",COUNTIF(Penalties!$AS34:$BA34,P$55))</f>
        <v/>
      </c>
      <c r="Q87" s="426" t="str">
        <f>IF($B86="","",COUNTIF(Penalties!$AS34:$BA34,Q$55))</f>
        <v/>
      </c>
      <c r="R87" s="426" t="str">
        <f>IF($B86="","",COUNTIF(Penalties!$AS34:$BA34,R$55))</f>
        <v/>
      </c>
      <c r="S87" s="426"/>
      <c r="T87" s="426"/>
      <c r="U87" s="438" t="str">
        <f>IF(B86="","",SUM(E87:T87))</f>
        <v/>
      </c>
      <c r="V87" s="439" t="str">
        <f>IF(B86="","",SUM(E87:T87)*0.5)</f>
        <v/>
      </c>
      <c r="W87" s="440" t="str">
        <f>IF($B86="","",IF(Penalties!$BB34=W$55,1,""))</f>
        <v/>
      </c>
      <c r="X87" s="440" t="str">
        <f>IF($B86="","",IF(Penalties!$BB34=X$55,1,""))</f>
        <v/>
      </c>
      <c r="Y87" s="440" t="str">
        <f>IF($B86="","",IF(Penalties!$BB34=Y$55,1,""))</f>
        <v/>
      </c>
      <c r="Z87" s="440" t="str">
        <f>IF($B86="","",IF(Penalties!$BB34=Z$55,1,""))</f>
        <v/>
      </c>
      <c r="AA87" s="440" t="str">
        <f>IF($B86="","",IF(Penalties!$BB34=AA$55,1,""))</f>
        <v/>
      </c>
      <c r="AB87" s="440" t="str">
        <f>IF($B86="","",IF(Penalties!$BB34=AB$55,1,""))</f>
        <v/>
      </c>
      <c r="AC87" s="440" t="str">
        <f>IF($B86="","",IF(Penalties!$BB34=AC$55,1,""))</f>
        <v/>
      </c>
      <c r="AD87" s="440" t="str">
        <f>IF($B86="","",IF(Penalties!$BB34=AD$55,1,""))</f>
        <v/>
      </c>
      <c r="AE87" s="440" t="str">
        <f>IF($B86="","",IF(Penalties!$BB34=AE$55,1,""))</f>
        <v/>
      </c>
      <c r="AF87" s="440" t="str">
        <f>IF($B86="","",IF(Penalties!$BB34=AF$55,1,""))</f>
        <v/>
      </c>
      <c r="AG87" s="440" t="str">
        <f>IF($B86="","",IF(Penalties!$BB34=AG$55,1,""))</f>
        <v/>
      </c>
      <c r="AH87" s="440" t="str">
        <f>IF($B86="","",IF(Penalties!$BB34=AH$55,1,""))</f>
        <v/>
      </c>
      <c r="AI87" s="440" t="str">
        <f>IF($B86="","",IF(Penalties!$BB34=AI$55,1,""))</f>
        <v/>
      </c>
      <c r="AJ87" s="442" t="str">
        <f>IF(SUM(X86:AI87)=0, "", IF(SUM(X86:AI86)=1, LOOKUP(1, X86:AI86, $X$55:$AI$55), LOOKUP(1, X87:AI87, $X$55:$AI$55)))</f>
        <v/>
      </c>
      <c r="AK87" s="74"/>
      <c r="AL87" s="74"/>
      <c r="AM87" s="74"/>
      <c r="AN87" s="74"/>
      <c r="AO87" s="74"/>
      <c r="AP87" s="74"/>
      <c r="AQ87" s="74"/>
      <c r="AR87" s="74"/>
      <c r="AS87" s="74"/>
      <c r="AT87" s="74"/>
      <c r="AU87" s="74"/>
      <c r="AV87" s="74"/>
      <c r="AW87" s="74"/>
      <c r="AX87" s="74"/>
    </row>
    <row r="88" spans="1:50" x14ac:dyDescent="0.2">
      <c r="A88" s="1492">
        <f>A86+1</f>
        <v>17</v>
      </c>
      <c r="B88" s="1493" t="str">
        <f>IF(IGRF!I30="","",IGRF!I30)</f>
        <v/>
      </c>
      <c r="C88" s="1494" t="str">
        <f>IF(IGRF!J30="","",IGRF!J30)</f>
        <v/>
      </c>
      <c r="D88" s="432" t="s">
        <v>5</v>
      </c>
      <c r="E88" s="425" t="str">
        <f>IF($B88="","",COUNTIF(Penalties!$Q36:$Y36,E$55))</f>
        <v/>
      </c>
      <c r="F88" s="425" t="str">
        <f>IF($B88="","",COUNTIF(Penalties!$Q36:$Y36,F$55))</f>
        <v/>
      </c>
      <c r="G88" s="425" t="str">
        <f>IF($B88="","",COUNTIF(Penalties!$Q36:$Y36,G$55))</f>
        <v/>
      </c>
      <c r="H88" s="425" t="str">
        <f>IF($B88="","",COUNTIF(Penalties!$Q36:$Y36,H$55))</f>
        <v/>
      </c>
      <c r="I88" s="425" t="str">
        <f>IF($B88="","",COUNTIF(Penalties!$Q36:$Y36,I$55))</f>
        <v/>
      </c>
      <c r="J88" s="425" t="str">
        <f>IF($B88="","",COUNTIF(Penalties!$Q36:$Y36,J$55))</f>
        <v/>
      </c>
      <c r="K88" s="425" t="str">
        <f>IF($B88="","",COUNTIF(Penalties!$Q36:$Y36,K$55))</f>
        <v/>
      </c>
      <c r="L88" s="425" t="str">
        <f>IF($B88="","",COUNTIF(Penalties!$Q36:$Y36,L$55))</f>
        <v/>
      </c>
      <c r="M88" s="425" t="str">
        <f>IF($B88="","",COUNTIF(Penalties!$Q36:$Y36,M$55))</f>
        <v/>
      </c>
      <c r="N88" s="425" t="str">
        <f>IF($B88="","",COUNTIF(Penalties!$Q36:$Y36,N$55))</f>
        <v/>
      </c>
      <c r="O88" s="425" t="str">
        <f>IF($B88="","",COUNTIF(Penalties!$Q36:$Y36,O$55))</f>
        <v/>
      </c>
      <c r="P88" s="425" t="str">
        <f>IF($B88="","",COUNTIF(Penalties!$Q36:$Y36,P$55))</f>
        <v/>
      </c>
      <c r="Q88" s="425" t="str">
        <f>IF($B88="","",COUNTIF(Penalties!$Q36:$Y36,Q$55))</f>
        <v/>
      </c>
      <c r="R88" s="425" t="str">
        <f>IF($B88="","",COUNTIF(Penalties!$Q36:$Y36,R$55))</f>
        <v/>
      </c>
      <c r="S88" s="425"/>
      <c r="T88" s="425"/>
      <c r="U88" s="433" t="str">
        <f>IF(B88="","",SUM(E88:T88))</f>
        <v/>
      </c>
      <c r="V88" s="434" t="str">
        <f>IF(B88="","",SUM(E88:T88)*0.5)</f>
        <v/>
      </c>
      <c r="W88" s="435" t="str">
        <f>IF($B88="","",IF(Penalties!$Z36=W$55,1,""))</f>
        <v/>
      </c>
      <c r="X88" s="435" t="str">
        <f>IF($B88="","",IF(Penalties!$Z36=X$55,1,""))</f>
        <v/>
      </c>
      <c r="Y88" s="435" t="str">
        <f>IF($B88="","",IF(Penalties!$Z36=Y$55,1,""))</f>
        <v/>
      </c>
      <c r="Z88" s="435" t="str">
        <f>IF($B88="","",IF(Penalties!$Z36=Z$55,1,""))</f>
        <v/>
      </c>
      <c r="AA88" s="435" t="str">
        <f>IF($B88="","",IF(Penalties!$Z36=AA$55,1,""))</f>
        <v/>
      </c>
      <c r="AB88" s="435" t="str">
        <f>IF($B88="","",IF(Penalties!$Z36=AB$55,1,""))</f>
        <v/>
      </c>
      <c r="AC88" s="435" t="str">
        <f>IF($B88="","",IF(Penalties!$Z36=AC$55,1,""))</f>
        <v/>
      </c>
      <c r="AD88" s="435" t="str">
        <f>IF($B88="","",IF(Penalties!$Z36=AD$55,1,""))</f>
        <v/>
      </c>
      <c r="AE88" s="435" t="str">
        <f>IF($B88="","",IF(Penalties!$Z36=AE$55,1,""))</f>
        <v/>
      </c>
      <c r="AF88" s="435" t="str">
        <f>IF($B88="","",IF(Penalties!$Z36=AF$55,1,""))</f>
        <v/>
      </c>
      <c r="AG88" s="435" t="str">
        <f>IF($B88="","",IF(Penalties!$Z36=AG$55,1,""))</f>
        <v/>
      </c>
      <c r="AH88" s="435" t="str">
        <f>IF($B88="","",IF(Penalties!$Z36=AH$55,1,""))</f>
        <v/>
      </c>
      <c r="AI88" s="435" t="str">
        <f>IF($B88="","",IF(Penalties!$Z36=AI$55,1,""))</f>
        <v/>
      </c>
      <c r="AJ88" s="436"/>
      <c r="AK88" s="74"/>
      <c r="AL88" s="74"/>
      <c r="AM88" s="74"/>
      <c r="AN88" s="74"/>
      <c r="AO88" s="74"/>
      <c r="AP88" s="74"/>
      <c r="AQ88" s="74"/>
      <c r="AR88" s="74"/>
      <c r="AS88" s="74"/>
      <c r="AT88" s="74"/>
      <c r="AU88" s="74"/>
      <c r="AV88" s="74"/>
      <c r="AW88" s="74"/>
      <c r="AX88" s="74"/>
    </row>
    <row r="89" spans="1:50" x14ac:dyDescent="0.2">
      <c r="A89" s="1492"/>
      <c r="B89" s="1493"/>
      <c r="C89" s="1494"/>
      <c r="D89" s="432" t="s">
        <v>21</v>
      </c>
      <c r="E89" s="425" t="str">
        <f>IF($B88="","",COUNTIF(Penalties!$AS36:$BA36,E$55))</f>
        <v/>
      </c>
      <c r="F89" s="425" t="str">
        <f>IF($B88="","",COUNTIF(Penalties!$AS36:$BA36,F$55))</f>
        <v/>
      </c>
      <c r="G89" s="425" t="str">
        <f>IF($B88="","",COUNTIF(Penalties!$AS36:$BA36,G$55))</f>
        <v/>
      </c>
      <c r="H89" s="425" t="str">
        <f>IF($B88="","",COUNTIF(Penalties!$AS36:$BA36,H$55))</f>
        <v/>
      </c>
      <c r="I89" s="425" t="str">
        <f>IF($B88="","",COUNTIF(Penalties!$AS36:$BA36,I$55))</f>
        <v/>
      </c>
      <c r="J89" s="425" t="str">
        <f>IF($B88="","",COUNTIF(Penalties!$AS36:$BA36,J$55))</f>
        <v/>
      </c>
      <c r="K89" s="425" t="str">
        <f>IF($B88="","",COUNTIF(Penalties!$AS36:$BA36,K$55))</f>
        <v/>
      </c>
      <c r="L89" s="425" t="str">
        <f>IF($B88="","",COUNTIF(Penalties!$AS36:$BA36,L$55))</f>
        <v/>
      </c>
      <c r="M89" s="425" t="str">
        <f>IF($B88="","",COUNTIF(Penalties!$AS36:$BA36,M$55))</f>
        <v/>
      </c>
      <c r="N89" s="425" t="str">
        <f>IF($B88="","",COUNTIF(Penalties!$AS36:$BA36,N$55))</f>
        <v/>
      </c>
      <c r="O89" s="425" t="str">
        <f>IF($B88="","",COUNTIF(Penalties!$AS36:$BA36,O$55))</f>
        <v/>
      </c>
      <c r="P89" s="425" t="str">
        <f>IF($B88="","",COUNTIF(Penalties!$AS36:$BA36,P$55))</f>
        <v/>
      </c>
      <c r="Q89" s="425" t="str">
        <f>IF($B88="","",COUNTIF(Penalties!$AS36:$BA36,Q$55))</f>
        <v/>
      </c>
      <c r="R89" s="425" t="str">
        <f>IF($B88="","",COUNTIF(Penalties!$AS36:$BA36,R$55))</f>
        <v/>
      </c>
      <c r="S89" s="425"/>
      <c r="T89" s="425"/>
      <c r="U89" s="433" t="str">
        <f>IF(B88="","",SUM(E89:T89))</f>
        <v/>
      </c>
      <c r="V89" s="434" t="str">
        <f>IF(B88="","",SUM(E89:T89)*0.5)</f>
        <v/>
      </c>
      <c r="W89" s="435" t="str">
        <f>IF($B88="","",IF(Penalties!$BB36=W$55,1,""))</f>
        <v/>
      </c>
      <c r="X89" s="435" t="str">
        <f>IF($B88="","",IF(Penalties!$BB36=X$55,1,""))</f>
        <v/>
      </c>
      <c r="Y89" s="435" t="str">
        <f>IF($B88="","",IF(Penalties!$BB36=Y$55,1,""))</f>
        <v/>
      </c>
      <c r="Z89" s="435" t="str">
        <f>IF($B88="","",IF(Penalties!$BB36=Z$55,1,""))</f>
        <v/>
      </c>
      <c r="AA89" s="435" t="str">
        <f>IF($B88="","",IF(Penalties!$BB36=AA$55,1,""))</f>
        <v/>
      </c>
      <c r="AB89" s="435" t="str">
        <f>IF($B88="","",IF(Penalties!$BB36=AB$55,1,""))</f>
        <v/>
      </c>
      <c r="AC89" s="435" t="str">
        <f>IF($B88="","",IF(Penalties!$BB36=AC$55,1,""))</f>
        <v/>
      </c>
      <c r="AD89" s="435" t="str">
        <f>IF($B88="","",IF(Penalties!$BB36=AD$55,1,""))</f>
        <v/>
      </c>
      <c r="AE89" s="435" t="str">
        <f>IF($B88="","",IF(Penalties!$BB36=AE$55,1,""))</f>
        <v/>
      </c>
      <c r="AF89" s="435" t="str">
        <f>IF($B88="","",IF(Penalties!$BB36=AF$55,1,""))</f>
        <v/>
      </c>
      <c r="AG89" s="435" t="str">
        <f>IF($B88="","",IF(Penalties!$BB36=AG$55,1,""))</f>
        <v/>
      </c>
      <c r="AH89" s="435" t="str">
        <f>IF($B88="","",IF(Penalties!$BB36=AH$55,1,""))</f>
        <v/>
      </c>
      <c r="AI89" s="435" t="str">
        <f>IF($B88="","",IF(Penalties!$BB36=AI$55,1,""))</f>
        <v/>
      </c>
      <c r="AJ89" s="437" t="str">
        <f>IF(SUM(X88:AI89)=0, "", IF(SUM(X88:AI88)=1, LOOKUP(1, X88:AI88, $X$55:$AI$55), LOOKUP(1, X89:AI89, $X$55:$AI$55)))</f>
        <v/>
      </c>
      <c r="AK89" s="74"/>
      <c r="AL89" s="74"/>
      <c r="AM89" s="74"/>
      <c r="AN89" s="74"/>
      <c r="AO89" s="74"/>
      <c r="AP89" s="74"/>
      <c r="AQ89" s="74"/>
      <c r="AR89" s="74"/>
      <c r="AS89" s="74"/>
      <c r="AT89" s="74"/>
      <c r="AU89" s="74"/>
      <c r="AV89" s="74"/>
      <c r="AW89" s="74"/>
      <c r="AX89" s="74"/>
    </row>
    <row r="90" spans="1:50" x14ac:dyDescent="0.2">
      <c r="A90" s="1486">
        <f>A88+1</f>
        <v>18</v>
      </c>
      <c r="B90" s="1487" t="str">
        <f>IF(IGRF!I31="","",IGRF!I31)</f>
        <v/>
      </c>
      <c r="C90" s="1488" t="str">
        <f>IF(IGRF!J31="","",IGRF!J31)</f>
        <v/>
      </c>
      <c r="D90" s="426" t="s">
        <v>5</v>
      </c>
      <c r="E90" s="426" t="str">
        <f>IF($B90="","",COUNTIF(Penalties!$Q38:$Y38,E$55))</f>
        <v/>
      </c>
      <c r="F90" s="426" t="str">
        <f>IF($B90="","",COUNTIF(Penalties!$Q38:$Y38,F$55))</f>
        <v/>
      </c>
      <c r="G90" s="426" t="str">
        <f>IF($B90="","",COUNTIF(Penalties!$Q38:$Y38,G$55))</f>
        <v/>
      </c>
      <c r="H90" s="426" t="str">
        <f>IF($B90="","",COUNTIF(Penalties!$Q38:$Y38,H$55))</f>
        <v/>
      </c>
      <c r="I90" s="426" t="str">
        <f>IF($B90="","",COUNTIF(Penalties!$Q38:$Y38,I$55))</f>
        <v/>
      </c>
      <c r="J90" s="426" t="str">
        <f>IF($B90="","",COUNTIF(Penalties!$Q38:$Y38,J$55))</f>
        <v/>
      </c>
      <c r="K90" s="426" t="str">
        <f>IF($B90="","",COUNTIF(Penalties!$Q38:$Y38,K$55))</f>
        <v/>
      </c>
      <c r="L90" s="426" t="str">
        <f>IF($B90="","",COUNTIF(Penalties!$Q38:$Y38,L$55))</f>
        <v/>
      </c>
      <c r="M90" s="426" t="str">
        <f>IF($B90="","",COUNTIF(Penalties!$Q38:$Y38,M$55))</f>
        <v/>
      </c>
      <c r="N90" s="426" t="str">
        <f>IF($B90="","",COUNTIF(Penalties!$Q38:$Y38,N$55))</f>
        <v/>
      </c>
      <c r="O90" s="426" t="str">
        <f>IF($B90="","",COUNTIF(Penalties!$Q38:$Y38,O$55))</f>
        <v/>
      </c>
      <c r="P90" s="426" t="str">
        <f>IF($B90="","",COUNTIF(Penalties!$Q38:$Y38,P$55))</f>
        <v/>
      </c>
      <c r="Q90" s="426" t="str">
        <f>IF($B90="","",COUNTIF(Penalties!$Q38:$Y38,Q$55))</f>
        <v/>
      </c>
      <c r="R90" s="426" t="str">
        <f>IF($B90="","",COUNTIF(Penalties!$Q38:$Y38,R$55))</f>
        <v/>
      </c>
      <c r="S90" s="426"/>
      <c r="T90" s="426"/>
      <c r="U90" s="438" t="str">
        <f>IF(B90="","",SUM(E90:T90))</f>
        <v/>
      </c>
      <c r="V90" s="439" t="str">
        <f>IF(B90="","",SUM(E90:T90)*0.5)</f>
        <v/>
      </c>
      <c r="W90" s="440" t="str">
        <f>IF($B90="","",IF(Penalties!$Z38=W$55,1,""))</f>
        <v/>
      </c>
      <c r="X90" s="440" t="str">
        <f>IF($B90="","",IF(Penalties!$Z38=X$55,1,""))</f>
        <v/>
      </c>
      <c r="Y90" s="440" t="str">
        <f>IF($B90="","",IF(Penalties!$Z38=Y$55,1,""))</f>
        <v/>
      </c>
      <c r="Z90" s="440" t="str">
        <f>IF($B90="","",IF(Penalties!$Z38=Z$55,1,""))</f>
        <v/>
      </c>
      <c r="AA90" s="440" t="str">
        <f>IF($B90="","",IF(Penalties!$Z38=AA$55,1,""))</f>
        <v/>
      </c>
      <c r="AB90" s="440" t="str">
        <f>IF($B90="","",IF(Penalties!$Z38=AB$55,1,""))</f>
        <v/>
      </c>
      <c r="AC90" s="440" t="str">
        <f>IF($B90="","",IF(Penalties!$Z38=AC$55,1,""))</f>
        <v/>
      </c>
      <c r="AD90" s="440" t="str">
        <f>IF($B90="","",IF(Penalties!$Z38=AD$55,1,""))</f>
        <v/>
      </c>
      <c r="AE90" s="440" t="str">
        <f>IF($B90="","",IF(Penalties!$Z38=AE$55,1,""))</f>
        <v/>
      </c>
      <c r="AF90" s="440" t="str">
        <f>IF($B90="","",IF(Penalties!$Z38=AF$55,1,""))</f>
        <v/>
      </c>
      <c r="AG90" s="440" t="str">
        <f>IF($B90="","",IF(Penalties!$Z38=AG$55,1,""))</f>
        <v/>
      </c>
      <c r="AH90" s="440" t="str">
        <f>IF($B90="","",IF(Penalties!$Z38=AH$55,1,""))</f>
        <v/>
      </c>
      <c r="AI90" s="440" t="str">
        <f>IF($B90="","",IF(Penalties!$Z38=AI$55,1,""))</f>
        <v/>
      </c>
      <c r="AJ90" s="441"/>
      <c r="AK90" s="74"/>
      <c r="AL90" s="74"/>
      <c r="AM90" s="74"/>
      <c r="AN90" s="74"/>
      <c r="AO90" s="74"/>
      <c r="AP90" s="74"/>
      <c r="AQ90" s="74"/>
      <c r="AR90" s="74"/>
      <c r="AS90" s="74"/>
      <c r="AT90" s="74"/>
      <c r="AU90" s="74"/>
      <c r="AV90" s="74"/>
      <c r="AW90" s="74"/>
      <c r="AX90" s="74"/>
    </row>
    <row r="91" spans="1:50" ht="13.5" thickBot="1" x14ac:dyDescent="0.25">
      <c r="A91" s="1486"/>
      <c r="B91" s="1487"/>
      <c r="C91" s="1488"/>
      <c r="D91" s="426" t="s">
        <v>21</v>
      </c>
      <c r="E91" s="426" t="str">
        <f>IF($B90="","",COUNTIF(Penalties!$AS38:$BA38,E$55))</f>
        <v/>
      </c>
      <c r="F91" s="426" t="str">
        <f>IF($B90="","",COUNTIF(Penalties!$AS38:$BA38,F$55))</f>
        <v/>
      </c>
      <c r="G91" s="426" t="str">
        <f>IF($B90="","",COUNTIF(Penalties!$AS38:$BA38,G$55))</f>
        <v/>
      </c>
      <c r="H91" s="426" t="str">
        <f>IF($B90="","",COUNTIF(Penalties!$AS38:$BA38,H$55))</f>
        <v/>
      </c>
      <c r="I91" s="426" t="str">
        <f>IF($B90="","",COUNTIF(Penalties!$AS38:$BA38,I$55))</f>
        <v/>
      </c>
      <c r="J91" s="426" t="str">
        <f>IF($B90="","",COUNTIF(Penalties!$AS38:$BA38,J$55))</f>
        <v/>
      </c>
      <c r="K91" s="426" t="str">
        <f>IF($B90="","",COUNTIF(Penalties!$AS38:$BA38,K$55))</f>
        <v/>
      </c>
      <c r="L91" s="426" t="str">
        <f>IF($B90="","",COUNTIF(Penalties!$AS38:$BA38,L$55))</f>
        <v/>
      </c>
      <c r="M91" s="426" t="str">
        <f>IF($B90="","",COUNTIF(Penalties!$AS38:$BA38,M$55))</f>
        <v/>
      </c>
      <c r="N91" s="426" t="str">
        <f>IF($B90="","",COUNTIF(Penalties!$AS38:$BA38,N$55))</f>
        <v/>
      </c>
      <c r="O91" s="426" t="str">
        <f>IF($B90="","",COUNTIF(Penalties!$AS38:$BA38,O$55))</f>
        <v/>
      </c>
      <c r="P91" s="426" t="str">
        <f>IF($B90="","",COUNTIF(Penalties!$AS38:$BA38,P$55))</f>
        <v/>
      </c>
      <c r="Q91" s="426" t="str">
        <f>IF($B90="","",COUNTIF(Penalties!$AS38:$BA38,Q$55))</f>
        <v/>
      </c>
      <c r="R91" s="426" t="str">
        <f>IF($B90="","",COUNTIF(Penalties!$AS38:$BA38,R$55))</f>
        <v/>
      </c>
      <c r="S91" s="426"/>
      <c r="T91" s="426"/>
      <c r="U91" s="438" t="str">
        <f>IF(B90="","",SUM(E91:T91))</f>
        <v/>
      </c>
      <c r="V91" s="439" t="str">
        <f>IF(B90="","",SUM(E91:T91)*0.5)</f>
        <v/>
      </c>
      <c r="W91" s="440" t="str">
        <f>IF($B90="","",IF(Penalties!$BB38=W$55,1,""))</f>
        <v/>
      </c>
      <c r="X91" s="440" t="str">
        <f>IF($B90="","",IF(Penalties!$BB38=X$55,1,""))</f>
        <v/>
      </c>
      <c r="Y91" s="440" t="str">
        <f>IF($B90="","",IF(Penalties!$BB38=Y$55,1,""))</f>
        <v/>
      </c>
      <c r="Z91" s="440" t="str">
        <f>IF($B90="","",IF(Penalties!$BB38=Z$55,1,""))</f>
        <v/>
      </c>
      <c r="AA91" s="440" t="str">
        <f>IF($B90="","",IF(Penalties!$BB38=AA$55,1,""))</f>
        <v/>
      </c>
      <c r="AB91" s="440" t="str">
        <f>IF($B90="","",IF(Penalties!$BB38=AB$55,1,""))</f>
        <v/>
      </c>
      <c r="AC91" s="440" t="str">
        <f>IF($B90="","",IF(Penalties!$BB38=AC$55,1,""))</f>
        <v/>
      </c>
      <c r="AD91" s="440" t="str">
        <f>IF($B90="","",IF(Penalties!$BB38=AD$55,1,""))</f>
        <v/>
      </c>
      <c r="AE91" s="440" t="str">
        <f>IF($B90="","",IF(Penalties!$BB38=AE$55,1,""))</f>
        <v/>
      </c>
      <c r="AF91" s="440" t="str">
        <f>IF($B90="","",IF(Penalties!$BB38=AF$55,1,""))</f>
        <v/>
      </c>
      <c r="AG91" s="440" t="str">
        <f>IF($B90="","",IF(Penalties!$BB38=AG$55,1,""))</f>
        <v/>
      </c>
      <c r="AH91" s="440" t="str">
        <f>IF($B90="","",IF(Penalties!$BB38=AH$55,1,""))</f>
        <v/>
      </c>
      <c r="AI91" s="440" t="str">
        <f>IF($B90="","",IF(Penalties!$BB38=AI$55,1,""))</f>
        <v/>
      </c>
      <c r="AJ91" s="442" t="str">
        <f>IF(SUM(X90:AI91)=0, "", IF(SUM(X90:AI90)=1, LOOKUP(1, X90:AI90, $X$55:$AI$55), LOOKUP(1, X91:AI91, $X$55:$AI$55)))</f>
        <v/>
      </c>
      <c r="AK91" s="74"/>
      <c r="AL91" s="74"/>
      <c r="AM91" s="74"/>
      <c r="AN91" s="74"/>
      <c r="AO91" s="74"/>
      <c r="AP91" s="74"/>
      <c r="AQ91" s="74"/>
      <c r="AR91" s="74"/>
      <c r="AS91" s="74"/>
      <c r="AT91" s="74"/>
      <c r="AU91" s="74"/>
      <c r="AV91" s="74"/>
      <c r="AW91" s="74"/>
      <c r="AX91" s="74"/>
    </row>
    <row r="92" spans="1:50" x14ac:dyDescent="0.2">
      <c r="A92" s="1492">
        <f>A90+1</f>
        <v>19</v>
      </c>
      <c r="B92" s="1493" t="str">
        <f>IF(IGRF!I32="","",IGRF!I32)</f>
        <v/>
      </c>
      <c r="C92" s="1494" t="str">
        <f>IF(IGRF!J32="","",IGRF!J32)</f>
        <v/>
      </c>
      <c r="D92" s="432" t="s">
        <v>5</v>
      </c>
      <c r="E92" s="425" t="str">
        <f>IF($B92="","",COUNTIF(Penalties!$Q40:$Y40,E$55))</f>
        <v/>
      </c>
      <c r="F92" s="425" t="str">
        <f>IF($B92="","",COUNTIF(Penalties!$Q40:$Y40,F$55))</f>
        <v/>
      </c>
      <c r="G92" s="425" t="str">
        <f>IF($B92="","",COUNTIF(Penalties!$Q40:$Y40,G$55))</f>
        <v/>
      </c>
      <c r="H92" s="425" t="str">
        <f>IF($B92="","",COUNTIF(Penalties!$Q40:$Y40,H$55))</f>
        <v/>
      </c>
      <c r="I92" s="425" t="str">
        <f>IF($B92="","",COUNTIF(Penalties!$Q40:$Y40,I$55))</f>
        <v/>
      </c>
      <c r="J92" s="425" t="str">
        <f>IF($B92="","",COUNTIF(Penalties!$Q40:$Y40,J$55))</f>
        <v/>
      </c>
      <c r="K92" s="425" t="str">
        <f>IF($B92="","",COUNTIF(Penalties!$Q40:$Y40,K$55))</f>
        <v/>
      </c>
      <c r="L92" s="425" t="str">
        <f>IF($B92="","",COUNTIF(Penalties!$Q40:$Y40,L$55))</f>
        <v/>
      </c>
      <c r="M92" s="425" t="str">
        <f>IF($B92="","",COUNTIF(Penalties!$Q40:$Y40,M$55))</f>
        <v/>
      </c>
      <c r="N92" s="425" t="str">
        <f>IF($B92="","",COUNTIF(Penalties!$Q40:$Y40,N$55))</f>
        <v/>
      </c>
      <c r="O92" s="425" t="str">
        <f>IF($B92="","",COUNTIF(Penalties!$Q40:$Y40,O$55))</f>
        <v/>
      </c>
      <c r="P92" s="425" t="str">
        <f>IF($B92="","",COUNTIF(Penalties!$Q40:$Y40,P$55))</f>
        <v/>
      </c>
      <c r="Q92" s="425" t="str">
        <f>IF($B92="","",COUNTIF(Penalties!$Q40:$Y40,Q$55))</f>
        <v/>
      </c>
      <c r="R92" s="425" t="str">
        <f>IF($B92="","",COUNTIF(Penalties!$Q40:$Y40,R$55))</f>
        <v/>
      </c>
      <c r="S92" s="425"/>
      <c r="T92" s="425"/>
      <c r="U92" s="433" t="str">
        <f>IF(B92="","",SUM(E92:T92))</f>
        <v/>
      </c>
      <c r="V92" s="434" t="str">
        <f>IF(B92="","",SUM(E92:T92)*0.5)</f>
        <v/>
      </c>
      <c r="W92" s="435" t="str">
        <f>IF($B92="","",IF(Penalties!$Z40=W$55,1,""))</f>
        <v/>
      </c>
      <c r="X92" s="435" t="str">
        <f>IF($B92="","",IF(Penalties!$Z40=X$55,1,""))</f>
        <v/>
      </c>
      <c r="Y92" s="435" t="str">
        <f>IF($B92="","",IF(Penalties!$Z40=Y$55,1,""))</f>
        <v/>
      </c>
      <c r="Z92" s="435" t="str">
        <f>IF($B92="","",IF(Penalties!$Z40=Z$55,1,""))</f>
        <v/>
      </c>
      <c r="AA92" s="435" t="str">
        <f>IF($B92="","",IF(Penalties!$Z40=AA$55,1,""))</f>
        <v/>
      </c>
      <c r="AB92" s="435" t="str">
        <f>IF($B92="","",IF(Penalties!$Z40=AB$55,1,""))</f>
        <v/>
      </c>
      <c r="AC92" s="435" t="str">
        <f>IF($B92="","",IF(Penalties!$Z40=AC$55,1,""))</f>
        <v/>
      </c>
      <c r="AD92" s="435" t="str">
        <f>IF($B92="","",IF(Penalties!$Z40=AD$55,1,""))</f>
        <v/>
      </c>
      <c r="AE92" s="435" t="str">
        <f>IF($B92="","",IF(Penalties!$Z40=AE$55,1,""))</f>
        <v/>
      </c>
      <c r="AF92" s="435" t="str">
        <f>IF($B92="","",IF(Penalties!$Z40=AF$55,1,""))</f>
        <v/>
      </c>
      <c r="AG92" s="435" t="str">
        <f>IF($B92="","",IF(Penalties!$Z40=AG$55,1,""))</f>
        <v/>
      </c>
      <c r="AH92" s="435" t="str">
        <f>IF($B92="","",IF(Penalties!$Z40=AH$55,1,""))</f>
        <v/>
      </c>
      <c r="AI92" s="435" t="str">
        <f>IF($B92="","",IF(Penalties!$Z40=AI$55,1,""))</f>
        <v/>
      </c>
      <c r="AJ92" s="436"/>
      <c r="AK92" s="74"/>
      <c r="AL92" s="74"/>
      <c r="AM92" s="74"/>
      <c r="AN92" s="74"/>
      <c r="AO92" s="74"/>
      <c r="AP92" s="74"/>
      <c r="AQ92" s="74"/>
      <c r="AR92" s="74"/>
      <c r="AS92" s="74"/>
      <c r="AT92" s="74"/>
      <c r="AU92" s="74"/>
      <c r="AV92" s="74"/>
      <c r="AW92" s="74"/>
      <c r="AX92" s="74"/>
    </row>
    <row r="93" spans="1:50" x14ac:dyDescent="0.2">
      <c r="A93" s="1492"/>
      <c r="B93" s="1493"/>
      <c r="C93" s="1494"/>
      <c r="D93" s="432" t="s">
        <v>21</v>
      </c>
      <c r="E93" s="425" t="str">
        <f>IF($B92="","",COUNTIF(Penalties!$AS40:$BA40,E$55))</f>
        <v/>
      </c>
      <c r="F93" s="425" t="str">
        <f>IF($B92="","",COUNTIF(Penalties!$AS40:$BA40,F$55))</f>
        <v/>
      </c>
      <c r="G93" s="425" t="str">
        <f>IF($B92="","",COUNTIF(Penalties!$AS40:$BA40,G$55))</f>
        <v/>
      </c>
      <c r="H93" s="425" t="str">
        <f>IF($B92="","",COUNTIF(Penalties!$AS40:$BA40,H$55))</f>
        <v/>
      </c>
      <c r="I93" s="425" t="str">
        <f>IF($B92="","",COUNTIF(Penalties!$AS40:$BA40,I$55))</f>
        <v/>
      </c>
      <c r="J93" s="425" t="str">
        <f>IF($B92="","",COUNTIF(Penalties!$AS40:$BA40,J$55))</f>
        <v/>
      </c>
      <c r="K93" s="425" t="str">
        <f>IF($B92="","",COUNTIF(Penalties!$AS40:$BA40,K$55))</f>
        <v/>
      </c>
      <c r="L93" s="425" t="str">
        <f>IF($B92="","",COUNTIF(Penalties!$AS40:$BA40,L$55))</f>
        <v/>
      </c>
      <c r="M93" s="425" t="str">
        <f>IF($B92="","",COUNTIF(Penalties!$AS40:$BA40,M$55))</f>
        <v/>
      </c>
      <c r="N93" s="425" t="str">
        <f>IF($B92="","",COUNTIF(Penalties!$AS40:$BA40,N$55))</f>
        <v/>
      </c>
      <c r="O93" s="425" t="str">
        <f>IF($B92="","",COUNTIF(Penalties!$AS40:$BA40,O$55))</f>
        <v/>
      </c>
      <c r="P93" s="425" t="str">
        <f>IF($B92="","",COUNTIF(Penalties!$AS40:$BA40,P$55))</f>
        <v/>
      </c>
      <c r="Q93" s="425" t="str">
        <f>IF($B92="","",COUNTIF(Penalties!$AS40:$BA40,Q$55))</f>
        <v/>
      </c>
      <c r="R93" s="425" t="str">
        <f>IF($B92="","",COUNTIF(Penalties!$AS40:$BA40,R$55))</f>
        <v/>
      </c>
      <c r="S93" s="425"/>
      <c r="T93" s="425"/>
      <c r="U93" s="433" t="str">
        <f>IF(B92="","",SUM(E93:T93))</f>
        <v/>
      </c>
      <c r="V93" s="434" t="str">
        <f>IF(B92="","",SUM(E93:T93)*0.5)</f>
        <v/>
      </c>
      <c r="W93" s="435" t="str">
        <f>IF($B92="","",IF(Penalties!$BB40=W$55,1,""))</f>
        <v/>
      </c>
      <c r="X93" s="435" t="str">
        <f>IF($B92="","",IF(Penalties!$BB40=X$55,1,""))</f>
        <v/>
      </c>
      <c r="Y93" s="435" t="str">
        <f>IF($B92="","",IF(Penalties!$BB40=Y$55,1,""))</f>
        <v/>
      </c>
      <c r="Z93" s="435" t="str">
        <f>IF($B92="","",IF(Penalties!$BB40=Z$55,1,""))</f>
        <v/>
      </c>
      <c r="AA93" s="435" t="str">
        <f>IF($B92="","",IF(Penalties!$BB40=AA$55,1,""))</f>
        <v/>
      </c>
      <c r="AB93" s="435" t="str">
        <f>IF($B92="","",IF(Penalties!$BB40=AB$55,1,""))</f>
        <v/>
      </c>
      <c r="AC93" s="435" t="str">
        <f>IF($B92="","",IF(Penalties!$BB40=AC$55,1,""))</f>
        <v/>
      </c>
      <c r="AD93" s="435" t="str">
        <f>IF($B92="","",IF(Penalties!$BB40=AD$55,1,""))</f>
        <v/>
      </c>
      <c r="AE93" s="435" t="str">
        <f>IF($B92="","",IF(Penalties!$BB40=AE$55,1,""))</f>
        <v/>
      </c>
      <c r="AF93" s="435" t="str">
        <f>IF($B92="","",IF(Penalties!$BB40=AF$55,1,""))</f>
        <v/>
      </c>
      <c r="AG93" s="435" t="str">
        <f>IF($B92="","",IF(Penalties!$BB40=AG$55,1,""))</f>
        <v/>
      </c>
      <c r="AH93" s="435" t="str">
        <f>IF($B92="","",IF(Penalties!$BB40=AH$55,1,""))</f>
        <v/>
      </c>
      <c r="AI93" s="435" t="str">
        <f>IF($B92="","",IF(Penalties!$BB40=AI$55,1,""))</f>
        <v/>
      </c>
      <c r="AJ93" s="437" t="str">
        <f>IF(SUM(X92:AI93)=0, "", IF(SUM(X92:AI92)=1, LOOKUP(1, X92:AI92, $X$55:$AI$55), LOOKUP(1, X93:AI93, $X$55:$AI$55)))</f>
        <v/>
      </c>
      <c r="AK93" s="74"/>
      <c r="AL93" s="74"/>
      <c r="AM93" s="74"/>
      <c r="AN93" s="74"/>
      <c r="AO93" s="74"/>
      <c r="AP93" s="74"/>
      <c r="AQ93" s="74"/>
      <c r="AR93" s="74"/>
      <c r="AS93" s="74"/>
      <c r="AT93" s="74"/>
      <c r="AU93" s="74"/>
      <c r="AV93" s="74"/>
      <c r="AW93" s="74"/>
      <c r="AX93" s="74"/>
    </row>
    <row r="94" spans="1:50" x14ac:dyDescent="0.2">
      <c r="A94" s="1486">
        <f>A92+1</f>
        <v>20</v>
      </c>
      <c r="B94" s="1487" t="str">
        <f>IF(IGRF!I33="","",IGRF!I33)</f>
        <v/>
      </c>
      <c r="C94" s="1488" t="str">
        <f>IF(IGRF!J33="","",IGRF!J33)</f>
        <v/>
      </c>
      <c r="D94" s="426" t="s">
        <v>5</v>
      </c>
      <c r="E94" s="426" t="str">
        <f>IF($B94="","",COUNTIF(Penalties!$Q42:$Y42,E$55))</f>
        <v/>
      </c>
      <c r="F94" s="426" t="str">
        <f>IF($B94="","",COUNTIF(Penalties!$Q42:$Y42,F$55))</f>
        <v/>
      </c>
      <c r="G94" s="426" t="str">
        <f>IF($B94="","",COUNTIF(Penalties!$Q42:$Y42,G$55))</f>
        <v/>
      </c>
      <c r="H94" s="426" t="str">
        <f>IF($B94="","",COUNTIF(Penalties!$Q42:$Y42,H$55))</f>
        <v/>
      </c>
      <c r="I94" s="426" t="str">
        <f>IF($B94="","",COUNTIF(Penalties!$Q42:$Y42,I$55))</f>
        <v/>
      </c>
      <c r="J94" s="426" t="str">
        <f>IF($B94="","",COUNTIF(Penalties!$Q42:$Y42,J$55))</f>
        <v/>
      </c>
      <c r="K94" s="426" t="str">
        <f>IF($B94="","",COUNTIF(Penalties!$Q42:$Y42,K$55))</f>
        <v/>
      </c>
      <c r="L94" s="426" t="str">
        <f>IF($B94="","",COUNTIF(Penalties!$Q42:$Y42,L$55))</f>
        <v/>
      </c>
      <c r="M94" s="426" t="str">
        <f>IF($B94="","",COUNTIF(Penalties!$Q42:$Y42,M$55))</f>
        <v/>
      </c>
      <c r="N94" s="426" t="str">
        <f>IF($B94="","",COUNTIF(Penalties!$Q42:$Y42,N$55))</f>
        <v/>
      </c>
      <c r="O94" s="426" t="str">
        <f>IF($B94="","",COUNTIF(Penalties!$Q42:$Y42,O$55))</f>
        <v/>
      </c>
      <c r="P94" s="426" t="str">
        <f>IF($B94="","",COUNTIF(Penalties!$Q42:$Y42,P$55))</f>
        <v/>
      </c>
      <c r="Q94" s="426" t="str">
        <f>IF($B94="","",COUNTIF(Penalties!$Q42:$Y42,Q$55))</f>
        <v/>
      </c>
      <c r="R94" s="426" t="str">
        <f>IF($B94="","",COUNTIF(Penalties!$Q42:$Y42,R$55))</f>
        <v/>
      </c>
      <c r="S94" s="426"/>
      <c r="T94" s="426"/>
      <c r="U94" s="438" t="str">
        <f>IF(B94="","",SUM(E94:T94))</f>
        <v/>
      </c>
      <c r="V94" s="439" t="str">
        <f>IF(B94="","",SUM(E94:T94)*0.5)</f>
        <v/>
      </c>
      <c r="W94" s="440" t="str">
        <f>IF($B94="","",IF(Penalties!$Z42=W$55,1,""))</f>
        <v/>
      </c>
      <c r="X94" s="440" t="str">
        <f>IF($B94="","",IF(Penalties!$Z42=X$55,1,""))</f>
        <v/>
      </c>
      <c r="Y94" s="440" t="str">
        <f>IF($B94="","",IF(Penalties!$Z42=Y$55,1,""))</f>
        <v/>
      </c>
      <c r="Z94" s="440" t="str">
        <f>IF($B94="","",IF(Penalties!$Z42=Z$55,1,""))</f>
        <v/>
      </c>
      <c r="AA94" s="440" t="str">
        <f>IF($B94="","",IF(Penalties!$Z42=AA$55,1,""))</f>
        <v/>
      </c>
      <c r="AB94" s="440" t="str">
        <f>IF($B94="","",IF(Penalties!$Z42=AB$55,1,""))</f>
        <v/>
      </c>
      <c r="AC94" s="440" t="str">
        <f>IF($B94="","",IF(Penalties!$Z42=AC$55,1,""))</f>
        <v/>
      </c>
      <c r="AD94" s="440" t="str">
        <f>IF($B94="","",IF(Penalties!$Z42=AD$55,1,""))</f>
        <v/>
      </c>
      <c r="AE94" s="440" t="str">
        <f>IF($B94="","",IF(Penalties!$Z42=AE$55,1,""))</f>
        <v/>
      </c>
      <c r="AF94" s="440" t="str">
        <f>IF($B94="","",IF(Penalties!$Z42=AF$55,1,""))</f>
        <v/>
      </c>
      <c r="AG94" s="440" t="str">
        <f>IF($B94="","",IF(Penalties!$Z42=AG$55,1,""))</f>
        <v/>
      </c>
      <c r="AH94" s="440" t="str">
        <f>IF($B94="","",IF(Penalties!$Z42=AH$55,1,""))</f>
        <v/>
      </c>
      <c r="AI94" s="440" t="str">
        <f>IF($B94="","",IF(Penalties!$Z42=AI$55,1,""))</f>
        <v/>
      </c>
      <c r="AJ94" s="441"/>
      <c r="AK94" s="74"/>
      <c r="AL94" s="74"/>
      <c r="AM94" s="74"/>
      <c r="AN94" s="74"/>
      <c r="AO94" s="74"/>
      <c r="AP94" s="74"/>
      <c r="AQ94" s="74"/>
      <c r="AR94" s="74"/>
      <c r="AS94" s="74"/>
      <c r="AT94" s="74"/>
      <c r="AU94" s="74"/>
      <c r="AV94" s="74"/>
      <c r="AW94" s="74"/>
      <c r="AX94" s="74"/>
    </row>
    <row r="95" spans="1:50" ht="13.5" thickBot="1" x14ac:dyDescent="0.25">
      <c r="A95" s="1486"/>
      <c r="B95" s="1487"/>
      <c r="C95" s="1488"/>
      <c r="D95" s="426" t="s">
        <v>21</v>
      </c>
      <c r="E95" s="426" t="str">
        <f>IF($B94="","",COUNTIF(Penalties!$AS42:$BA42,E$55))</f>
        <v/>
      </c>
      <c r="F95" s="426" t="str">
        <f>IF($B94="","",COUNTIF(Penalties!$AS42:$BA42,F$55))</f>
        <v/>
      </c>
      <c r="G95" s="426" t="str">
        <f>IF($B94="","",COUNTIF(Penalties!$AS42:$BA42,G$55))</f>
        <v/>
      </c>
      <c r="H95" s="426" t="str">
        <f>IF($B94="","",COUNTIF(Penalties!$AS42:$BA42,H$55))</f>
        <v/>
      </c>
      <c r="I95" s="426" t="str">
        <f>IF($B94="","",COUNTIF(Penalties!$AS42:$BA42,I$55))</f>
        <v/>
      </c>
      <c r="J95" s="426" t="str">
        <f>IF($B94="","",COUNTIF(Penalties!$AS42:$BA42,J$55))</f>
        <v/>
      </c>
      <c r="K95" s="426" t="str">
        <f>IF($B94="","",COUNTIF(Penalties!$AS42:$BA42,K$55))</f>
        <v/>
      </c>
      <c r="L95" s="426" t="str">
        <f>IF($B94="","",COUNTIF(Penalties!$AS42:$BA42,L$55))</f>
        <v/>
      </c>
      <c r="M95" s="426" t="str">
        <f>IF($B94="","",COUNTIF(Penalties!$AS42:$BA42,M$55))</f>
        <v/>
      </c>
      <c r="N95" s="426" t="str">
        <f>IF($B94="","",COUNTIF(Penalties!$AS42:$BA42,N$55))</f>
        <v/>
      </c>
      <c r="O95" s="426" t="str">
        <f>IF($B94="","",COUNTIF(Penalties!$AS42:$BA42,O$55))</f>
        <v/>
      </c>
      <c r="P95" s="426" t="str">
        <f>IF($B94="","",COUNTIF(Penalties!$AS42:$BA42,P$55))</f>
        <v/>
      </c>
      <c r="Q95" s="426" t="str">
        <f>IF($B94="","",COUNTIF(Penalties!$AS42:$BA42,Q$55))</f>
        <v/>
      </c>
      <c r="R95" s="426" t="str">
        <f>IF($B94="","",COUNTIF(Penalties!$AS42:$BA42,R$55))</f>
        <v/>
      </c>
      <c r="S95" s="426"/>
      <c r="T95" s="426"/>
      <c r="U95" s="438" t="str">
        <f>IF(B94="","",SUM(E95:T95))</f>
        <v/>
      </c>
      <c r="V95" s="439" t="str">
        <f>IF(B94="","",SUM(E95:T95)*0.5)</f>
        <v/>
      </c>
      <c r="W95" s="440" t="str">
        <f>IF($B94="","",IF(Penalties!$BB42=W$55,1,""))</f>
        <v/>
      </c>
      <c r="X95" s="440" t="str">
        <f>IF($B94="","",IF(Penalties!$BB42=X$55,1,""))</f>
        <v/>
      </c>
      <c r="Y95" s="440" t="str">
        <f>IF($B94="","",IF(Penalties!$BB42=Y$55,1,""))</f>
        <v/>
      </c>
      <c r="Z95" s="440" t="str">
        <f>IF($B94="","",IF(Penalties!$BB42=Z$55,1,""))</f>
        <v/>
      </c>
      <c r="AA95" s="440" t="str">
        <f>IF($B94="","",IF(Penalties!$BB42=AA$55,1,""))</f>
        <v/>
      </c>
      <c r="AB95" s="440" t="str">
        <f>IF($B94="","",IF(Penalties!$BB42=AB$55,1,""))</f>
        <v/>
      </c>
      <c r="AC95" s="440" t="str">
        <f>IF($B94="","",IF(Penalties!$BB42=AC$55,1,""))</f>
        <v/>
      </c>
      <c r="AD95" s="440" t="str">
        <f>IF($B94="","",IF(Penalties!$BB42=AD$55,1,""))</f>
        <v/>
      </c>
      <c r="AE95" s="440" t="str">
        <f>IF($B94="","",IF(Penalties!$BB42=AE$55,1,""))</f>
        <v/>
      </c>
      <c r="AF95" s="440" t="str">
        <f>IF($B94="","",IF(Penalties!$BB42=AF$55,1,""))</f>
        <v/>
      </c>
      <c r="AG95" s="440" t="str">
        <f>IF($B94="","",IF(Penalties!$BB42=AG$55,1,""))</f>
        <v/>
      </c>
      <c r="AH95" s="440" t="str">
        <f>IF($B94="","",IF(Penalties!$BB42=AH$55,1,""))</f>
        <v/>
      </c>
      <c r="AI95" s="440" t="str">
        <f>IF($B94="","",IF(Penalties!$BB42=AI$55,1,""))</f>
        <v/>
      </c>
      <c r="AJ95" s="443"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89" t="s">
        <v>283</v>
      </c>
      <c r="B96" s="1489"/>
      <c r="C96" s="1489"/>
      <c r="D96" s="444" t="s">
        <v>5</v>
      </c>
      <c r="E96" s="445"/>
      <c r="F96" s="445"/>
      <c r="G96" s="445"/>
      <c r="H96" s="445"/>
      <c r="I96" s="445"/>
      <c r="J96" s="445"/>
      <c r="K96" s="445"/>
      <c r="L96" s="445"/>
      <c r="M96" s="445"/>
      <c r="N96" s="445"/>
      <c r="O96" s="445"/>
      <c r="P96" s="445"/>
      <c r="Q96" s="445"/>
      <c r="R96" s="445"/>
      <c r="S96" s="445"/>
      <c r="T96" s="445"/>
      <c r="U96" s="438"/>
      <c r="V96" s="439"/>
      <c r="W96" s="435" t="str">
        <f>IF(Penalties!$R44=W$2,1,"")</f>
        <v/>
      </c>
      <c r="X96" s="435" t="str">
        <f>IF(Penalties!$R44=X$2,1,"")</f>
        <v/>
      </c>
      <c r="Y96" s="435" t="str">
        <f>IF(Penalties!$R44=Y$2,1,"")</f>
        <v/>
      </c>
      <c r="Z96" s="435" t="str">
        <f>IF(Penalties!$R44=Z$2,1,"")</f>
        <v/>
      </c>
      <c r="AA96" s="435" t="str">
        <f>IF(Penalties!$R44=AA$2,1,"")</f>
        <v/>
      </c>
      <c r="AB96" s="435" t="str">
        <f>IF(Penalties!$R44=AB$2,1,"")</f>
        <v/>
      </c>
      <c r="AC96" s="435" t="str">
        <f>IF(Penalties!$R44=AC$2,1,"")</f>
        <v/>
      </c>
      <c r="AD96" s="435" t="str">
        <f>IF(Penalties!$R44=AD$2,1,"")</f>
        <v/>
      </c>
      <c r="AE96" s="435" t="str">
        <f>IF(Penalties!$R44=AE$2,1,"")</f>
        <v/>
      </c>
      <c r="AF96" s="435" t="str">
        <f>IF(Penalties!$R44=AF$2,1,"")</f>
        <v/>
      </c>
      <c r="AG96" s="435" t="str">
        <f>IF(Penalties!$R44=AG$2,1,"")</f>
        <v/>
      </c>
      <c r="AH96" s="435" t="str">
        <f>IF(Penalties!$R44=AH$2,1,"")</f>
        <v/>
      </c>
      <c r="AI96" s="435" t="str">
        <f>IF(Penalties!$R44=AI$2,1,"")</f>
        <v/>
      </c>
      <c r="AJ96" s="436"/>
      <c r="AK96" s="74"/>
      <c r="AL96" s="74"/>
      <c r="AM96" s="74"/>
      <c r="AN96" s="74"/>
      <c r="AO96" s="74"/>
      <c r="AP96" s="74"/>
      <c r="AQ96" s="74"/>
      <c r="AR96" s="74"/>
      <c r="AS96" s="74"/>
      <c r="AT96" s="74"/>
      <c r="AU96" s="74"/>
      <c r="AV96" s="74"/>
      <c r="AW96" s="74"/>
      <c r="AX96" s="74"/>
    </row>
    <row r="97" spans="1:50" x14ac:dyDescent="0.2">
      <c r="A97" s="1489"/>
      <c r="B97" s="1489"/>
      <c r="C97" s="1489"/>
      <c r="D97" s="444" t="s">
        <v>21</v>
      </c>
      <c r="E97" s="445"/>
      <c r="F97" s="445"/>
      <c r="G97" s="445"/>
      <c r="H97" s="445"/>
      <c r="I97" s="445"/>
      <c r="J97" s="445"/>
      <c r="K97" s="445"/>
      <c r="L97" s="445"/>
      <c r="M97" s="445"/>
      <c r="N97" s="445"/>
      <c r="O97" s="445"/>
      <c r="P97" s="445"/>
      <c r="Q97" s="445"/>
      <c r="R97" s="445"/>
      <c r="S97" s="445"/>
      <c r="T97" s="445"/>
      <c r="U97" s="438"/>
      <c r="V97" s="439"/>
      <c r="W97" s="435" t="str">
        <f>IF(Penalties!$AT44=W$2,1,"")</f>
        <v/>
      </c>
      <c r="X97" s="435" t="str">
        <f>IF(Penalties!$AT44=X$2,1,"")</f>
        <v/>
      </c>
      <c r="Y97" s="435" t="str">
        <f>IF(Penalties!$AT44=Y$2,1,"")</f>
        <v/>
      </c>
      <c r="Z97" s="435" t="str">
        <f>IF(Penalties!$AT44=Z$2,1,"")</f>
        <v/>
      </c>
      <c r="AA97" s="435" t="str">
        <f>IF(Penalties!$AT44=AA$2,1,"")</f>
        <v/>
      </c>
      <c r="AB97" s="435" t="str">
        <f>IF(Penalties!$AT44=AB$2,1,"")</f>
        <v/>
      </c>
      <c r="AC97" s="435" t="str">
        <f>IF(Penalties!$AT44=AC$2,1,"")</f>
        <v/>
      </c>
      <c r="AD97" s="435" t="str">
        <f>IF(Penalties!$AT44=AD$2,1,"")</f>
        <v/>
      </c>
      <c r="AE97" s="435" t="str">
        <f>IF(Penalties!$AT44=AE$2,1,"")</f>
        <v/>
      </c>
      <c r="AF97" s="435" t="str">
        <f>IF(Penalties!$AT44=AF$2,1,"")</f>
        <v/>
      </c>
      <c r="AG97" s="435" t="str">
        <f>IF(Penalties!$AT44=AG$2,1,"")</f>
        <v/>
      </c>
      <c r="AH97" s="435" t="str">
        <f>IF(Penalties!$AT44=AH$2,1,"")</f>
        <v/>
      </c>
      <c r="AI97" s="435" t="str">
        <f>IF(Penalties!$AT44=AI$2,1,"")</f>
        <v/>
      </c>
      <c r="AJ97" s="437"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90" t="s">
        <v>283</v>
      </c>
      <c r="B98" s="1490"/>
      <c r="C98" s="1490"/>
      <c r="D98" s="426" t="s">
        <v>5</v>
      </c>
      <c r="E98" s="445"/>
      <c r="F98" s="445"/>
      <c r="G98" s="445"/>
      <c r="H98" s="445"/>
      <c r="I98" s="445"/>
      <c r="J98" s="445"/>
      <c r="K98" s="445"/>
      <c r="L98" s="445"/>
      <c r="M98" s="445"/>
      <c r="N98" s="445"/>
      <c r="O98" s="445"/>
      <c r="P98" s="445"/>
      <c r="Q98" s="445"/>
      <c r="R98" s="445"/>
      <c r="S98" s="445"/>
      <c r="T98" s="445"/>
      <c r="U98" s="438"/>
      <c r="V98" s="439"/>
      <c r="W98" s="440" t="str">
        <f>IF(Penalties!$S44=W$2,1,"")</f>
        <v/>
      </c>
      <c r="X98" s="440" t="str">
        <f>IF(Penalties!$S44=X$2,1,"")</f>
        <v/>
      </c>
      <c r="Y98" s="440" t="str">
        <f>IF(Penalties!$S44=Y$2,1,"")</f>
        <v/>
      </c>
      <c r="Z98" s="440" t="str">
        <f>IF(Penalties!$S44=Z$2,1,"")</f>
        <v/>
      </c>
      <c r="AA98" s="440" t="str">
        <f>IF(Penalties!$S44=AA$2,1,"")</f>
        <v/>
      </c>
      <c r="AB98" s="440" t="str">
        <f>IF(Penalties!$S44=AB$2,1,"")</f>
        <v/>
      </c>
      <c r="AC98" s="440" t="str">
        <f>IF(Penalties!$S44=AC$2,1,"")</f>
        <v/>
      </c>
      <c r="AD98" s="440" t="str">
        <f>IF(Penalties!$S44=AD$2,1,"")</f>
        <v/>
      </c>
      <c r="AE98" s="440" t="str">
        <f>IF(Penalties!$S44=AE$2,1,"")</f>
        <v/>
      </c>
      <c r="AF98" s="440" t="str">
        <f>IF(Penalties!$S44=AF$2,1,"")</f>
        <v/>
      </c>
      <c r="AG98" s="440" t="str">
        <f>IF(Penalties!$S44=AG$2,1,"")</f>
        <v/>
      </c>
      <c r="AH98" s="440" t="str">
        <f>IF(Penalties!$S44=AH$2,1,"")</f>
        <v/>
      </c>
      <c r="AI98" s="440" t="str">
        <f>IF(Penalties!$S44=AI$2,1,"")</f>
        <v/>
      </c>
      <c r="AJ98" s="441"/>
      <c r="AK98" s="74"/>
      <c r="AL98" s="74"/>
      <c r="AM98" s="74"/>
      <c r="AN98" s="74"/>
      <c r="AO98" s="74"/>
      <c r="AP98" s="74"/>
      <c r="AQ98" s="74"/>
      <c r="AR98" s="74"/>
      <c r="AS98" s="74"/>
      <c r="AT98" s="74"/>
      <c r="AU98" s="74"/>
      <c r="AV98" s="74"/>
      <c r="AW98" s="74"/>
      <c r="AX98" s="74"/>
    </row>
    <row r="99" spans="1:50" ht="13.5" thickBot="1" x14ac:dyDescent="0.25">
      <c r="A99" s="1490"/>
      <c r="B99" s="1490"/>
      <c r="C99" s="1490"/>
      <c r="D99" s="426" t="s">
        <v>21</v>
      </c>
      <c r="E99" s="445"/>
      <c r="F99" s="445"/>
      <c r="G99" s="445"/>
      <c r="H99" s="445"/>
      <c r="I99" s="445"/>
      <c r="J99" s="445"/>
      <c r="K99" s="445"/>
      <c r="L99" s="445"/>
      <c r="M99" s="445"/>
      <c r="N99" s="445"/>
      <c r="O99" s="445"/>
      <c r="P99" s="445"/>
      <c r="Q99" s="445"/>
      <c r="R99" s="445"/>
      <c r="S99" s="445"/>
      <c r="T99" s="445"/>
      <c r="U99" s="438"/>
      <c r="V99" s="439"/>
      <c r="W99" s="440" t="str">
        <f>IF(Penalties!$AU44=W$2,1,"")</f>
        <v/>
      </c>
      <c r="X99" s="440" t="str">
        <f>IF(Penalties!$AU44=X$2,1,"")</f>
        <v/>
      </c>
      <c r="Y99" s="440" t="str">
        <f>IF(Penalties!$AU44=Y$2,1,"")</f>
        <v/>
      </c>
      <c r="Z99" s="440" t="str">
        <f>IF(Penalties!$AU44=Z$2,1,"")</f>
        <v/>
      </c>
      <c r="AA99" s="440" t="str">
        <f>IF(Penalties!$AU44=AA$2,1,"")</f>
        <v/>
      </c>
      <c r="AB99" s="440" t="str">
        <f>IF(Penalties!$AU44=AB$2,1,"")</f>
        <v/>
      </c>
      <c r="AC99" s="440" t="str">
        <f>IF(Penalties!$AU44=AC$2,1,"")</f>
        <v/>
      </c>
      <c r="AD99" s="440" t="str">
        <f>IF(Penalties!$AU44=AD$2,1,"")</f>
        <v/>
      </c>
      <c r="AE99" s="440" t="str">
        <f>IF(Penalties!$AU44=AE$2,1,"")</f>
        <v/>
      </c>
      <c r="AF99" s="440" t="str">
        <f>IF(Penalties!$AU44=AF$2,1,"")</f>
        <v/>
      </c>
      <c r="AG99" s="440" t="str">
        <f>IF(Penalties!$AU44=AG$2,1,"")</f>
        <v/>
      </c>
      <c r="AH99" s="440" t="str">
        <f>IF(Penalties!$AU44=AH$2,1,"")</f>
        <v/>
      </c>
      <c r="AI99" s="440" t="str">
        <f>IF(Penalties!$AU44=AI$2,1,"")</f>
        <v/>
      </c>
      <c r="AJ99" s="443"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91" t="s">
        <v>8</v>
      </c>
      <c r="B100" s="1491"/>
      <c r="C100" s="1491" t="s">
        <v>26</v>
      </c>
      <c r="D100" s="446" t="s">
        <v>5</v>
      </c>
      <c r="E100" s="446">
        <f t="shared" ref="E100:AG101" si="2">SUM(E56,E58,E60,E62,E64,E66,E68,E70,E72,E74,E76,E78,E80,E82,E84,E86,E88,E90,E92,E94)</f>
        <v>0</v>
      </c>
      <c r="F100" s="446">
        <f t="shared" si="2"/>
        <v>0</v>
      </c>
      <c r="G100" s="446">
        <f t="shared" si="2"/>
        <v>0</v>
      </c>
      <c r="H100" s="446">
        <f t="shared" si="2"/>
        <v>0</v>
      </c>
      <c r="I100" s="446">
        <f t="shared" si="2"/>
        <v>0</v>
      </c>
      <c r="J100" s="446">
        <f t="shared" si="2"/>
        <v>0</v>
      </c>
      <c r="K100" s="446">
        <f t="shared" si="2"/>
        <v>0</v>
      </c>
      <c r="L100" s="446">
        <f t="shared" si="2"/>
        <v>0</v>
      </c>
      <c r="M100" s="446">
        <f t="shared" si="2"/>
        <v>0</v>
      </c>
      <c r="N100" s="446">
        <f t="shared" si="2"/>
        <v>0</v>
      </c>
      <c r="O100" s="446">
        <f t="shared" si="2"/>
        <v>0</v>
      </c>
      <c r="P100" s="446">
        <f t="shared" si="2"/>
        <v>0</v>
      </c>
      <c r="Q100" s="446">
        <f t="shared" si="2"/>
        <v>0</v>
      </c>
      <c r="R100" s="446">
        <f>SUM(R56,R58,R60,R62,R64,R66,R68,R70,R72,R74,R76,R78,R80,R82,R84,R86,R88,R90,R92,R94)</f>
        <v>0</v>
      </c>
      <c r="S100" s="446">
        <f t="shared" si="2"/>
        <v>0</v>
      </c>
      <c r="T100" s="446">
        <f t="shared" si="2"/>
        <v>0</v>
      </c>
      <c r="U100" s="430">
        <f t="shared" si="2"/>
        <v>0</v>
      </c>
      <c r="V100" s="447">
        <f t="shared" si="2"/>
        <v>0</v>
      </c>
      <c r="W100" s="448">
        <f t="shared" si="2"/>
        <v>0</v>
      </c>
      <c r="X100" s="448">
        <f t="shared" si="2"/>
        <v>0</v>
      </c>
      <c r="Y100" s="448">
        <f t="shared" si="2"/>
        <v>0</v>
      </c>
      <c r="Z100" s="448">
        <f t="shared" si="2"/>
        <v>0</v>
      </c>
      <c r="AA100" s="448">
        <f t="shared" si="2"/>
        <v>0</v>
      </c>
      <c r="AB100" s="448">
        <f t="shared" si="2"/>
        <v>0</v>
      </c>
      <c r="AC100" s="448">
        <f t="shared" si="2"/>
        <v>0</v>
      </c>
      <c r="AD100" s="448">
        <f t="shared" si="2"/>
        <v>0</v>
      </c>
      <c r="AE100" s="448">
        <f t="shared" si="2"/>
        <v>0</v>
      </c>
      <c r="AF100" s="448">
        <f t="shared" si="2"/>
        <v>0</v>
      </c>
      <c r="AG100" s="448">
        <f t="shared" si="2"/>
        <v>0</v>
      </c>
      <c r="AH100" s="448">
        <f>SUM(AH56,AH58,AH60,AH62,AH64,AH66,AH68,AH70,AH72,AH74,AH76,AH78,AH80,AH82,AH84,AH86,AH88,AH90,AH92,AH94,AH96,AH98)</f>
        <v>0</v>
      </c>
      <c r="AI100" s="448">
        <f>SUM(AI56,AI58,AI60,AI62,AI64,AI66,AI68,AI70,AI72,AI74,AI76,AI78,AI80,AI82,AI84,AI86,AI88,AI90,AI92,AI94,AI96,AI98)</f>
        <v>0</v>
      </c>
      <c r="AJ100" s="449"/>
      <c r="AK100" s="74"/>
      <c r="AL100" s="74"/>
      <c r="AM100" s="74"/>
      <c r="AN100" s="74"/>
      <c r="AO100" s="74"/>
      <c r="AP100" s="74"/>
      <c r="AQ100" s="74"/>
      <c r="AR100" s="74"/>
      <c r="AS100" s="74"/>
      <c r="AT100" s="74"/>
      <c r="AU100" s="74"/>
      <c r="AV100" s="74"/>
      <c r="AW100" s="74"/>
      <c r="AX100" s="74"/>
    </row>
    <row r="101" spans="1:50" x14ac:dyDescent="0.2">
      <c r="A101" s="1491"/>
      <c r="B101" s="1491"/>
      <c r="C101" s="1491"/>
      <c r="D101" s="446" t="s">
        <v>21</v>
      </c>
      <c r="E101" s="446">
        <f t="shared" si="2"/>
        <v>0</v>
      </c>
      <c r="F101" s="446">
        <f t="shared" si="2"/>
        <v>0</v>
      </c>
      <c r="G101" s="446">
        <f t="shared" si="2"/>
        <v>0</v>
      </c>
      <c r="H101" s="446">
        <f t="shared" si="2"/>
        <v>0</v>
      </c>
      <c r="I101" s="446">
        <f t="shared" si="2"/>
        <v>0</v>
      </c>
      <c r="J101" s="446">
        <f t="shared" si="2"/>
        <v>0</v>
      </c>
      <c r="K101" s="446">
        <f t="shared" si="2"/>
        <v>0</v>
      </c>
      <c r="L101" s="446">
        <f t="shared" si="2"/>
        <v>0</v>
      </c>
      <c r="M101" s="446">
        <f t="shared" si="2"/>
        <v>0</v>
      </c>
      <c r="N101" s="446">
        <f t="shared" si="2"/>
        <v>0</v>
      </c>
      <c r="O101" s="446">
        <f t="shared" si="2"/>
        <v>0</v>
      </c>
      <c r="P101" s="446">
        <f t="shared" si="2"/>
        <v>0</v>
      </c>
      <c r="Q101" s="446">
        <f t="shared" si="2"/>
        <v>0</v>
      </c>
      <c r="R101" s="446">
        <f>SUM(R57,R59,R61,R63,R65,R67,R69,R71,R73,R75,R77,R79,R81,R83,R85,R87,R89,R91,R93,R95)</f>
        <v>0</v>
      </c>
      <c r="S101" s="446">
        <f t="shared" si="2"/>
        <v>0</v>
      </c>
      <c r="T101" s="446">
        <f t="shared" si="2"/>
        <v>0</v>
      </c>
      <c r="U101" s="430">
        <f t="shared" si="2"/>
        <v>0</v>
      </c>
      <c r="V101" s="447">
        <f t="shared" si="2"/>
        <v>0</v>
      </c>
      <c r="W101" s="448">
        <f t="shared" si="2"/>
        <v>0</v>
      </c>
      <c r="X101" s="448">
        <f t="shared" si="2"/>
        <v>0</v>
      </c>
      <c r="Y101" s="448">
        <f t="shared" si="2"/>
        <v>0</v>
      </c>
      <c r="Z101" s="448">
        <f t="shared" si="2"/>
        <v>0</v>
      </c>
      <c r="AA101" s="448">
        <f t="shared" si="2"/>
        <v>0</v>
      </c>
      <c r="AB101" s="448">
        <f t="shared" si="2"/>
        <v>0</v>
      </c>
      <c r="AC101" s="448">
        <f t="shared" si="2"/>
        <v>0</v>
      </c>
      <c r="AD101" s="448">
        <f t="shared" si="2"/>
        <v>0</v>
      </c>
      <c r="AE101" s="448">
        <f t="shared" si="2"/>
        <v>0</v>
      </c>
      <c r="AF101" s="448">
        <f t="shared" si="2"/>
        <v>0</v>
      </c>
      <c r="AG101" s="448">
        <f t="shared" si="2"/>
        <v>0</v>
      </c>
      <c r="AH101" s="448">
        <f>SUM(AH57,AH59,AH61,AH63,AH65,AH67,AH69,AH71,AH73,AH75,AH77,AH79,AH81,AH83,AH85,AH87,AH89,AH91,AH93,AH95,AH97,AH99)</f>
        <v>0</v>
      </c>
      <c r="AI101" s="448">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91"/>
      <c r="B102" s="1491"/>
      <c r="C102" s="1491"/>
      <c r="D102" s="430" t="s">
        <v>7</v>
      </c>
      <c r="E102" s="430">
        <f t="shared" ref="E102:AI102" si="3">SUM(E100,E101)</f>
        <v>0</v>
      </c>
      <c r="F102" s="430">
        <f t="shared" si="3"/>
        <v>0</v>
      </c>
      <c r="G102" s="430">
        <f t="shared" si="3"/>
        <v>0</v>
      </c>
      <c r="H102" s="430">
        <f t="shared" si="3"/>
        <v>0</v>
      </c>
      <c r="I102" s="430">
        <f t="shared" si="3"/>
        <v>0</v>
      </c>
      <c r="J102" s="430">
        <f t="shared" si="3"/>
        <v>0</v>
      </c>
      <c r="K102" s="430">
        <f t="shared" si="3"/>
        <v>0</v>
      </c>
      <c r="L102" s="430">
        <f t="shared" si="3"/>
        <v>0</v>
      </c>
      <c r="M102" s="430">
        <f t="shared" si="3"/>
        <v>0</v>
      </c>
      <c r="N102" s="430">
        <f t="shared" si="3"/>
        <v>0</v>
      </c>
      <c r="O102" s="430">
        <f t="shared" si="3"/>
        <v>0</v>
      </c>
      <c r="P102" s="430">
        <f t="shared" si="3"/>
        <v>0</v>
      </c>
      <c r="Q102" s="430">
        <f t="shared" si="3"/>
        <v>0</v>
      </c>
      <c r="R102" s="430">
        <f>SUM(R100,R101)</f>
        <v>0</v>
      </c>
      <c r="S102" s="430">
        <f t="shared" si="3"/>
        <v>0</v>
      </c>
      <c r="T102" s="430">
        <f t="shared" si="3"/>
        <v>0</v>
      </c>
      <c r="U102" s="450">
        <f t="shared" si="3"/>
        <v>0</v>
      </c>
      <c r="V102" s="451">
        <f t="shared" si="3"/>
        <v>0</v>
      </c>
      <c r="W102" s="448">
        <f t="shared" si="3"/>
        <v>0</v>
      </c>
      <c r="X102" s="448">
        <f t="shared" si="3"/>
        <v>0</v>
      </c>
      <c r="Y102" s="448">
        <f t="shared" si="3"/>
        <v>0</v>
      </c>
      <c r="Z102" s="448">
        <f t="shared" si="3"/>
        <v>0</v>
      </c>
      <c r="AA102" s="448">
        <f t="shared" si="3"/>
        <v>0</v>
      </c>
      <c r="AB102" s="448">
        <f t="shared" si="3"/>
        <v>0</v>
      </c>
      <c r="AC102" s="448">
        <f t="shared" si="3"/>
        <v>0</v>
      </c>
      <c r="AD102" s="448">
        <f t="shared" si="3"/>
        <v>0</v>
      </c>
      <c r="AE102" s="448">
        <f t="shared" si="3"/>
        <v>0</v>
      </c>
      <c r="AF102" s="448">
        <f t="shared" si="3"/>
        <v>0</v>
      </c>
      <c r="AG102" s="448">
        <f t="shared" si="3"/>
        <v>0</v>
      </c>
      <c r="AH102" s="448">
        <f t="shared" si="3"/>
        <v>0</v>
      </c>
      <c r="AI102" s="448">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ageMargins left="0.7" right="0.7" top="0.75" bottom="0.75" header="0.51180555555555551" footer="0.51180555555555551"/>
  <pageSetup scale="52"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Normal="100"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402</v>
      </c>
      <c r="M2" s="162" t="s">
        <v>388</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402</v>
      </c>
      <c r="AC2" s="162" t="s">
        <v>388</v>
      </c>
      <c r="AD2" s="162" t="s">
        <v>17</v>
      </c>
      <c r="AE2" s="162" t="s">
        <v>18</v>
      </c>
    </row>
    <row r="3" spans="1:31" x14ac:dyDescent="0.2">
      <c r="A3" s="99">
        <v>1</v>
      </c>
      <c r="B3" s="56" t="str">
        <f>IF(ISNA(MATCH($A3,Score!A$4:A$41,0)),"",MATCH($A3,Score!A$4:A$41,0)+ROW(Score!A$3))</f>
        <v/>
      </c>
      <c r="C3" s="100" t="str">
        <f t="shared" ref="C3:D22" ca="1" si="0">IF($B3="","",INDIRECT(ADDRESS($B3,C$1,1,,"Score")))</f>
        <v/>
      </c>
      <c r="D3" s="56" t="str">
        <f t="shared" ca="1" si="0"/>
        <v/>
      </c>
      <c r="E3" s="99" t="str">
        <f>IF(B3="","",SUM(D3,D4))</f>
        <v/>
      </c>
      <c r="F3" s="99"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1" t="str">
        <f ca="1">IF(ISNA(MATCH($A3,'Game Clock'!A$11:A$48,0)),"",INDIRECT(ADDRESS(MATCH($A3,'Game Clock'!A$11:A$48,0)+ROW('Game Clock'!A$10),N$1,1,,"Game Clock")))</f>
        <v/>
      </c>
      <c r="O3" s="101"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1" t="str">
        <f ca="1">N3</f>
        <v/>
      </c>
      <c r="AE3" s="101" t="str">
        <f ca="1">IF(OR(AD3="",AD3=0),"",60*U3/AD3)</f>
        <v/>
      </c>
    </row>
    <row r="4" spans="1:31" x14ac:dyDescent="0.2">
      <c r="A4" s="99"/>
      <c r="B4" s="56" t="str">
        <f ca="1">IF($B3="","",IF(INDIRECT(ADDRESS($B3+1,C$1-1,1,,"Score"))="SP",$B3+1,""))</f>
        <v/>
      </c>
      <c r="C4" s="100" t="str">
        <f t="shared" ca="1" si="0"/>
        <v/>
      </c>
      <c r="D4" s="56" t="str">
        <f t="shared" ca="1" si="0"/>
        <v/>
      </c>
      <c r="E4" s="99"/>
      <c r="F4" s="99"/>
      <c r="G4" s="174"/>
      <c r="H4" s="174"/>
      <c r="I4" s="164"/>
      <c r="J4" s="174" t="str">
        <f t="shared" ca="1" si="1"/>
        <v/>
      </c>
      <c r="K4" s="174" t="str">
        <f t="shared" ca="1" si="1"/>
        <v/>
      </c>
      <c r="L4" s="174" t="str">
        <f t="shared" ca="1" si="1"/>
        <v/>
      </c>
      <c r="M4" s="56" t="str">
        <f t="shared" ca="1" si="2"/>
        <v/>
      </c>
      <c r="N4" s="101"/>
      <c r="O4" s="101"/>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1"/>
      <c r="AE4" s="101"/>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1"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1" t="str">
        <f ca="1">IF(ISNA(MATCH($A7,'Game Clock'!A$11:A$48,0)),"",INDIRECT(ADDRESS(MATCH($A7,'Game Clock'!A$11:A$48,0)+ROW('Game Clock'!A$10),N$1,1,,"Game Clock")))</f>
        <v/>
      </c>
      <c r="O7" s="101"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1" t="str">
        <f ca="1">N7</f>
        <v/>
      </c>
      <c r="AE7" s="101"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1"/>
      <c r="O8" s="101"/>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1"/>
      <c r="AE8" s="101"/>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1"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1" t="str">
        <f ca="1">IF(ISNA(MATCH($A11,'Game Clock'!A$11:A$48,0)),"",INDIRECT(ADDRESS(MATCH($A11,'Game Clock'!A$11:A$48,0)+ROW('Game Clock'!A$10),N$1,1,,"Game Clock")))</f>
        <v/>
      </c>
      <c r="O11" s="101"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1" t="str">
        <f ca="1">N11</f>
        <v/>
      </c>
      <c r="AE11" s="101"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1"/>
      <c r="O12" s="101"/>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1"/>
      <c r="AE12" s="101"/>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1"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1" t="str">
        <f ca="1">IF(ISNA(MATCH($A15,'Game Clock'!A$11:A$48,0)),"",INDIRECT(ADDRESS(MATCH($A15,'Game Clock'!A$11:A$48,0)+ROW('Game Clock'!A$10),N$1,1,,"Game Clock")))</f>
        <v/>
      </c>
      <c r="O15" s="101"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1" t="str">
        <f ca="1">N15</f>
        <v/>
      </c>
      <c r="AE15" s="101"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1"/>
      <c r="O16" s="101"/>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1"/>
      <c r="AE16" s="101"/>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1"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1" t="str">
        <f ca="1">IF(ISNA(MATCH($A19,'Game Clock'!A$11:A$48,0)),"",INDIRECT(ADDRESS(MATCH($A19,'Game Clock'!A$11:A$48,0)+ROW('Game Clock'!A$10),N$1,1,,"Game Clock")))</f>
        <v/>
      </c>
      <c r="O19" s="101"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1" t="str">
        <f ca="1">N19</f>
        <v/>
      </c>
      <c r="AE19" s="101"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1"/>
      <c r="O20" s="101"/>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1"/>
      <c r="AE20" s="101"/>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1"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1" t="str">
        <f ca="1">IF(ISNA(MATCH($A23,'Game Clock'!A$11:A$48,0)),"",INDIRECT(ADDRESS(MATCH($A23,'Game Clock'!A$11:A$48,0)+ROW('Game Clock'!A$10),N$1,1,,"Game Clock")))</f>
        <v/>
      </c>
      <c r="O23" s="101"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1" t="str">
        <f ca="1">N23</f>
        <v/>
      </c>
      <c r="AE23" s="101"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1"/>
      <c r="O24" s="101"/>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1"/>
      <c r="AE24" s="101"/>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1"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1" t="str">
        <f ca="1">IF(ISNA(MATCH($A27,'Game Clock'!A$11:A$48,0)),"",INDIRECT(ADDRESS(MATCH($A27,'Game Clock'!A$11:A$48,0)+ROW('Game Clock'!A$10),N$1,1,,"Game Clock")))</f>
        <v/>
      </c>
      <c r="O27" s="101"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1" t="str">
        <f ca="1">N27</f>
        <v/>
      </c>
      <c r="AE27" s="101"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1"/>
      <c r="O28" s="101"/>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1"/>
      <c r="AE28" s="101"/>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1"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1" t="str">
        <f ca="1">IF(ISNA(MATCH($A31,'Game Clock'!A$11:A$48,0)),"",INDIRECT(ADDRESS(MATCH($A31,'Game Clock'!A$11:A$48,0)+ROW('Game Clock'!A$10),N$1,1,,"Game Clock")))</f>
        <v/>
      </c>
      <c r="O31" s="101"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1" t="str">
        <f ca="1">N31</f>
        <v/>
      </c>
      <c r="AE31" s="101"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1"/>
      <c r="O32" s="101"/>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1"/>
      <c r="AE32" s="101"/>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1"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1" t="str">
        <f ca="1">IF(ISNA(MATCH($A35,'Game Clock'!A$11:A$48,0)),"",INDIRECT(ADDRESS(MATCH($A35,'Game Clock'!A$11:A$48,0)+ROW('Game Clock'!A$10),N$1,1,,"Game Clock")))</f>
        <v/>
      </c>
      <c r="O35" s="101"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1" t="str">
        <f ca="1">N35</f>
        <v/>
      </c>
      <c r="AE35" s="101"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1"/>
      <c r="O36" s="101"/>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1"/>
      <c r="AE36" s="101"/>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1"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1" t="str">
        <f ca="1">IF(ISNA(MATCH($A39,'Game Clock'!A$11:A$48,0)),"",INDIRECT(ADDRESS(MATCH($A39,'Game Clock'!A$11:A$48,0)+ROW('Game Clock'!A$10),N$1,1,,"Game Clock")))</f>
        <v/>
      </c>
      <c r="O39" s="101"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1" t="str">
        <f ca="1">N39</f>
        <v/>
      </c>
      <c r="AE39" s="101"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1"/>
      <c r="O40" s="101"/>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1"/>
      <c r="AE40" s="101"/>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1"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1" t="str">
        <f ca="1">IF(ISNA(MATCH($A43,'Game Clock'!A$11:A$48,0)),"",INDIRECT(ADDRESS(MATCH($A43,'Game Clock'!A$11:A$48,0)+ROW('Game Clock'!A$10),N$1,1,,"Game Clock")))</f>
        <v/>
      </c>
      <c r="O43" s="101"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1" t="str">
        <f ca="1">N43</f>
        <v/>
      </c>
      <c r="AE43" s="101"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1"/>
      <c r="O44" s="101"/>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1"/>
      <c r="AE44" s="101"/>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1"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1" t="str">
        <f ca="1">IF(ISNA(MATCH($A47,'Game Clock'!A$11:A$48,0)),"",INDIRECT(ADDRESS(MATCH($A47,'Game Clock'!A$11:A$48,0)+ROW('Game Clock'!A$10),N$1,1,,"Game Clock")))</f>
        <v/>
      </c>
      <c r="O47" s="101"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1" t="str">
        <f ca="1">N47</f>
        <v/>
      </c>
      <c r="AE47" s="101"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1"/>
      <c r="O48" s="101"/>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1"/>
      <c r="AE48" s="101"/>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1"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1" t="str">
        <f ca="1">IF(ISNA(MATCH($A51,'Game Clock'!A$11:A$48,0)),"",INDIRECT(ADDRESS(MATCH($A51,'Game Clock'!A$11:A$48,0)+ROW('Game Clock'!A$10),N$1,1,,"Game Clock")))</f>
        <v/>
      </c>
      <c r="O51" s="101"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1" t="str">
        <f ca="1">N51</f>
        <v/>
      </c>
      <c r="AE51" s="101"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1"/>
      <c r="O52" s="101"/>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1"/>
      <c r="AE52" s="101"/>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1"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1" t="str">
        <f ca="1">IF(ISNA(MATCH($A55,'Game Clock'!A$11:A$48,0)),"",INDIRECT(ADDRESS(MATCH($A55,'Game Clock'!A$11:A$48,0)+ROW('Game Clock'!A$10),N$1,1,,"Game Clock")))</f>
        <v/>
      </c>
      <c r="O55" s="101"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1" t="str">
        <f ca="1">N55</f>
        <v/>
      </c>
      <c r="AE55" s="101"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1"/>
      <c r="O56" s="101"/>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1"/>
      <c r="AE56" s="101"/>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1"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1" t="str">
        <f ca="1">IF(ISNA(MATCH($A59,'Game Clock'!A$11:A$48,0)),"",INDIRECT(ADDRESS(MATCH($A59,'Game Clock'!A$11:A$48,0)+ROW('Game Clock'!A$10),N$1,1,,"Game Clock")))</f>
        <v/>
      </c>
      <c r="O59" s="101"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1" t="str">
        <f ca="1">N59</f>
        <v/>
      </c>
      <c r="AE59" s="101"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1"/>
      <c r="O60" s="101"/>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1"/>
      <c r="AE60" s="101"/>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1"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1" t="str">
        <f ca="1">IF(ISNA(MATCH($A63,'Game Clock'!A$11:A$48,0)),"",INDIRECT(ADDRESS(MATCH($A63,'Game Clock'!A$11:A$48,0)+ROW('Game Clock'!A$10),N$1,1,,"Game Clock")))</f>
        <v/>
      </c>
      <c r="O63" s="101"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1" t="str">
        <f ca="1">N63</f>
        <v/>
      </c>
      <c r="AE63" s="101"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1"/>
      <c r="O64" s="101"/>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1"/>
      <c r="AE64" s="101"/>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1"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1" t="str">
        <f ca="1">IF(ISNA(MATCH($A67,'Game Clock'!A$11:A$48,0)),"",INDIRECT(ADDRESS(MATCH($A67,'Game Clock'!A$11:A$48,0)+ROW('Game Clock'!A$10),N$1,1,,"Game Clock")))</f>
        <v/>
      </c>
      <c r="O67" s="101"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1" t="str">
        <f ca="1">N67</f>
        <v/>
      </c>
      <c r="AE67" s="101"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1"/>
      <c r="O68" s="101"/>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1"/>
      <c r="AE68" s="101"/>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1"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1" t="str">
        <f ca="1">IF(ISNA(MATCH($A71,'Game Clock'!A$11:A$48,0)),"",INDIRECT(ADDRESS(MATCH($A71,'Game Clock'!A$11:A$48,0)+ROW('Game Clock'!A$10),N$1,1,,"Game Clock")))</f>
        <v/>
      </c>
      <c r="O71" s="101"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1" t="str">
        <f ca="1">N71</f>
        <v/>
      </c>
      <c r="AE71" s="101"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1"/>
      <c r="O72" s="101"/>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1"/>
      <c r="AE72" s="101"/>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1"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1" t="str">
        <f ca="1">IF(ISNA(MATCH($A75,'Game Clock'!A$11:A$48,0)),"",INDIRECT(ADDRESS(MATCH($A75,'Game Clock'!A$11:A$48,0)+ROW('Game Clock'!A$10),N$1,1,,"Game Clock")))</f>
        <v/>
      </c>
      <c r="O75" s="101"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1" t="str">
        <f ca="1">N75</f>
        <v/>
      </c>
      <c r="AE75" s="101"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1"/>
      <c r="O76" s="101"/>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1"/>
      <c r="AE76" s="101"/>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1"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97" t="s">
        <v>19</v>
      </c>
      <c r="B79" s="175"/>
      <c r="C79" s="175"/>
      <c r="D79" s="175"/>
      <c r="E79" s="176">
        <f>SUM(E3:E78)</f>
        <v>0</v>
      </c>
      <c r="F79" s="177"/>
      <c r="G79" s="173">
        <f ca="1">SUM(G3:G78)</f>
        <v>0</v>
      </c>
      <c r="H79" s="173">
        <f ca="1">SUM(H3:H78)</f>
        <v>0</v>
      </c>
      <c r="I79" s="163"/>
      <c r="J79" s="1498">
        <f ca="1">SUM(J3:J78)</f>
        <v>0</v>
      </c>
      <c r="K79" s="1498">
        <f ca="1">SUM(K3:K78)</f>
        <v>0</v>
      </c>
      <c r="L79" s="173">
        <f ca="1">SUM(L3,L5,L7,L9,L11,L13,L15,L17,L19,L21,L23,L25,L27,L29,L31,L33,L35,L37,L39,L41,L43,L45,L47,L49,L51,L53,L55,L57,L59,L61,L63,L65,L67,L69,L71,L73,L75,L77)</f>
        <v>0</v>
      </c>
      <c r="M79" s="175"/>
      <c r="N79" s="177" t="s">
        <v>20</v>
      </c>
      <c r="O79" s="176" t="str">
        <f ca="1">IF(COUNT(O3:O78),AVERAGE(O3:O78),"")</f>
        <v/>
      </c>
      <c r="Q79" s="1497" t="s">
        <v>19</v>
      </c>
      <c r="R79" s="175"/>
      <c r="S79" s="175"/>
      <c r="T79" s="175"/>
      <c r="U79" s="176">
        <f>SUM(U3:U78)</f>
        <v>0</v>
      </c>
      <c r="V79" s="177"/>
      <c r="W79" s="173">
        <f ca="1">SUM(W3:W78)</f>
        <v>0</v>
      </c>
      <c r="X79" s="173">
        <f ca="1">SUM(X3:X78)</f>
        <v>0</v>
      </c>
      <c r="Y79" s="163"/>
      <c r="Z79" s="1498">
        <f ca="1">SUM(Z3:Z78)</f>
        <v>0</v>
      </c>
      <c r="AA79" s="1498">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97"/>
      <c r="B80" s="175"/>
      <c r="C80" s="175"/>
      <c r="D80" s="175"/>
      <c r="E80" s="176"/>
      <c r="F80" s="177"/>
      <c r="G80" s="173"/>
      <c r="H80" s="178"/>
      <c r="I80" s="163"/>
      <c r="J80" s="1498"/>
      <c r="K80" s="1498"/>
      <c r="L80" s="173">
        <f ca="1">SUM(L4,L6,L8,L10,L12,L14,L16,L18,L20,L22,L24,L26,L28,L30,L32,L34,L36,L38,L40,L42,L44,L46,L48,L50,L52,L54,L56,L58,L60,L62, L64, L66, L68, L70, L72,L74,L76,L78)</f>
        <v>0</v>
      </c>
      <c r="M80" s="175"/>
      <c r="N80" s="177"/>
      <c r="O80" s="176"/>
      <c r="Q80" s="1497"/>
      <c r="R80" s="175"/>
      <c r="S80" s="175"/>
      <c r="T80" s="175"/>
      <c r="U80" s="176"/>
      <c r="V80" s="177"/>
      <c r="W80" s="173"/>
      <c r="X80" s="178"/>
      <c r="Y80" s="163"/>
      <c r="Z80" s="1498"/>
      <c r="AA80" s="1498"/>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402</v>
      </c>
      <c r="M87" s="162" t="s">
        <v>388</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402</v>
      </c>
      <c r="AC87" s="162" t="s">
        <v>388</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1" t="str">
        <f ca="1">IF(ISNA(MATCH($A88,'Game Clock'!A$62:A$99,0)),"",INDIRECT(ADDRESS(MATCH($A88,'Game Clock'!A$62:A$99,0)+ROW('Game Clock'!A$61),N$1,1,,"Game Clock")))</f>
        <v/>
      </c>
      <c r="O88" s="101"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1" t="str">
        <f ca="1">N88</f>
        <v/>
      </c>
      <c r="AE88" s="101"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1"/>
      <c r="O89" s="101"/>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1"/>
      <c r="AE89" s="101"/>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1"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1" t="str">
        <f ca="1">IF(ISNA(MATCH($A92,'Game Clock'!A$62:A$99,0)),"",INDIRECT(ADDRESS(MATCH($A92,'Game Clock'!A$62:A$99,0)+ROW('Game Clock'!A$61),N$1,1,,"Game Clock")))</f>
        <v/>
      </c>
      <c r="O92" s="101"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1" t="str">
        <f ca="1">N92</f>
        <v/>
      </c>
      <c r="AE92" s="101"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1"/>
      <c r="O93" s="101"/>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1"/>
      <c r="AE93" s="101"/>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1"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1" t="str">
        <f ca="1">IF(ISNA(MATCH($A96,'Game Clock'!A$62:A$99,0)),"",INDIRECT(ADDRESS(MATCH($A96,'Game Clock'!A$62:A$99,0)+ROW('Game Clock'!A$61),N$1,1,,"Game Clock")))</f>
        <v/>
      </c>
      <c r="O96" s="101"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1" t="str">
        <f ca="1">N96</f>
        <v/>
      </c>
      <c r="AE96" s="101"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1"/>
      <c r="O97" s="101"/>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1"/>
      <c r="AE97" s="101"/>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1"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1" t="str">
        <f ca="1">IF(ISNA(MATCH($A100,'Game Clock'!A$62:A$99,0)),"",INDIRECT(ADDRESS(MATCH($A100,'Game Clock'!A$62:A$99,0)+ROW('Game Clock'!A$61),N$1,1,,"Game Clock")))</f>
        <v/>
      </c>
      <c r="O100" s="101"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1" t="str">
        <f ca="1">N100</f>
        <v/>
      </c>
      <c r="AE100" s="101"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1"/>
      <c r="O101" s="101"/>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1"/>
      <c r="AE101" s="101"/>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1"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1" t="str">
        <f ca="1">IF(ISNA(MATCH($A104,'Game Clock'!A$62:A$99,0)),"",INDIRECT(ADDRESS(MATCH($A104,'Game Clock'!A$62:A$99,0)+ROW('Game Clock'!A$61),N$1,1,,"Game Clock")))</f>
        <v/>
      </c>
      <c r="O104" s="101"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1" t="str">
        <f ca="1">N104</f>
        <v/>
      </c>
      <c r="AE104" s="101"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1"/>
      <c r="O105" s="101"/>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1"/>
      <c r="AE105" s="101"/>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1"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1" t="str">
        <f ca="1">IF(ISNA(MATCH($A108,'Game Clock'!A$62:A$99,0)),"",INDIRECT(ADDRESS(MATCH($A108,'Game Clock'!A$62:A$99,0)+ROW('Game Clock'!A$61),N$1,1,,"Game Clock")))</f>
        <v/>
      </c>
      <c r="O108" s="101"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1" t="str">
        <f ca="1">N108</f>
        <v/>
      </c>
      <c r="AE108" s="101"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1"/>
      <c r="O109" s="101"/>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1"/>
      <c r="AE109" s="101"/>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1"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1" t="str">
        <f ca="1">IF(ISNA(MATCH($A112,'Game Clock'!A$62:A$99,0)),"",INDIRECT(ADDRESS(MATCH($A112,'Game Clock'!A$62:A$99,0)+ROW('Game Clock'!A$61),N$1,1,,"Game Clock")))</f>
        <v/>
      </c>
      <c r="O112" s="101"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1" t="str">
        <f ca="1">N112</f>
        <v/>
      </c>
      <c r="AE112" s="101"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1"/>
      <c r="O113" s="101"/>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1"/>
      <c r="AE113" s="101"/>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1"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1" t="str">
        <f ca="1">IF(ISNA(MATCH($A116,'Game Clock'!A$62:A$99,0)),"",INDIRECT(ADDRESS(MATCH($A116,'Game Clock'!A$62:A$99,0)+ROW('Game Clock'!A$61),N$1,1,,"Game Clock")))</f>
        <v/>
      </c>
      <c r="O116" s="101"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1" t="str">
        <f ca="1">N116</f>
        <v/>
      </c>
      <c r="AE116" s="101"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1"/>
      <c r="O117" s="101"/>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1"/>
      <c r="AE117" s="101"/>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1"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1" t="str">
        <f ca="1">IF(ISNA(MATCH($A120,'Game Clock'!A$62:A$99,0)),"",INDIRECT(ADDRESS(MATCH($A120,'Game Clock'!A$62:A$99,0)+ROW('Game Clock'!A$61),N$1,1,,"Game Clock")))</f>
        <v/>
      </c>
      <c r="O120" s="101"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1" t="str">
        <f ca="1">N120</f>
        <v/>
      </c>
      <c r="AE120" s="101"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1"/>
      <c r="O121" s="101"/>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1"/>
      <c r="AE121" s="101"/>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1"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1" t="str">
        <f ca="1">IF(ISNA(MATCH($A124,'Game Clock'!A$62:A$99,0)),"",INDIRECT(ADDRESS(MATCH($A124,'Game Clock'!A$62:A$99,0)+ROW('Game Clock'!A$61),N$1,1,,"Game Clock")))</f>
        <v/>
      </c>
      <c r="O124" s="101"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1" t="str">
        <f ca="1">N124</f>
        <v/>
      </c>
      <c r="AE124" s="101"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1"/>
      <c r="O125" s="101"/>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1"/>
      <c r="AE125" s="101"/>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1"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1" t="str">
        <f ca="1">IF(ISNA(MATCH($A128,'Game Clock'!A$62:A$99,0)),"",INDIRECT(ADDRESS(MATCH($A128,'Game Clock'!A$62:A$99,0)+ROW('Game Clock'!A$61),N$1,1,,"Game Clock")))</f>
        <v/>
      </c>
      <c r="O128" s="101"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1" t="str">
        <f ca="1">N128</f>
        <v/>
      </c>
      <c r="AE128" s="101"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1"/>
      <c r="O129" s="101"/>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1"/>
      <c r="AE129" s="101"/>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1"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1" t="str">
        <f ca="1">IF(ISNA(MATCH($A132,'Game Clock'!A$62:A$99,0)),"",INDIRECT(ADDRESS(MATCH($A132,'Game Clock'!A$62:A$99,0)+ROW('Game Clock'!A$61),N$1,1,,"Game Clock")))</f>
        <v/>
      </c>
      <c r="O132" s="101"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1" t="str">
        <f ca="1">N132</f>
        <v/>
      </c>
      <c r="AE132" s="101"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1"/>
      <c r="O133" s="101"/>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1"/>
      <c r="AE133" s="101"/>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1"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1" t="str">
        <f ca="1">IF(ISNA(MATCH($A136,'Game Clock'!A$62:A$99,0)),"",INDIRECT(ADDRESS(MATCH($A136,'Game Clock'!A$62:A$99,0)+ROW('Game Clock'!A$61),N$1,1,,"Game Clock")))</f>
        <v/>
      </c>
      <c r="O136" s="101"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1" t="str">
        <f ca="1">N136</f>
        <v/>
      </c>
      <c r="AE136" s="101"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1"/>
      <c r="O137" s="101"/>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1"/>
      <c r="AE137" s="101"/>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1"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1" t="str">
        <f ca="1">IF(ISNA(MATCH($A140,'Game Clock'!A$62:A$99,0)),"",INDIRECT(ADDRESS(MATCH($A140,'Game Clock'!A$62:A$99,0)+ROW('Game Clock'!A$61),N$1,1,,"Game Clock")))</f>
        <v/>
      </c>
      <c r="O140" s="101"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1" t="str">
        <f ca="1">N140</f>
        <v/>
      </c>
      <c r="AE140" s="101"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1"/>
      <c r="O141" s="101"/>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1"/>
      <c r="AE141" s="101"/>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1"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1" t="str">
        <f ca="1">IF(ISNA(MATCH($A144,'Game Clock'!A$62:A$99,0)),"",INDIRECT(ADDRESS(MATCH($A144,'Game Clock'!A$62:A$99,0)+ROW('Game Clock'!A$61),N$1,1,,"Game Clock")))</f>
        <v/>
      </c>
      <c r="O144" s="101"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1" t="str">
        <f ca="1">N144</f>
        <v/>
      </c>
      <c r="AE144" s="101"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1"/>
      <c r="O145" s="101"/>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1"/>
      <c r="AE145" s="101"/>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1"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1" t="str">
        <f ca="1">IF(ISNA(MATCH($A148,'Game Clock'!A$62:A$99,0)),"",INDIRECT(ADDRESS(MATCH($A148,'Game Clock'!A$62:A$99,0)+ROW('Game Clock'!A$61),N$1,1,,"Game Clock")))</f>
        <v/>
      </c>
      <c r="O148" s="101"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1" t="str">
        <f ca="1">N148</f>
        <v/>
      </c>
      <c r="AE148" s="101"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1"/>
      <c r="O149" s="101"/>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1"/>
      <c r="AE149" s="101"/>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1"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1" t="str">
        <f ca="1">IF(ISNA(MATCH($A152,'Game Clock'!A$62:A$99,0)),"",INDIRECT(ADDRESS(MATCH($A152,'Game Clock'!A$62:A$99,0)+ROW('Game Clock'!A$61),N$1,1,,"Game Clock")))</f>
        <v/>
      </c>
      <c r="O152" s="101"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1" t="str">
        <f ca="1">N152</f>
        <v/>
      </c>
      <c r="AE152" s="101"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1"/>
      <c r="O153" s="101"/>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1"/>
      <c r="AE153" s="101"/>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1"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1" t="str">
        <f ca="1">IF(ISNA(MATCH($A156,'Game Clock'!A$62:A$99,0)),"",INDIRECT(ADDRESS(MATCH($A156,'Game Clock'!A$62:A$99,0)+ROW('Game Clock'!A$61),N$1,1,,"Game Clock")))</f>
        <v/>
      </c>
      <c r="O156" s="101"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1" t="str">
        <f ca="1">N156</f>
        <v/>
      </c>
      <c r="AE156" s="101"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1"/>
      <c r="O157" s="101"/>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1"/>
      <c r="AE157" s="101"/>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1"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1" t="str">
        <f ca="1">IF(ISNA(MATCH($A160,'Game Clock'!A$62:A$99,0)),"",INDIRECT(ADDRESS(MATCH($A160,'Game Clock'!A$62:A$99,0)+ROW('Game Clock'!A$61),N$1,1,,"Game Clock")))</f>
        <v/>
      </c>
      <c r="O160" s="101"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1" t="str">
        <f ca="1">N160</f>
        <v/>
      </c>
      <c r="AE160" s="101"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1"/>
      <c r="O161" s="101"/>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1"/>
      <c r="AE161" s="101"/>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1"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97" t="s">
        <v>22</v>
      </c>
      <c r="B164" s="175"/>
      <c r="C164" s="175"/>
      <c r="D164" s="175"/>
      <c r="E164" s="176">
        <f>SUM(E88:E163)</f>
        <v>0</v>
      </c>
      <c r="F164" s="177"/>
      <c r="G164" s="173">
        <f ca="1">SUM(G88:G163)</f>
        <v>0</v>
      </c>
      <c r="H164" s="173">
        <f ca="1">SUM(H88:H163)</f>
        <v>0</v>
      </c>
      <c r="I164" s="163"/>
      <c r="J164" s="1498">
        <f ca="1">SUM(J88:J163)</f>
        <v>0</v>
      </c>
      <c r="K164" s="1498">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97" t="s">
        <v>22</v>
      </c>
      <c r="R164" s="175"/>
      <c r="S164" s="175"/>
      <c r="T164" s="175"/>
      <c r="U164" s="176">
        <f>SUM(U88:U163)</f>
        <v>0</v>
      </c>
      <c r="V164" s="177"/>
      <c r="W164" s="173">
        <f ca="1">SUM(W88:W163)</f>
        <v>0</v>
      </c>
      <c r="X164" s="173">
        <f ca="1">SUM(X88:X163)</f>
        <v>0</v>
      </c>
      <c r="Y164" s="163"/>
      <c r="Z164" s="1498">
        <f ca="1">SUM(Z88:Z163)</f>
        <v>0</v>
      </c>
      <c r="AA164" s="1498">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97"/>
      <c r="B165" s="175"/>
      <c r="C165" s="175"/>
      <c r="D165" s="175"/>
      <c r="E165" s="176"/>
      <c r="F165" s="177"/>
      <c r="G165" s="173"/>
      <c r="H165" s="178"/>
      <c r="I165" s="163"/>
      <c r="J165" s="1498"/>
      <c r="K165" s="1498"/>
      <c r="L165" s="173">
        <f ca="1">SUM(L89,L91,L93,L95,L97,L99,L101,L103,L105,L107,L109,L111,L113,L115,L117,L119,L121,L123,L125,L127,L129,L131,L133,L135,L137,L139,L141,L143,L145,L147, L149, L151, L153, L155, L157,L159,L161,L163)</f>
        <v>0</v>
      </c>
      <c r="M165" s="175"/>
      <c r="N165" s="177"/>
      <c r="O165" s="176"/>
      <c r="P165" s="144"/>
      <c r="Q165" s="1497"/>
      <c r="R165" s="175"/>
      <c r="S165" s="175"/>
      <c r="T165" s="175"/>
      <c r="U165" s="176"/>
      <c r="V165" s="177"/>
      <c r="W165" s="173"/>
      <c r="X165" s="178"/>
      <c r="Y165" s="163"/>
      <c r="Z165" s="1498"/>
      <c r="AA165" s="1498"/>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2" t="s">
        <v>6</v>
      </c>
      <c r="B171" s="102" t="s">
        <v>106</v>
      </c>
      <c r="D171" s="102" t="s">
        <v>146</v>
      </c>
      <c r="E171" s="102" t="s">
        <v>23</v>
      </c>
      <c r="F171" s="102" t="s">
        <v>11</v>
      </c>
      <c r="G171" s="102" t="s">
        <v>12</v>
      </c>
      <c r="H171" s="102" t="s">
        <v>13</v>
      </c>
      <c r="I171" s="102" t="s">
        <v>14</v>
      </c>
      <c r="J171" s="102" t="s">
        <v>15</v>
      </c>
      <c r="K171" s="102" t="s">
        <v>16</v>
      </c>
      <c r="L171" s="102" t="s">
        <v>402</v>
      </c>
      <c r="M171" s="102" t="s">
        <v>388</v>
      </c>
      <c r="N171" s="102"/>
      <c r="O171" s="102"/>
      <c r="Q171" s="102" t="s">
        <v>8</v>
      </c>
      <c r="R171" s="102" t="s">
        <v>106</v>
      </c>
      <c r="T171" s="102" t="s">
        <v>146</v>
      </c>
      <c r="U171" s="102" t="s">
        <v>23</v>
      </c>
      <c r="V171" s="102" t="s">
        <v>11</v>
      </c>
      <c r="W171" s="102" t="s">
        <v>12</v>
      </c>
      <c r="X171" s="102" t="s">
        <v>13</v>
      </c>
      <c r="Y171" s="102" t="s">
        <v>14</v>
      </c>
      <c r="Z171" s="102" t="s">
        <v>15</v>
      </c>
      <c r="AA171" s="102" t="s">
        <v>16</v>
      </c>
      <c r="AB171" s="102" t="s">
        <v>402</v>
      </c>
      <c r="AC171" s="102" t="s">
        <v>388</v>
      </c>
    </row>
    <row r="172" spans="1:31" x14ac:dyDescent="0.2">
      <c r="A172" s="99">
        <v>1</v>
      </c>
      <c r="B172" s="103"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9">
        <v>1</v>
      </c>
      <c r="R172" s="99"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9"/>
      <c r="B173" s="103"/>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9"/>
      <c r="R173" s="99"/>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9"/>
      <c r="B174" s="103"/>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9"/>
      <c r="R174" s="99"/>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9">
        <f>A172+1</f>
        <v>2</v>
      </c>
      <c r="B175" s="103"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9">
        <f>Q172+1</f>
        <v>2</v>
      </c>
      <c r="R175" s="99"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9"/>
      <c r="B176" s="103"/>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9"/>
      <c r="R176" s="99"/>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9"/>
      <c r="B177" s="103"/>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9"/>
      <c r="R177" s="99"/>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9">
        <f>A175+1</f>
        <v>3</v>
      </c>
      <c r="B178" s="103"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9">
        <f>Q175+1</f>
        <v>3</v>
      </c>
      <c r="R178" s="99"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9"/>
      <c r="B179" s="103"/>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9"/>
      <c r="R179" s="99"/>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9"/>
      <c r="B180" s="103"/>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9"/>
      <c r="R180" s="99"/>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9">
        <f>A178+1</f>
        <v>4</v>
      </c>
      <c r="B181" s="103"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9">
        <f>Q178+1</f>
        <v>4</v>
      </c>
      <c r="R181" s="99"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9"/>
      <c r="B182" s="103"/>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9"/>
      <c r="R182" s="99"/>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9"/>
      <c r="B183" s="103"/>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9"/>
      <c r="R183" s="99"/>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9">
        <f>A181+1</f>
        <v>5</v>
      </c>
      <c r="B184" s="103"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9">
        <f>Q181+1</f>
        <v>5</v>
      </c>
      <c r="R184" s="99"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9"/>
      <c r="B185" s="103"/>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9"/>
      <c r="R185" s="99"/>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9"/>
      <c r="B186" s="103"/>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9"/>
      <c r="R186" s="99"/>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9">
        <f>A184+1</f>
        <v>6</v>
      </c>
      <c r="B187" s="103"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9">
        <f>Q184+1</f>
        <v>6</v>
      </c>
      <c r="R187" s="99"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9"/>
      <c r="B188" s="103"/>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9"/>
      <c r="R188" s="99"/>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9"/>
      <c r="B189" s="103"/>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9"/>
      <c r="R189" s="99"/>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9">
        <f>A187+1</f>
        <v>7</v>
      </c>
      <c r="B190" s="103"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9">
        <f>Q187+1</f>
        <v>7</v>
      </c>
      <c r="R190" s="99"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9"/>
      <c r="B191" s="103"/>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9"/>
      <c r="R191" s="99"/>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9"/>
      <c r="B192" s="103"/>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9"/>
      <c r="R192" s="99"/>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9">
        <f>A190+1</f>
        <v>8</v>
      </c>
      <c r="B193" s="103"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9">
        <f>Q190+1</f>
        <v>8</v>
      </c>
      <c r="R193" s="99"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9"/>
      <c r="B194" s="103"/>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9"/>
      <c r="R194" s="99"/>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9"/>
      <c r="B195" s="103"/>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9"/>
      <c r="R195" s="99"/>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9">
        <f>A193+1</f>
        <v>9</v>
      </c>
      <c r="B196" s="103"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9">
        <f>Q193+1</f>
        <v>9</v>
      </c>
      <c r="R196" s="99"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9"/>
      <c r="B197" s="103"/>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9"/>
      <c r="R197" s="99"/>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9"/>
      <c r="B198" s="103"/>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9"/>
      <c r="R198" s="99"/>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9">
        <f>A196+1</f>
        <v>10</v>
      </c>
      <c r="B199" s="103"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9">
        <f>Q196+1</f>
        <v>10</v>
      </c>
      <c r="R199" s="99"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9"/>
      <c r="B200" s="103"/>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9"/>
      <c r="R200" s="99"/>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9"/>
      <c r="B201" s="103"/>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9"/>
      <c r="R201" s="99"/>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9">
        <f>A199+1</f>
        <v>11</v>
      </c>
      <c r="B202" s="103"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9">
        <f>Q199+1</f>
        <v>11</v>
      </c>
      <c r="R202" s="99"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9"/>
      <c r="B203" s="103"/>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9"/>
      <c r="R203" s="99"/>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9"/>
      <c r="B204" s="103"/>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9"/>
      <c r="R204" s="99"/>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9">
        <f>A202+1</f>
        <v>12</v>
      </c>
      <c r="B205" s="103"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9">
        <f>Q202+1</f>
        <v>12</v>
      </c>
      <c r="R205" s="99"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9"/>
      <c r="B206" s="103"/>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9"/>
      <c r="R206" s="99"/>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9"/>
      <c r="B207" s="103"/>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9"/>
      <c r="R207" s="99"/>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9">
        <f>A205+1</f>
        <v>13</v>
      </c>
      <c r="B208" s="103"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9">
        <f>Q205+1</f>
        <v>13</v>
      </c>
      <c r="R208" s="99"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9"/>
      <c r="B209" s="103"/>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9"/>
      <c r="R209" s="99"/>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9"/>
      <c r="B210" s="103"/>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9"/>
      <c r="R210" s="99"/>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9">
        <f>A208+1</f>
        <v>14</v>
      </c>
      <c r="B211" s="103"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9">
        <f>Q208+1</f>
        <v>14</v>
      </c>
      <c r="R211" s="99"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9"/>
      <c r="B212" s="103"/>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9"/>
      <c r="R212" s="99"/>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9"/>
      <c r="B213" s="103"/>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9"/>
      <c r="R213" s="99"/>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9">
        <f>A211+1</f>
        <v>15</v>
      </c>
      <c r="B214" s="103"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9">
        <f>Q211+1</f>
        <v>15</v>
      </c>
      <c r="R214" s="99"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9"/>
      <c r="B215" s="103"/>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9"/>
      <c r="R215" s="99"/>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9"/>
      <c r="B216" s="103"/>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9"/>
      <c r="R216" s="99"/>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9">
        <f>A214+1</f>
        <v>16</v>
      </c>
      <c r="B217" s="103"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9">
        <f>Q214+1</f>
        <v>16</v>
      </c>
      <c r="R217" s="99"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9"/>
      <c r="B218" s="103"/>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9"/>
      <c r="R218" s="99"/>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9"/>
      <c r="B219" s="103"/>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9"/>
      <c r="R219" s="99"/>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9">
        <f>A217+1</f>
        <v>17</v>
      </c>
      <c r="B220" s="103"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9">
        <f>Q217+1</f>
        <v>17</v>
      </c>
      <c r="R220" s="99"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9"/>
      <c r="B221" s="103"/>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9"/>
      <c r="R221" s="99"/>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9"/>
      <c r="B222" s="103"/>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9"/>
      <c r="R222" s="99"/>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9">
        <f>A220+1</f>
        <v>18</v>
      </c>
      <c r="B223" s="103"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9">
        <f>Q220+1</f>
        <v>18</v>
      </c>
      <c r="R223" s="99"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9"/>
      <c r="B224" s="103"/>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9"/>
      <c r="R224" s="99"/>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9"/>
      <c r="B225" s="103"/>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9"/>
      <c r="R225" s="99"/>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9">
        <f>A223+1</f>
        <v>19</v>
      </c>
      <c r="B226" s="103"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9">
        <f>Q223+1</f>
        <v>19</v>
      </c>
      <c r="R226" s="99"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9"/>
      <c r="B227" s="103"/>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9"/>
      <c r="R227" s="99"/>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9"/>
      <c r="B228" s="103"/>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9"/>
      <c r="R228" s="99"/>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9">
        <v>20</v>
      </c>
      <c r="B229" s="103"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9">
        <v>20</v>
      </c>
      <c r="R229" s="99"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9"/>
      <c r="B230" s="103"/>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9"/>
      <c r="R230" s="99"/>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9"/>
      <c r="B231" s="99"/>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9"/>
      <c r="R231" s="99"/>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9" type="noConversion"/>
  <pageMargins left="0.7" right="0.7" top="0.75" bottom="0.75" header="0.51180555555555551" footer="0.51180555555555551"/>
  <pageSetup scale="49" firstPageNumber="0" orientation="portrait"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73"/>
  <sheetViews>
    <sheetView showRuler="0" zoomScaleNormal="100" workbookViewId="0">
      <selection sqref="A1:K1"/>
    </sheetView>
  </sheetViews>
  <sheetFormatPr defaultColWidth="8.7109375" defaultRowHeight="12.75" x14ac:dyDescent="0.2"/>
  <cols>
    <col min="1" max="11" customWidth="true" style="110" width="7.7109375" collapsed="false"/>
    <col min="12" max="16384" style="110" width="8.7109375" collapsed="false"/>
  </cols>
  <sheetData>
    <row r="1" spans="1:11" ht="30" customHeight="1" x14ac:dyDescent="0.3">
      <c r="A1" s="1499" t="s">
        <v>196</v>
      </c>
      <c r="B1" s="1499"/>
      <c r="C1" s="1499"/>
      <c r="D1" s="1499"/>
      <c r="E1" s="1499"/>
      <c r="F1" s="1499"/>
      <c r="G1" s="1499"/>
      <c r="H1" s="1499"/>
      <c r="I1" s="1499"/>
      <c r="J1" s="1499"/>
      <c r="K1" s="1499"/>
    </row>
    <row r="2" spans="1:11" ht="6" customHeight="1" x14ac:dyDescent="0.4">
      <c r="A2" s="185"/>
      <c r="B2" s="185"/>
      <c r="C2" s="185"/>
      <c r="D2" s="185"/>
      <c r="E2" s="185"/>
      <c r="F2" s="185"/>
      <c r="G2" s="185"/>
      <c r="H2" s="186"/>
      <c r="I2" s="186"/>
      <c r="J2" s="186"/>
      <c r="K2" s="186"/>
    </row>
    <row r="3" spans="1:11" ht="111" customHeight="1" x14ac:dyDescent="0.2">
      <c r="A3" s="1501" t="s">
        <v>519</v>
      </c>
      <c r="B3" s="1501"/>
      <c r="C3" s="1501"/>
      <c r="D3" s="1501"/>
      <c r="E3" s="1501"/>
      <c r="F3" s="1501"/>
      <c r="G3" s="1501"/>
      <c r="H3" s="1501"/>
      <c r="I3" s="1501"/>
      <c r="J3" s="1501"/>
      <c r="K3" s="1501"/>
    </row>
    <row r="4" spans="1:11" ht="6" customHeight="1" x14ac:dyDescent="0.2">
      <c r="A4" s="185"/>
      <c r="B4" s="185"/>
      <c r="C4" s="185"/>
      <c r="D4" s="185"/>
      <c r="E4" s="185"/>
      <c r="F4" s="185"/>
      <c r="G4" s="185"/>
      <c r="H4" s="185"/>
      <c r="I4" s="185"/>
      <c r="J4" s="185"/>
      <c r="K4" s="185"/>
    </row>
    <row r="5" spans="1:11" ht="28.15" customHeight="1" x14ac:dyDescent="0.2">
      <c r="A5" s="1502" t="s">
        <v>413</v>
      </c>
      <c r="B5" s="1502"/>
      <c r="C5" s="1502"/>
      <c r="D5" s="1502"/>
      <c r="E5" s="1502"/>
      <c r="F5" s="1502"/>
      <c r="G5" s="1502"/>
      <c r="H5" s="1502"/>
      <c r="I5" s="1502"/>
      <c r="J5" s="1502"/>
      <c r="K5" s="1502"/>
    </row>
    <row r="6" spans="1:11" ht="6" customHeight="1" x14ac:dyDescent="0.2">
      <c r="A6" s="185"/>
      <c r="B6" s="185"/>
      <c r="C6" s="185"/>
      <c r="D6" s="185"/>
      <c r="E6" s="185"/>
      <c r="F6" s="185"/>
      <c r="G6" s="185"/>
      <c r="H6" s="185"/>
      <c r="I6" s="185"/>
      <c r="J6" s="185"/>
      <c r="K6" s="185"/>
    </row>
    <row r="7" spans="1:11" ht="15" customHeight="1" x14ac:dyDescent="0.2">
      <c r="A7" s="1500" t="s">
        <v>520</v>
      </c>
      <c r="B7" s="1500"/>
      <c r="C7" s="1500"/>
      <c r="D7" s="1500"/>
      <c r="E7" s="1500"/>
      <c r="F7" s="1500"/>
      <c r="G7" s="1500"/>
      <c r="H7" s="1500"/>
      <c r="I7" s="1500"/>
      <c r="J7" s="1500"/>
      <c r="K7" s="1500"/>
    </row>
    <row r="8" spans="1:11" ht="15" customHeight="1" x14ac:dyDescent="0.2">
      <c r="A8" s="187"/>
      <c r="B8" s="187"/>
      <c r="C8" s="187"/>
      <c r="D8" s="187"/>
      <c r="E8" s="187"/>
      <c r="F8" s="187"/>
      <c r="G8" s="187"/>
      <c r="H8" s="187"/>
      <c r="I8" s="187"/>
      <c r="J8" s="187"/>
      <c r="K8" s="187"/>
    </row>
    <row r="9" spans="1:11" ht="6" customHeight="1" x14ac:dyDescent="0.2">
      <c r="A9" s="796"/>
      <c r="B9" s="185"/>
      <c r="C9" s="185"/>
      <c r="D9" s="185"/>
      <c r="E9" s="185"/>
      <c r="F9" s="185"/>
      <c r="G9" s="185"/>
      <c r="H9" s="185"/>
      <c r="I9" s="185"/>
      <c r="J9" s="185"/>
      <c r="K9" s="185"/>
    </row>
    <row r="10" spans="1:11" ht="15" customHeight="1" x14ac:dyDescent="0.2">
      <c r="A10" s="786" t="s">
        <v>197</v>
      </c>
      <c r="B10" s="796"/>
      <c r="C10" s="796"/>
      <c r="D10" s="796"/>
      <c r="E10" s="796"/>
      <c r="F10" s="185"/>
      <c r="G10" s="219"/>
      <c r="H10" s="788"/>
      <c r="I10" s="788"/>
      <c r="J10" s="788"/>
      <c r="K10" s="788"/>
    </row>
    <row r="11" spans="1:11" ht="15" customHeight="1" x14ac:dyDescent="0.2">
      <c r="A11" s="796" t="s">
        <v>554</v>
      </c>
      <c r="B11" s="796"/>
      <c r="C11" s="796"/>
      <c r="D11" s="796"/>
      <c r="E11" s="796"/>
      <c r="F11" s="185"/>
      <c r="G11" s="785"/>
      <c r="H11" s="788"/>
      <c r="I11" s="788"/>
      <c r="J11" s="788"/>
      <c r="K11" s="788"/>
    </row>
    <row r="12" spans="1:11" ht="6" customHeight="1" x14ac:dyDescent="0.2">
      <c r="A12" s="219"/>
      <c r="B12" s="219"/>
      <c r="C12" s="219"/>
      <c r="D12" s="219"/>
      <c r="E12" s="219"/>
      <c r="F12" s="185"/>
      <c r="G12" s="185"/>
      <c r="H12" s="185"/>
      <c r="I12" s="185"/>
      <c r="J12" s="185"/>
      <c r="K12" s="185"/>
    </row>
    <row r="13" spans="1:11" ht="15" customHeight="1" x14ac:dyDescent="0.2">
      <c r="A13" s="786" t="s">
        <v>198</v>
      </c>
      <c r="B13" s="796"/>
      <c r="C13" s="796"/>
      <c r="D13" s="796"/>
      <c r="E13" s="796"/>
      <c r="F13" s="185"/>
      <c r="G13" s="788"/>
      <c r="H13" s="788"/>
      <c r="I13" s="788"/>
      <c r="J13" s="788"/>
      <c r="K13" s="788"/>
    </row>
    <row r="14" spans="1:11" ht="15" customHeight="1" x14ac:dyDescent="0.2">
      <c r="A14" s="796" t="s">
        <v>555</v>
      </c>
      <c r="B14" s="796"/>
      <c r="C14" s="796"/>
      <c r="D14" s="796"/>
      <c r="E14" s="796"/>
      <c r="F14" s="185"/>
      <c r="G14" s="785"/>
      <c r="H14" s="788"/>
      <c r="I14" s="788"/>
      <c r="J14" s="788"/>
      <c r="K14" s="788"/>
    </row>
    <row r="15" spans="1:11" ht="6" customHeight="1" x14ac:dyDescent="0.2">
      <c r="A15" s="744"/>
      <c r="B15" s="744"/>
      <c r="C15" s="744"/>
      <c r="D15" s="744"/>
      <c r="E15" s="744"/>
      <c r="F15" s="185"/>
      <c r="G15" s="185"/>
      <c r="H15" s="185"/>
      <c r="I15" s="185"/>
      <c r="J15" s="185"/>
      <c r="K15" s="185"/>
    </row>
    <row r="16" spans="1:11" ht="15" customHeight="1" x14ac:dyDescent="0.2">
      <c r="A16" s="786" t="s">
        <v>409</v>
      </c>
      <c r="B16" s="796"/>
      <c r="C16" s="796"/>
      <c r="D16" s="796"/>
      <c r="E16" s="796"/>
      <c r="F16" s="185"/>
      <c r="G16" s="785"/>
      <c r="H16" s="788"/>
      <c r="I16" s="788"/>
      <c r="J16" s="785"/>
      <c r="K16" s="788"/>
    </row>
    <row r="17" spans="1:11" ht="15" customHeight="1" x14ac:dyDescent="0.2">
      <c r="A17" s="796" t="s">
        <v>556</v>
      </c>
      <c r="B17" s="796"/>
      <c r="C17" s="796"/>
      <c r="D17" s="796"/>
      <c r="E17" s="796"/>
      <c r="F17" s="185"/>
      <c r="G17" s="219"/>
      <c r="H17" s="788"/>
      <c r="I17" s="788"/>
      <c r="J17" s="785"/>
      <c r="K17" s="788"/>
    </row>
    <row r="18" spans="1:11" ht="6" customHeight="1" x14ac:dyDescent="0.2">
      <c r="A18" s="744"/>
      <c r="B18" s="744"/>
      <c r="C18" s="744"/>
      <c r="D18" s="744"/>
      <c r="E18" s="744"/>
      <c r="F18" s="185"/>
      <c r="G18" s="219"/>
      <c r="H18" s="788"/>
      <c r="I18" s="788"/>
      <c r="J18" s="788"/>
      <c r="K18" s="788"/>
    </row>
    <row r="19" spans="1:11" ht="15" customHeight="1" x14ac:dyDescent="0.2">
      <c r="A19" s="786"/>
      <c r="B19" s="796"/>
      <c r="C19" s="796"/>
      <c r="D19" s="796"/>
      <c r="E19" s="796"/>
      <c r="F19" s="185"/>
      <c r="G19" s="785"/>
      <c r="H19" s="788"/>
      <c r="I19" s="788"/>
      <c r="J19" s="788"/>
      <c r="K19" s="788"/>
    </row>
    <row r="20" spans="1:11" ht="15" customHeight="1" x14ac:dyDescent="0.2">
      <c r="A20" s="188" t="s">
        <v>557</v>
      </c>
      <c r="B20" s="796"/>
      <c r="C20" s="796"/>
      <c r="D20" s="796"/>
      <c r="E20" s="796"/>
      <c r="F20" s="185"/>
      <c r="G20" s="219"/>
      <c r="H20" s="185"/>
      <c r="I20" s="185"/>
      <c r="J20" s="185"/>
      <c r="K20" s="185"/>
    </row>
    <row r="21" spans="1:11" s="552" customFormat="1" ht="26.25" customHeight="1" x14ac:dyDescent="0.2">
      <c r="A21" s="1501" t="s">
        <v>562</v>
      </c>
      <c r="B21" s="1501"/>
      <c r="C21" s="1501"/>
      <c r="D21" s="1501"/>
      <c r="E21" s="1501"/>
      <c r="F21" s="1501"/>
      <c r="G21" s="1501"/>
      <c r="H21" s="1501"/>
      <c r="I21" s="1501"/>
      <c r="J21" s="1501"/>
      <c r="K21" s="1501"/>
    </row>
    <row r="22" spans="1:11" ht="6" customHeight="1" x14ac:dyDescent="0.2">
      <c r="A22" s="185"/>
      <c r="B22" s="219"/>
      <c r="C22" s="219"/>
      <c r="D22" s="185"/>
      <c r="E22" s="219"/>
      <c r="F22" s="185"/>
      <c r="G22" s="185"/>
      <c r="H22" s="185"/>
      <c r="I22" s="185"/>
      <c r="J22" s="185"/>
      <c r="K22" s="185"/>
    </row>
    <row r="23" spans="1:11" s="552" customFormat="1" ht="15" customHeight="1" x14ac:dyDescent="0.2">
      <c r="A23" s="219" t="s">
        <v>559</v>
      </c>
      <c r="B23" s="796"/>
      <c r="C23" s="796"/>
      <c r="D23" s="185"/>
      <c r="E23" s="796"/>
      <c r="F23" s="185"/>
      <c r="G23" s="185"/>
      <c r="H23" s="185"/>
      <c r="I23" s="185"/>
      <c r="J23" s="185"/>
      <c r="K23" s="185"/>
    </row>
    <row r="24" spans="1:11" s="552" customFormat="1" ht="15" customHeight="1" x14ac:dyDescent="0.2">
      <c r="A24" s="219" t="s">
        <v>558</v>
      </c>
      <c r="B24" s="796"/>
      <c r="C24" s="796"/>
      <c r="D24" s="185"/>
      <c r="E24" s="796"/>
      <c r="F24" s="185"/>
      <c r="G24" s="185"/>
      <c r="H24" s="185"/>
      <c r="I24" s="185"/>
      <c r="J24" s="185"/>
      <c r="K24" s="185"/>
    </row>
    <row r="25" spans="1:11" ht="15" customHeight="1" x14ac:dyDescent="0.2">
      <c r="A25" s="219" t="s">
        <v>470</v>
      </c>
      <c r="B25" s="796"/>
      <c r="C25" s="796"/>
      <c r="D25" s="185"/>
      <c r="E25" s="796"/>
      <c r="F25" s="185"/>
      <c r="G25" s="185"/>
      <c r="H25" s="185"/>
      <c r="I25" s="185"/>
      <c r="J25" s="185"/>
      <c r="K25" s="185"/>
    </row>
    <row r="26" spans="1:11" s="552" customFormat="1" ht="15" customHeight="1" x14ac:dyDescent="0.2">
      <c r="A26" s="219" t="s">
        <v>469</v>
      </c>
      <c r="B26" s="189"/>
      <c r="C26" s="189"/>
      <c r="D26" s="185"/>
      <c r="E26" s="189"/>
      <c r="F26" s="185"/>
      <c r="H26" s="185"/>
      <c r="I26" s="185"/>
      <c r="J26" s="185"/>
      <c r="K26" s="185"/>
    </row>
    <row r="27" spans="1:11" s="552" customFormat="1" ht="15" customHeight="1" x14ac:dyDescent="0.2">
      <c r="A27" s="189" t="s">
        <v>338</v>
      </c>
      <c r="B27" s="796"/>
      <c r="C27" s="796"/>
      <c r="D27" s="189"/>
      <c r="E27" s="796"/>
      <c r="F27" s="185"/>
      <c r="G27" s="796"/>
      <c r="H27" s="185"/>
      <c r="I27" s="185"/>
      <c r="J27" s="185"/>
      <c r="K27" s="185"/>
    </row>
    <row r="28" spans="1:11" s="552" customFormat="1" ht="15" customHeight="1" x14ac:dyDescent="0.2">
      <c r="A28" s="189" t="s">
        <v>339</v>
      </c>
      <c r="B28" s="796"/>
      <c r="C28" s="796"/>
      <c r="D28" s="189"/>
      <c r="E28" s="796"/>
      <c r="F28" s="185"/>
      <c r="G28" s="796"/>
      <c r="H28" s="185"/>
      <c r="I28" s="185"/>
      <c r="J28" s="185"/>
      <c r="K28" s="185"/>
    </row>
    <row r="29" spans="1:11" s="552" customFormat="1" ht="15" customHeight="1" x14ac:dyDescent="0.2">
      <c r="A29" s="185" t="s">
        <v>460</v>
      </c>
      <c r="B29" s="796"/>
      <c r="C29" s="796"/>
      <c r="D29" s="185"/>
      <c r="E29" s="796"/>
      <c r="F29" s="185"/>
      <c r="G29" s="185"/>
      <c r="H29" s="185"/>
      <c r="I29" s="185"/>
      <c r="J29" s="185"/>
      <c r="K29" s="185"/>
    </row>
    <row r="30" spans="1:11" s="552" customFormat="1" ht="15" customHeight="1" x14ac:dyDescent="0.2">
      <c r="A30" s="189" t="s">
        <v>199</v>
      </c>
      <c r="B30" s="796"/>
      <c r="C30" s="796"/>
      <c r="D30" s="189"/>
      <c r="E30" s="796"/>
      <c r="F30" s="185"/>
      <c r="G30" s="796"/>
      <c r="H30" s="185"/>
      <c r="I30" s="185"/>
      <c r="J30" s="185"/>
      <c r="K30" s="185"/>
    </row>
    <row r="31" spans="1:11" s="552" customFormat="1" ht="15" customHeight="1" x14ac:dyDescent="0.2">
      <c r="A31" s="189" t="s">
        <v>200</v>
      </c>
      <c r="B31" s="796"/>
      <c r="C31" s="796"/>
      <c r="D31" s="189"/>
      <c r="E31" s="796"/>
      <c r="F31" s="185"/>
      <c r="G31" s="796"/>
      <c r="H31" s="185"/>
      <c r="I31" s="185"/>
      <c r="J31" s="185"/>
      <c r="K31" s="185"/>
    </row>
    <row r="32" spans="1:11" s="552" customFormat="1" ht="15" customHeight="1" x14ac:dyDescent="0.2">
      <c r="A32" s="185" t="s">
        <v>311</v>
      </c>
      <c r="B32" s="185"/>
      <c r="C32" s="185"/>
      <c r="D32" s="185"/>
      <c r="E32" s="185"/>
      <c r="F32" s="185"/>
      <c r="G32" s="185"/>
      <c r="H32" s="185"/>
      <c r="I32" s="185"/>
      <c r="J32" s="185"/>
      <c r="K32" s="185"/>
    </row>
    <row r="33" spans="1:11" ht="15" customHeight="1" x14ac:dyDescent="0.2">
      <c r="A33" s="185" t="s">
        <v>201</v>
      </c>
      <c r="B33" s="185"/>
      <c r="C33" s="185"/>
      <c r="D33" s="185"/>
      <c r="E33" s="185"/>
      <c r="F33" s="185"/>
      <c r="G33" s="185"/>
      <c r="H33" s="185"/>
      <c r="I33" s="185"/>
      <c r="J33" s="185"/>
      <c r="K33" s="185"/>
    </row>
    <row r="34" spans="1:11" ht="15" customHeight="1" x14ac:dyDescent="0.2">
      <c r="A34" s="219" t="s">
        <v>459</v>
      </c>
      <c r="B34" s="185"/>
      <c r="C34" s="185"/>
      <c r="D34" s="185"/>
      <c r="E34" s="185"/>
      <c r="F34" s="185"/>
      <c r="G34" s="185"/>
      <c r="H34" s="185"/>
      <c r="I34" s="185"/>
      <c r="J34" s="185"/>
      <c r="K34" s="185"/>
    </row>
    <row r="35" spans="1:11" ht="15" customHeight="1" x14ac:dyDescent="0.2">
      <c r="A35" s="185" t="s">
        <v>202</v>
      </c>
      <c r="B35" s="185"/>
      <c r="C35" s="185"/>
      <c r="D35" s="185"/>
      <c r="E35" s="185"/>
      <c r="F35" s="185"/>
      <c r="G35" s="185"/>
      <c r="H35" s="185"/>
      <c r="I35" s="185"/>
      <c r="J35" s="185"/>
      <c r="K35" s="185"/>
    </row>
    <row r="36" spans="1:11" ht="15" customHeight="1" x14ac:dyDescent="0.2">
      <c r="A36" s="185" t="s">
        <v>203</v>
      </c>
      <c r="B36" s="185"/>
      <c r="C36" s="185"/>
      <c r="D36" s="185"/>
      <c r="E36" s="185"/>
      <c r="F36" s="185"/>
      <c r="G36" s="185"/>
      <c r="H36" s="185"/>
      <c r="I36" s="185"/>
      <c r="J36" s="185"/>
      <c r="K36" s="185"/>
    </row>
    <row r="37" spans="1:11" ht="6.75" customHeight="1" x14ac:dyDescent="0.2">
      <c r="A37" s="219"/>
      <c r="B37" s="185"/>
      <c r="C37" s="185"/>
      <c r="D37" s="185"/>
      <c r="E37" s="185"/>
      <c r="F37" s="185"/>
      <c r="G37" s="185"/>
      <c r="H37" s="185"/>
      <c r="I37" s="185"/>
      <c r="J37" s="185"/>
      <c r="K37" s="185"/>
    </row>
    <row r="38" spans="1:11" s="552" customFormat="1" x14ac:dyDescent="0.2">
      <c r="A38" s="927" t="s">
        <v>563</v>
      </c>
      <c r="B38" s="185"/>
      <c r="C38" s="185"/>
      <c r="D38" s="185"/>
      <c r="E38" s="185"/>
      <c r="F38" s="185"/>
      <c r="G38" s="185"/>
      <c r="H38" s="185"/>
      <c r="I38" s="185"/>
      <c r="J38" s="185"/>
      <c r="K38" s="185"/>
    </row>
    <row r="39" spans="1:11" s="552" customFormat="1" x14ac:dyDescent="0.2">
      <c r="A39" s="927"/>
      <c r="B39" s="185"/>
      <c r="C39" s="185"/>
      <c r="D39" s="185"/>
      <c r="E39" s="185"/>
      <c r="F39" s="185"/>
      <c r="G39" s="185"/>
      <c r="H39" s="185"/>
      <c r="I39" s="185"/>
      <c r="J39" s="185"/>
      <c r="K39" s="185"/>
    </row>
    <row r="40" spans="1:11" x14ac:dyDescent="0.2">
      <c r="A40" s="219"/>
      <c r="B40" s="185"/>
      <c r="C40" s="185"/>
      <c r="D40" s="185"/>
      <c r="E40" s="185"/>
      <c r="F40" s="185"/>
      <c r="G40" s="552"/>
      <c r="H40" s="185"/>
      <c r="I40" s="185"/>
      <c r="J40" s="185"/>
      <c r="K40" s="185"/>
    </row>
    <row r="41" spans="1:11" x14ac:dyDescent="0.2">
      <c r="A41" s="1504" t="s">
        <v>205</v>
      </c>
      <c r="B41" s="1504"/>
      <c r="C41" s="1504"/>
      <c r="D41" s="1504"/>
      <c r="E41" s="1504"/>
      <c r="F41" s="1504"/>
      <c r="G41" s="1504"/>
      <c r="H41" s="1504"/>
      <c r="I41" s="1504"/>
      <c r="J41" s="1504"/>
      <c r="K41" s="1504"/>
    </row>
    <row r="42" spans="1:11" x14ac:dyDescent="0.2">
      <c r="A42" s="1505" t="s">
        <v>168</v>
      </c>
      <c r="B42" s="1506"/>
      <c r="C42" s="1506"/>
      <c r="D42" s="1506"/>
      <c r="E42" s="1506"/>
      <c r="F42" s="1506"/>
      <c r="G42" s="1506"/>
      <c r="H42" s="1506"/>
      <c r="I42" s="1506"/>
      <c r="J42" s="1506"/>
      <c r="K42" s="1506"/>
    </row>
    <row r="43" spans="1:11" x14ac:dyDescent="0.2">
      <c r="A43" s="1500" t="s">
        <v>560</v>
      </c>
      <c r="B43" s="1505"/>
      <c r="C43" s="1505"/>
      <c r="D43" s="1505"/>
      <c r="E43" s="1505"/>
      <c r="F43" s="1505"/>
      <c r="G43" s="1503" t="s">
        <v>258</v>
      </c>
      <c r="H43" s="1503"/>
      <c r="I43" s="189"/>
      <c r="J43" s="185"/>
      <c r="K43" s="185"/>
    </row>
    <row r="44" spans="1:11" x14ac:dyDescent="0.2">
      <c r="A44" s="1507" t="s">
        <v>561</v>
      </c>
      <c r="B44" s="1507"/>
      <c r="C44" s="1507"/>
      <c r="D44" s="1507"/>
      <c r="E44" s="1507"/>
      <c r="F44" s="1507"/>
      <c r="G44" s="1503" t="s">
        <v>259</v>
      </c>
      <c r="H44" s="1503"/>
      <c r="I44" s="190"/>
      <c r="J44" s="185"/>
      <c r="K44" s="185"/>
    </row>
    <row r="45" spans="1:11" x14ac:dyDescent="0.2">
      <c r="A45" s="1500" t="s">
        <v>204</v>
      </c>
      <c r="B45" s="1500"/>
      <c r="C45" s="1500"/>
      <c r="D45" s="1500"/>
      <c r="E45" s="1500"/>
      <c r="F45" s="1500"/>
      <c r="G45" s="1503" t="s">
        <v>458</v>
      </c>
      <c r="H45" s="1503"/>
      <c r="I45" s="742"/>
      <c r="J45" s="742"/>
      <c r="K45" s="742"/>
    </row>
    <row r="49" spans="1:2" x14ac:dyDescent="0.2">
      <c r="B49" s="551"/>
    </row>
    <row r="60" spans="1:2" x14ac:dyDescent="0.2">
      <c r="A60" s="549"/>
    </row>
    <row r="61" spans="1:2" x14ac:dyDescent="0.2">
      <c r="A61" s="549"/>
    </row>
    <row r="62" spans="1:2" x14ac:dyDescent="0.2">
      <c r="A62" s="549"/>
    </row>
    <row r="63" spans="1:2" x14ac:dyDescent="0.2">
      <c r="A63" s="549"/>
    </row>
    <row r="64" spans="1:2" x14ac:dyDescent="0.2">
      <c r="A64" s="549"/>
    </row>
    <row r="65" spans="1:1" x14ac:dyDescent="0.2">
      <c r="A65" s="549"/>
    </row>
    <row r="66" spans="1:1" x14ac:dyDescent="0.2">
      <c r="A66" s="549"/>
    </row>
    <row r="67" spans="1:1" x14ac:dyDescent="0.2">
      <c r="A67" s="549"/>
    </row>
    <row r="68" spans="1:1" x14ac:dyDescent="0.2">
      <c r="A68" s="549"/>
    </row>
    <row r="69" spans="1:1" x14ac:dyDescent="0.2">
      <c r="A69" s="549"/>
    </row>
    <row r="70" spans="1:1" x14ac:dyDescent="0.2">
      <c r="A70" s="549"/>
    </row>
    <row r="71" spans="1:1" x14ac:dyDescent="0.2">
      <c r="A71" s="549"/>
    </row>
    <row r="72" spans="1:1" x14ac:dyDescent="0.2">
      <c r="A72" s="549"/>
    </row>
    <row r="73" spans="1:1" x14ac:dyDescent="0.2">
      <c r="A73" s="549"/>
    </row>
  </sheetData>
  <mergeCells count="13">
    <mergeCell ref="A1:K1"/>
    <mergeCell ref="A7:K7"/>
    <mergeCell ref="A3:K3"/>
    <mergeCell ref="A5:K5"/>
    <mergeCell ref="A45:F45"/>
    <mergeCell ref="G45:H45"/>
    <mergeCell ref="A41:K41"/>
    <mergeCell ref="A42:K42"/>
    <mergeCell ref="G43:H43"/>
    <mergeCell ref="G44:H44"/>
    <mergeCell ref="A43:F43"/>
    <mergeCell ref="A44:F44"/>
    <mergeCell ref="A21:K21"/>
  </mergeCells>
  <phoneticPr fontId="7" type="noConversion"/>
  <pageMargins left="0.75" right="0.75" top="1.06" bottom="0.5" header="0.5" footer="0.5"/>
  <pageSetup scale="79" orientation="portrait" horizontalDpi="200" verticalDpi="200" r:id="rId1"/>
  <headerFooter>
    <oddHeader><![CDATA[&L&"Calibri,Regular"&K000000&G&18WFTDA StatsBook &A&R&"Calibri,Regular"&KFF0000
‘&A’ revision 2404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Q23" sqref="Q23"/>
    </sheetView>
  </sheetViews>
  <sheetFormatPr defaultColWidth="8.7109375" defaultRowHeight="12.75" x14ac:dyDescent="0.2"/>
  <cols>
    <col min="1" max="1" customWidth="true" style="110" width="8.7109375" collapsed="false"/>
    <col min="2" max="2" customWidth="true" style="110" width="4.7109375" collapsed="false"/>
    <col min="3" max="3" customWidth="true" style="110" width="12.7109375" collapsed="false"/>
    <col min="4" max="9" customWidth="true" style="110" width="8.7109375" collapsed="false"/>
    <col min="10" max="10" customWidth="true" style="110" width="25.28515625" collapsed="false"/>
    <col min="11" max="16384" style="110" width="8.7109375" collapsed="false"/>
  </cols>
  <sheetData>
    <row r="1" spans="1:10" ht="15" customHeight="1" x14ac:dyDescent="0.2">
      <c r="C1" s="111"/>
      <c r="D1" s="111"/>
      <c r="E1" s="111"/>
      <c r="F1" s="111"/>
      <c r="G1" s="111"/>
      <c r="H1" s="111"/>
      <c r="I1" s="111"/>
      <c r="J1" s="111"/>
    </row>
    <row r="2" spans="1:10" ht="30" customHeight="1" x14ac:dyDescent="0.2">
      <c r="A2" s="1520" t="s">
        <v>206</v>
      </c>
      <c r="B2" s="1520"/>
      <c r="C2" s="1520"/>
      <c r="D2" s="1520"/>
      <c r="E2" s="1520"/>
      <c r="F2" s="1520"/>
      <c r="G2" s="1520"/>
      <c r="H2" s="1520"/>
      <c r="I2" s="1520"/>
      <c r="J2" s="1520"/>
    </row>
    <row r="3" spans="1:10" ht="75" customHeight="1" x14ac:dyDescent="0.2">
      <c r="B3" s="1514" t="s">
        <v>322</v>
      </c>
      <c r="C3" s="1513"/>
      <c r="D3" s="1513"/>
      <c r="E3" s="1513"/>
      <c r="F3" s="1513"/>
      <c r="G3" s="1513"/>
      <c r="H3" s="1513"/>
      <c r="I3" s="1513"/>
      <c r="J3" s="1513"/>
    </row>
    <row r="4" spans="1:10" ht="15" customHeight="1" x14ac:dyDescent="0.2">
      <c r="B4" s="1512" t="s">
        <v>207</v>
      </c>
      <c r="C4" s="1512"/>
      <c r="D4" s="1512"/>
      <c r="E4" s="1512"/>
      <c r="F4" s="1512"/>
      <c r="G4" s="1512"/>
      <c r="H4" s="1512"/>
      <c r="I4" s="1512"/>
      <c r="J4" s="1512"/>
    </row>
    <row r="5" spans="1:10" ht="30" customHeight="1" x14ac:dyDescent="0.2">
      <c r="B5" s="111"/>
      <c r="C5" s="111"/>
      <c r="D5" s="111"/>
      <c r="E5" s="111"/>
      <c r="F5" s="111"/>
      <c r="G5" s="111"/>
      <c r="H5" s="111"/>
      <c r="I5" s="111"/>
      <c r="J5" s="111"/>
    </row>
    <row r="6" spans="1:10" ht="30" customHeight="1" x14ac:dyDescent="0.2">
      <c r="A6" s="1520" t="s">
        <v>208</v>
      </c>
      <c r="B6" s="1520"/>
      <c r="C6" s="1520"/>
      <c r="D6" s="1520"/>
      <c r="E6" s="1520"/>
      <c r="F6" s="1520"/>
      <c r="G6" s="1520"/>
      <c r="H6" s="1520"/>
      <c r="I6" s="1520"/>
      <c r="J6" s="1520"/>
    </row>
    <row r="7" spans="1:10" s="552" customFormat="1" ht="15" customHeight="1" x14ac:dyDescent="0.2">
      <c r="A7" s="551"/>
      <c r="B7" s="912" t="s">
        <v>577</v>
      </c>
      <c r="C7" s="929"/>
      <c r="D7" s="929"/>
      <c r="E7" s="929"/>
      <c r="F7" s="929"/>
      <c r="G7" s="929"/>
      <c r="H7" s="929"/>
      <c r="I7" s="929"/>
      <c r="J7" s="929"/>
    </row>
    <row r="8" spans="1:10" s="552" customFormat="1" x14ac:dyDescent="0.2">
      <c r="A8" s="551"/>
      <c r="B8" s="795" t="s">
        <v>170</v>
      </c>
      <c r="C8" s="1508" t="s">
        <v>578</v>
      </c>
      <c r="D8" s="1508"/>
      <c r="E8" s="1508"/>
      <c r="F8" s="1508"/>
      <c r="G8" s="1508"/>
      <c r="H8" s="1508"/>
      <c r="I8" s="1508"/>
      <c r="J8" s="1508"/>
    </row>
    <row r="9" spans="1:10" s="552" customFormat="1" x14ac:dyDescent="0.2">
      <c r="A9" s="551"/>
      <c r="B9" s="795"/>
      <c r="C9" s="508"/>
      <c r="D9" s="928"/>
      <c r="E9" s="928"/>
      <c r="F9" s="928"/>
      <c r="G9" s="928"/>
      <c r="H9" s="928"/>
      <c r="I9" s="928"/>
      <c r="J9" s="928"/>
    </row>
    <row r="10" spans="1:10" s="552" customFormat="1" x14ac:dyDescent="0.2">
      <c r="B10" s="912" t="s">
        <v>579</v>
      </c>
      <c r="C10" s="911"/>
      <c r="D10" s="911"/>
      <c r="E10" s="911"/>
      <c r="F10" s="911"/>
      <c r="G10" s="911"/>
      <c r="H10" s="911"/>
      <c r="I10" s="911"/>
      <c r="J10" s="911"/>
    </row>
    <row r="11" spans="1:10" s="552" customFormat="1" ht="24.75" customHeight="1" x14ac:dyDescent="0.2">
      <c r="B11" s="795" t="s">
        <v>170</v>
      </c>
      <c r="C11" s="1508" t="s">
        <v>566</v>
      </c>
      <c r="D11" s="1508"/>
      <c r="E11" s="1508"/>
      <c r="F11" s="1508"/>
      <c r="G11" s="1508"/>
      <c r="H11" s="1508"/>
      <c r="I11" s="1508"/>
      <c r="J11" s="1508"/>
    </row>
    <row r="12" spans="1:10" s="552" customFormat="1" ht="15" customHeight="1" x14ac:dyDescent="0.2">
      <c r="B12" s="795" t="s">
        <v>162</v>
      </c>
      <c r="C12" s="508" t="s">
        <v>574</v>
      </c>
      <c r="D12" s="925"/>
      <c r="E12" s="925"/>
      <c r="F12" s="925"/>
      <c r="G12" s="925"/>
      <c r="H12" s="925"/>
      <c r="I12" s="925"/>
      <c r="J12" s="925"/>
    </row>
    <row r="13" spans="1:10" s="552" customFormat="1" ht="15" customHeight="1" x14ac:dyDescent="0.2">
      <c r="B13" s="795" t="s">
        <v>163</v>
      </c>
      <c r="C13" s="508" t="s">
        <v>573</v>
      </c>
      <c r="D13" s="925"/>
      <c r="E13" s="925"/>
      <c r="F13" s="925"/>
      <c r="G13" s="925"/>
      <c r="H13" s="925"/>
      <c r="I13" s="925"/>
      <c r="J13" s="925"/>
    </row>
    <row r="14" spans="1:10" s="552" customFormat="1" ht="15" customHeight="1" x14ac:dyDescent="0.2">
      <c r="B14" s="795" t="s">
        <v>165</v>
      </c>
      <c r="C14" s="508" t="s">
        <v>567</v>
      </c>
      <c r="D14" s="926"/>
      <c r="E14" s="926"/>
      <c r="F14" s="926"/>
      <c r="G14" s="926"/>
      <c r="H14" s="926"/>
      <c r="I14" s="926"/>
      <c r="J14" s="926"/>
    </row>
    <row r="15" spans="1:10" s="552" customFormat="1" ht="15" customHeight="1" x14ac:dyDescent="0.2">
      <c r="B15" s="795" t="s">
        <v>166</v>
      </c>
      <c r="C15" s="508" t="s">
        <v>568</v>
      </c>
      <c r="D15" s="926"/>
      <c r="E15" s="926"/>
      <c r="F15" s="926"/>
      <c r="G15" s="926"/>
      <c r="H15" s="926"/>
      <c r="I15" s="926"/>
      <c r="J15" s="926"/>
    </row>
    <row r="16" spans="1:10" s="552" customFormat="1" ht="15" customHeight="1" x14ac:dyDescent="0.2">
      <c r="B16" s="795" t="s">
        <v>167</v>
      </c>
      <c r="C16" s="508" t="s">
        <v>569</v>
      </c>
      <c r="D16" s="926"/>
      <c r="E16" s="926"/>
      <c r="F16" s="926"/>
      <c r="G16" s="926"/>
      <c r="H16" s="926"/>
      <c r="I16" s="926"/>
      <c r="J16" s="926"/>
    </row>
    <row r="17" spans="1:10" s="552" customFormat="1" ht="15" customHeight="1" x14ac:dyDescent="0.2">
      <c r="B17" s="795" t="s">
        <v>218</v>
      </c>
      <c r="C17" s="508" t="s">
        <v>570</v>
      </c>
      <c r="D17" s="924"/>
      <c r="E17" s="924"/>
      <c r="F17" s="924"/>
      <c r="G17" s="924"/>
      <c r="H17" s="924"/>
      <c r="I17" s="924"/>
      <c r="J17" s="924"/>
    </row>
    <row r="18" spans="1:10" ht="15" customHeight="1" x14ac:dyDescent="0.2">
      <c r="A18" s="552"/>
      <c r="B18" s="795" t="s">
        <v>219</v>
      </c>
      <c r="C18" s="923" t="s">
        <v>571</v>
      </c>
      <c r="D18" s="924"/>
      <c r="E18" s="924"/>
      <c r="F18" s="924"/>
      <c r="G18" s="924"/>
      <c r="H18" s="924"/>
      <c r="I18" s="924"/>
      <c r="J18" s="924"/>
    </row>
    <row r="19" spans="1:10" s="552" customFormat="1" ht="26.25" customHeight="1" x14ac:dyDescent="0.2">
      <c r="B19" s="795" t="s">
        <v>220</v>
      </c>
      <c r="C19" s="923" t="s">
        <v>572</v>
      </c>
      <c r="D19" s="924"/>
      <c r="E19" s="924"/>
      <c r="F19" s="924"/>
      <c r="G19" s="924"/>
      <c r="H19" s="924"/>
      <c r="I19" s="924"/>
      <c r="J19" s="924"/>
    </row>
    <row r="20" spans="1:10" s="552" customFormat="1" ht="15" customHeight="1" x14ac:dyDescent="0.2">
      <c r="B20" s="923"/>
      <c r="C20" s="924"/>
      <c r="D20" s="924"/>
      <c r="E20" s="924"/>
      <c r="F20" s="924"/>
      <c r="G20" s="924"/>
      <c r="H20" s="924"/>
      <c r="I20" s="924"/>
      <c r="J20" s="924"/>
    </row>
    <row r="21" spans="1:10" s="552" customFormat="1" ht="15" customHeight="1" x14ac:dyDescent="0.2">
      <c r="A21" s="110"/>
      <c r="B21" s="912" t="s">
        <v>523</v>
      </c>
      <c r="C21" s="911"/>
      <c r="D21" s="911"/>
      <c r="E21" s="911"/>
      <c r="F21" s="911"/>
      <c r="G21" s="911"/>
      <c r="H21" s="911"/>
      <c r="I21" s="911"/>
      <c r="J21" s="911"/>
    </row>
    <row r="22" spans="1:10" s="552" customFormat="1" ht="15" customHeight="1" x14ac:dyDescent="0.2">
      <c r="B22" s="795" t="s">
        <v>170</v>
      </c>
      <c r="C22" s="1508" t="s">
        <v>468</v>
      </c>
      <c r="D22" s="1508"/>
      <c r="E22" s="1508"/>
      <c r="F22" s="1508"/>
      <c r="G22" s="1508"/>
      <c r="H22" s="1508"/>
      <c r="I22" s="1508"/>
      <c r="J22" s="1508"/>
    </row>
    <row r="23" spans="1:10" s="552" customFormat="1" ht="15" customHeight="1" x14ac:dyDescent="0.2">
      <c r="B23" s="795" t="s">
        <v>162</v>
      </c>
      <c r="C23" s="508" t="s">
        <v>466</v>
      </c>
      <c r="D23" s="787"/>
      <c r="E23" s="787"/>
      <c r="F23" s="787"/>
      <c r="G23" s="787"/>
      <c r="H23" s="787"/>
      <c r="I23" s="787"/>
      <c r="J23" s="787"/>
    </row>
    <row r="24" spans="1:10" s="552" customFormat="1" ht="15" customHeight="1" x14ac:dyDescent="0.2">
      <c r="B24" s="795" t="s">
        <v>163</v>
      </c>
      <c r="C24" s="508" t="s">
        <v>522</v>
      </c>
      <c r="D24" s="787"/>
      <c r="E24" s="787"/>
      <c r="F24" s="787"/>
      <c r="G24" s="787"/>
      <c r="H24" s="787"/>
      <c r="I24" s="787"/>
      <c r="J24" s="787"/>
    </row>
    <row r="25" spans="1:10" s="552" customFormat="1" ht="15" customHeight="1" x14ac:dyDescent="0.2">
      <c r="B25" s="795" t="s">
        <v>165</v>
      </c>
      <c r="C25" s="508" t="s">
        <v>467</v>
      </c>
      <c r="D25" s="787"/>
      <c r="E25" s="787"/>
      <c r="F25" s="787"/>
      <c r="G25" s="787"/>
      <c r="H25" s="787"/>
      <c r="I25" s="787"/>
      <c r="J25" s="787"/>
    </row>
    <row r="26" spans="1:10" s="552" customFormat="1" ht="15" customHeight="1" x14ac:dyDescent="0.2">
      <c r="B26" s="795" t="s">
        <v>166</v>
      </c>
      <c r="C26" s="508" t="s">
        <v>516</v>
      </c>
      <c r="D26" s="790"/>
      <c r="E26" s="790"/>
      <c r="F26" s="790"/>
      <c r="G26" s="790"/>
      <c r="H26" s="790"/>
      <c r="I26" s="790"/>
      <c r="J26" s="790"/>
    </row>
    <row r="27" spans="1:10" s="552" customFormat="1" ht="15" customHeight="1" x14ac:dyDescent="0.2">
      <c r="B27" s="795" t="s">
        <v>167</v>
      </c>
      <c r="C27" s="789" t="s">
        <v>471</v>
      </c>
      <c r="D27" s="790"/>
      <c r="E27" s="790"/>
      <c r="F27" s="790"/>
      <c r="G27" s="790"/>
      <c r="H27" s="790"/>
      <c r="I27" s="790"/>
      <c r="J27" s="790"/>
    </row>
    <row r="28" spans="1:10" s="552" customFormat="1" ht="15" customHeight="1" x14ac:dyDescent="0.2">
      <c r="B28" s="795" t="s">
        <v>218</v>
      </c>
      <c r="C28" s="789" t="s">
        <v>472</v>
      </c>
      <c r="D28" s="790"/>
      <c r="E28" s="790"/>
      <c r="F28" s="790"/>
      <c r="G28" s="790"/>
      <c r="H28" s="790"/>
      <c r="I28" s="790"/>
      <c r="J28" s="790"/>
    </row>
    <row r="29" spans="1:10" s="552" customFormat="1" ht="15" customHeight="1" x14ac:dyDescent="0.2">
      <c r="B29" s="795" t="s">
        <v>219</v>
      </c>
      <c r="C29" s="789" t="s">
        <v>473</v>
      </c>
      <c r="D29" s="790"/>
      <c r="E29" s="790"/>
      <c r="F29" s="790"/>
      <c r="G29" s="790"/>
      <c r="H29" s="790"/>
      <c r="I29" s="790"/>
      <c r="J29" s="790"/>
    </row>
    <row r="30" spans="1:10" s="552" customFormat="1" ht="15" customHeight="1" x14ac:dyDescent="0.2">
      <c r="B30" s="795" t="s">
        <v>220</v>
      </c>
      <c r="C30" s="789" t="s">
        <v>474</v>
      </c>
      <c r="D30" s="790"/>
      <c r="E30" s="790"/>
      <c r="F30" s="790"/>
      <c r="G30" s="790"/>
      <c r="H30" s="790"/>
      <c r="I30" s="790"/>
      <c r="J30" s="790"/>
    </row>
    <row r="31" spans="1:10" s="552" customFormat="1" ht="15" customHeight="1" x14ac:dyDescent="0.2">
      <c r="B31" s="795" t="s">
        <v>477</v>
      </c>
      <c r="C31" s="789" t="s">
        <v>478</v>
      </c>
      <c r="D31" s="790"/>
      <c r="E31" s="790"/>
      <c r="F31" s="790"/>
      <c r="G31" s="790"/>
      <c r="H31" s="790"/>
      <c r="I31" s="790"/>
      <c r="J31" s="790"/>
    </row>
    <row r="32" spans="1:10" s="552" customFormat="1" ht="24.75" customHeight="1" x14ac:dyDescent="0.2">
      <c r="B32" s="795" t="s">
        <v>517</v>
      </c>
      <c r="C32" s="798" t="s">
        <v>518</v>
      </c>
      <c r="D32" s="797"/>
      <c r="E32" s="797"/>
      <c r="F32" s="797"/>
      <c r="G32" s="797"/>
      <c r="H32" s="797"/>
      <c r="I32" s="797"/>
      <c r="J32" s="797"/>
    </row>
    <row r="33" spans="1:10" s="552" customFormat="1" ht="15" customHeight="1" x14ac:dyDescent="0.2">
      <c r="B33" s="647"/>
      <c r="C33" s="646"/>
      <c r="D33" s="646"/>
      <c r="E33" s="646"/>
      <c r="F33" s="646"/>
      <c r="G33" s="646"/>
      <c r="H33" s="646"/>
      <c r="I33" s="646"/>
      <c r="J33" s="646"/>
    </row>
    <row r="34" spans="1:10" s="552" customFormat="1" ht="15" customHeight="1" x14ac:dyDescent="0.2">
      <c r="B34" s="452" t="s">
        <v>462</v>
      </c>
      <c r="C34" s="646"/>
      <c r="D34" s="646"/>
      <c r="E34" s="646"/>
      <c r="F34" s="646"/>
      <c r="G34" s="646"/>
      <c r="H34" s="646"/>
      <c r="I34" s="646"/>
      <c r="J34" s="646"/>
    </row>
    <row r="35" spans="1:10" s="552" customFormat="1" ht="15" customHeight="1" x14ac:dyDescent="0.2">
      <c r="B35" s="113" t="s">
        <v>170</v>
      </c>
      <c r="C35" s="1508" t="s">
        <v>449</v>
      </c>
      <c r="D35" s="1511"/>
      <c r="E35" s="1511"/>
      <c r="F35" s="1511"/>
      <c r="G35" s="1511"/>
      <c r="H35" s="1511"/>
      <c r="I35" s="1511"/>
      <c r="J35" s="1511"/>
    </row>
    <row r="36" spans="1:10" s="552" customFormat="1" ht="15" customHeight="1" x14ac:dyDescent="0.2">
      <c r="B36" s="112" t="s">
        <v>162</v>
      </c>
      <c r="C36" s="646" t="s">
        <v>445</v>
      </c>
      <c r="D36" s="646"/>
      <c r="E36" s="646"/>
      <c r="F36" s="646"/>
      <c r="G36" s="646"/>
      <c r="H36" s="646"/>
      <c r="I36" s="646"/>
      <c r="J36" s="646"/>
    </row>
    <row r="37" spans="1:10" s="552" customFormat="1" ht="15" customHeight="1" x14ac:dyDescent="0.2">
      <c r="B37" s="218" t="s">
        <v>163</v>
      </c>
      <c r="C37" s="647" t="s">
        <v>450</v>
      </c>
      <c r="D37" s="646"/>
      <c r="E37" s="646"/>
      <c r="F37" s="646"/>
      <c r="G37" s="646"/>
      <c r="H37" s="646"/>
      <c r="I37" s="646"/>
      <c r="J37" s="646"/>
    </row>
    <row r="38" spans="1:10" s="552" customFormat="1" ht="15" customHeight="1" x14ac:dyDescent="0.2">
      <c r="B38" s="218" t="s">
        <v>165</v>
      </c>
      <c r="C38" s="647" t="s">
        <v>452</v>
      </c>
      <c r="D38" s="646"/>
      <c r="E38" s="646"/>
      <c r="F38" s="646"/>
      <c r="G38" s="646"/>
      <c r="H38" s="646"/>
      <c r="I38" s="646"/>
      <c r="J38" s="646"/>
    </row>
    <row r="39" spans="1:10" s="552" customFormat="1" ht="15" customHeight="1" x14ac:dyDescent="0.2">
      <c r="B39" s="218" t="s">
        <v>166</v>
      </c>
      <c r="C39" s="646" t="s">
        <v>446</v>
      </c>
      <c r="D39" s="646"/>
      <c r="E39" s="646"/>
      <c r="F39" s="646"/>
      <c r="G39" s="646"/>
      <c r="H39" s="646"/>
      <c r="I39" s="646"/>
      <c r="J39" s="646"/>
    </row>
    <row r="40" spans="1:10" ht="15" customHeight="1" x14ac:dyDescent="0.2">
      <c r="A40" s="552"/>
      <c r="B40" s="218" t="s">
        <v>167</v>
      </c>
      <c r="C40" s="646" t="s">
        <v>447</v>
      </c>
      <c r="D40" s="646"/>
      <c r="E40" s="646"/>
      <c r="F40" s="646"/>
      <c r="G40" s="646"/>
      <c r="H40" s="646"/>
      <c r="I40" s="646"/>
      <c r="J40" s="646"/>
    </row>
    <row r="41" spans="1:10" s="552" customFormat="1" ht="15" customHeight="1" x14ac:dyDescent="0.2">
      <c r="B41" s="218" t="s">
        <v>218</v>
      </c>
      <c r="C41" s="646" t="s">
        <v>448</v>
      </c>
      <c r="D41" s="646"/>
      <c r="E41" s="646"/>
      <c r="F41" s="646"/>
      <c r="G41" s="646"/>
      <c r="H41" s="646"/>
      <c r="I41" s="646"/>
      <c r="J41" s="646"/>
    </row>
    <row r="42" spans="1:10" s="552" customFormat="1" ht="15" customHeight="1" x14ac:dyDescent="0.2">
      <c r="B42" s="218" t="s">
        <v>219</v>
      </c>
      <c r="C42" s="647" t="s">
        <v>451</v>
      </c>
      <c r="D42" s="646"/>
      <c r="E42" s="646"/>
      <c r="F42" s="646"/>
      <c r="G42" s="646"/>
      <c r="H42" s="646"/>
      <c r="I42" s="646"/>
      <c r="J42" s="646"/>
    </row>
    <row r="43" spans="1:10" s="552" customFormat="1" ht="15" customHeight="1" x14ac:dyDescent="0.2">
      <c r="A43" s="110"/>
      <c r="B43" s="110"/>
      <c r="C43" s="110"/>
      <c r="D43" s="110"/>
      <c r="E43" s="110"/>
      <c r="F43" s="110"/>
      <c r="G43" s="110"/>
      <c r="H43" s="110"/>
      <c r="I43" s="110"/>
      <c r="J43" s="110"/>
    </row>
    <row r="44" spans="1:10" s="552" customFormat="1" ht="15" customHeight="1" x14ac:dyDescent="0.2">
      <c r="B44" s="452" t="s">
        <v>444</v>
      </c>
    </row>
    <row r="45" spans="1:10" s="552" customFormat="1" ht="15" customHeight="1" x14ac:dyDescent="0.2">
      <c r="B45" s="112" t="s">
        <v>170</v>
      </c>
      <c r="C45" s="551" t="s">
        <v>417</v>
      </c>
    </row>
    <row r="46" spans="1:10" s="552" customFormat="1" ht="15" customHeight="1" x14ac:dyDescent="0.2">
      <c r="B46" s="112" t="s">
        <v>162</v>
      </c>
      <c r="C46" s="551" t="s">
        <v>405</v>
      </c>
    </row>
    <row r="47" spans="1:10" s="552" customFormat="1" ht="15" customHeight="1" x14ac:dyDescent="0.2">
      <c r="B47" s="218" t="s">
        <v>163</v>
      </c>
      <c r="C47" s="551" t="s">
        <v>406</v>
      </c>
    </row>
    <row r="48" spans="1:10" s="552" customFormat="1" ht="15" customHeight="1" x14ac:dyDescent="0.2">
      <c r="B48" s="218" t="s">
        <v>165</v>
      </c>
      <c r="C48" s="551" t="s">
        <v>407</v>
      </c>
    </row>
    <row r="49" spans="1:10" ht="15" customHeight="1" x14ac:dyDescent="0.2">
      <c r="A49" s="552"/>
      <c r="B49" s="218" t="s">
        <v>166</v>
      </c>
      <c r="C49" s="551" t="s">
        <v>414</v>
      </c>
      <c r="D49" s="552"/>
      <c r="E49" s="552"/>
      <c r="F49" s="552"/>
      <c r="G49" s="552"/>
      <c r="H49" s="552"/>
      <c r="I49" s="552"/>
      <c r="J49" s="552"/>
    </row>
    <row r="50" spans="1:10" ht="15" customHeight="1" x14ac:dyDescent="0.2">
      <c r="A50" s="552"/>
      <c r="B50" s="218" t="s">
        <v>167</v>
      </c>
      <c r="C50" s="508" t="s">
        <v>408</v>
      </c>
      <c r="D50" s="552"/>
      <c r="E50" s="552"/>
      <c r="F50" s="552"/>
      <c r="G50" s="552"/>
      <c r="H50" s="552"/>
      <c r="I50" s="552"/>
      <c r="J50" s="552"/>
    </row>
    <row r="51" spans="1:10" ht="15" customHeight="1" x14ac:dyDescent="0.2">
      <c r="A51" s="552"/>
      <c r="B51" s="552"/>
      <c r="C51" s="552"/>
      <c r="D51" s="552"/>
      <c r="E51" s="552"/>
      <c r="F51" s="552"/>
      <c r="G51" s="552"/>
      <c r="H51" s="552"/>
      <c r="I51" s="552"/>
      <c r="J51" s="552"/>
    </row>
    <row r="52" spans="1:10" ht="15" customHeight="1" x14ac:dyDescent="0.2">
      <c r="B52" s="452" t="s">
        <v>404</v>
      </c>
    </row>
    <row r="53" spans="1:10" ht="15" customHeight="1" x14ac:dyDescent="0.2">
      <c r="B53" s="112" t="s">
        <v>170</v>
      </c>
      <c r="C53" s="12" t="s">
        <v>337</v>
      </c>
    </row>
    <row r="54" spans="1:10" ht="15" customHeight="1" x14ac:dyDescent="0.2">
      <c r="B54" s="112" t="s">
        <v>162</v>
      </c>
      <c r="C54" s="550" t="s">
        <v>369</v>
      </c>
    </row>
    <row r="55" spans="1:10" ht="15" customHeight="1" x14ac:dyDescent="0.2">
      <c r="B55" s="218" t="s">
        <v>163</v>
      </c>
      <c r="C55" s="12" t="s">
        <v>336</v>
      </c>
    </row>
    <row r="56" spans="1:10" ht="15" customHeight="1" x14ac:dyDescent="0.2">
      <c r="B56" s="218" t="s">
        <v>165</v>
      </c>
      <c r="C56" s="12" t="s">
        <v>323</v>
      </c>
    </row>
    <row r="57" spans="1:10" ht="15" customHeight="1" x14ac:dyDescent="0.2">
      <c r="B57" s="218" t="s">
        <v>166</v>
      </c>
      <c r="C57" s="508" t="s">
        <v>324</v>
      </c>
    </row>
    <row r="58" spans="1:10" ht="15" customHeight="1" x14ac:dyDescent="0.2">
      <c r="B58" s="218" t="s">
        <v>167</v>
      </c>
      <c r="C58" s="12" t="s">
        <v>329</v>
      </c>
    </row>
    <row r="59" spans="1:10" ht="15" customHeight="1" x14ac:dyDescent="0.2">
      <c r="B59" s="509"/>
      <c r="C59" s="12"/>
    </row>
    <row r="60" spans="1:10" ht="12.75" customHeight="1" x14ac:dyDescent="0.2">
      <c r="B60" s="452" t="s">
        <v>325</v>
      </c>
    </row>
    <row r="61" spans="1:10" ht="15" customHeight="1" x14ac:dyDescent="0.2">
      <c r="B61" s="112" t="s">
        <v>170</v>
      </c>
      <c r="C61" s="12" t="s">
        <v>303</v>
      </c>
    </row>
    <row r="62" spans="1:10" ht="15" customHeight="1" x14ac:dyDescent="0.2">
      <c r="B62" s="112" t="s">
        <v>162</v>
      </c>
      <c r="C62" s="12" t="s">
        <v>321</v>
      </c>
    </row>
    <row r="63" spans="1:10" ht="15" customHeight="1" x14ac:dyDescent="0.2">
      <c r="B63" s="218" t="s">
        <v>163</v>
      </c>
      <c r="C63" s="508" t="s">
        <v>313</v>
      </c>
      <c r="D63" s="508"/>
      <c r="E63" s="508"/>
      <c r="F63" s="508"/>
      <c r="G63" s="508"/>
      <c r="H63" s="508"/>
      <c r="I63" s="508"/>
      <c r="J63" s="508"/>
    </row>
    <row r="64" spans="1:10" ht="15" customHeight="1" x14ac:dyDescent="0.2">
      <c r="B64" s="218" t="s">
        <v>165</v>
      </c>
      <c r="C64" s="12" t="s">
        <v>312</v>
      </c>
    </row>
    <row r="65" spans="2:10" ht="15" customHeight="1" x14ac:dyDescent="0.2">
      <c r="B65" s="218" t="s">
        <v>166</v>
      </c>
      <c r="C65" s="12" t="s">
        <v>310</v>
      </c>
    </row>
    <row r="66" spans="2:10" ht="15" customHeight="1" x14ac:dyDescent="0.2">
      <c r="B66" s="218" t="s">
        <v>167</v>
      </c>
      <c r="C66" s="12" t="s">
        <v>319</v>
      </c>
    </row>
    <row r="67" spans="2:10" ht="15" customHeight="1" x14ac:dyDescent="0.2">
      <c r="B67" s="509" t="s">
        <v>218</v>
      </c>
      <c r="C67" s="12" t="s">
        <v>318</v>
      </c>
    </row>
    <row r="68" spans="2:10" ht="15" customHeight="1" x14ac:dyDescent="0.2"/>
    <row r="69" spans="2:10" ht="15" customHeight="1" x14ac:dyDescent="0.2">
      <c r="B69" s="452" t="s">
        <v>378</v>
      </c>
    </row>
    <row r="70" spans="2:10" ht="15" customHeight="1" x14ac:dyDescent="0.2">
      <c r="B70" s="112" t="s">
        <v>170</v>
      </c>
      <c r="C70" s="12" t="s">
        <v>291</v>
      </c>
    </row>
    <row r="71" spans="2:10" ht="15" customHeight="1" x14ac:dyDescent="0.2">
      <c r="B71" s="112" t="s">
        <v>162</v>
      </c>
      <c r="C71" s="12" t="s">
        <v>292</v>
      </c>
    </row>
    <row r="72" spans="2:10" ht="15" customHeight="1" x14ac:dyDescent="0.2">
      <c r="B72" s="218" t="s">
        <v>163</v>
      </c>
      <c r="C72" s="12" t="s">
        <v>294</v>
      </c>
    </row>
    <row r="73" spans="2:10" ht="15" customHeight="1" x14ac:dyDescent="0.2">
      <c r="B73" s="218" t="s">
        <v>165</v>
      </c>
      <c r="C73" s="12" t="s">
        <v>295</v>
      </c>
    </row>
    <row r="74" spans="2:10" ht="15" customHeight="1" x14ac:dyDescent="0.2">
      <c r="B74" s="218" t="s">
        <v>166</v>
      </c>
      <c r="C74" s="12" t="s">
        <v>293</v>
      </c>
    </row>
    <row r="75" spans="2:10" ht="15" customHeight="1" x14ac:dyDescent="0.2"/>
    <row r="76" spans="2:10" ht="15" customHeight="1" x14ac:dyDescent="0.2">
      <c r="B76" s="1509" t="s">
        <v>285</v>
      </c>
      <c r="C76" s="1510"/>
      <c r="D76" s="1510"/>
      <c r="E76" s="1510"/>
      <c r="F76" s="1510"/>
      <c r="G76" s="1510"/>
      <c r="H76" s="1510"/>
      <c r="I76" s="1510"/>
      <c r="J76" s="1510"/>
    </row>
    <row r="77" spans="2:10" ht="15" customHeight="1" x14ac:dyDescent="0.2">
      <c r="B77" s="112" t="s">
        <v>170</v>
      </c>
      <c r="C77" s="1511" t="s">
        <v>261</v>
      </c>
      <c r="D77" s="1512"/>
      <c r="E77" s="1512"/>
      <c r="F77" s="1512"/>
      <c r="G77" s="1512"/>
      <c r="H77" s="1512"/>
      <c r="I77" s="1512"/>
      <c r="J77" s="1512"/>
    </row>
    <row r="78" spans="2:10" ht="15" customHeight="1" x14ac:dyDescent="0.2">
      <c r="B78" s="112" t="s">
        <v>162</v>
      </c>
      <c r="C78" s="1511" t="s">
        <v>260</v>
      </c>
      <c r="D78" s="1512"/>
      <c r="E78" s="1512"/>
      <c r="F78" s="1512"/>
      <c r="G78" s="1512"/>
      <c r="H78" s="1512"/>
      <c r="I78" s="1512"/>
      <c r="J78" s="1512"/>
    </row>
    <row r="79" spans="2:10" ht="15" customHeight="1" x14ac:dyDescent="0.2">
      <c r="B79" s="218" t="s">
        <v>163</v>
      </c>
      <c r="C79" s="1511" t="s">
        <v>263</v>
      </c>
      <c r="D79" s="1512"/>
      <c r="E79" s="1512"/>
      <c r="F79" s="1512"/>
      <c r="G79" s="1512"/>
      <c r="H79" s="1512"/>
      <c r="I79" s="1512"/>
      <c r="J79" s="1512"/>
    </row>
    <row r="80" spans="2:10" ht="15" customHeight="1" x14ac:dyDescent="0.2">
      <c r="B80" s="218" t="s">
        <v>165</v>
      </c>
      <c r="C80" s="217" t="s">
        <v>264</v>
      </c>
      <c r="D80" s="216"/>
      <c r="E80" s="216"/>
      <c r="F80" s="216"/>
      <c r="G80" s="216"/>
      <c r="H80" s="216"/>
      <c r="I80" s="216"/>
      <c r="J80" s="216"/>
    </row>
    <row r="81" spans="2:10" ht="15" customHeight="1" x14ac:dyDescent="0.2">
      <c r="B81" s="218" t="s">
        <v>166</v>
      </c>
      <c r="C81" s="1511" t="s">
        <v>262</v>
      </c>
      <c r="D81" s="1512"/>
      <c r="E81" s="1512"/>
      <c r="F81" s="1512"/>
      <c r="G81" s="1512"/>
      <c r="H81" s="1512"/>
      <c r="I81" s="1512"/>
      <c r="J81" s="1512"/>
    </row>
    <row r="82" spans="2:10" ht="15" customHeight="1" x14ac:dyDescent="0.2"/>
    <row r="83" spans="2:10" ht="15" customHeight="1" x14ac:dyDescent="0.2">
      <c r="B83" s="1509" t="s">
        <v>284</v>
      </c>
      <c r="C83" s="1510"/>
      <c r="D83" s="1510"/>
      <c r="E83" s="1510"/>
      <c r="F83" s="1510"/>
      <c r="G83" s="1510"/>
      <c r="H83" s="1510"/>
      <c r="I83" s="1510"/>
      <c r="J83" s="1510"/>
    </row>
    <row r="84" spans="2:10" ht="15" customHeight="1" x14ac:dyDescent="0.2">
      <c r="B84" s="112" t="s">
        <v>170</v>
      </c>
      <c r="C84" s="1512" t="s">
        <v>209</v>
      </c>
      <c r="D84" s="1512"/>
      <c r="E84" s="1512"/>
      <c r="F84" s="1512"/>
      <c r="G84" s="1512"/>
      <c r="H84" s="1512"/>
      <c r="I84" s="1512"/>
      <c r="J84" s="1512"/>
    </row>
    <row r="85" spans="2:10" ht="15" customHeight="1" x14ac:dyDescent="0.2">
      <c r="B85" s="112" t="s">
        <v>162</v>
      </c>
      <c r="C85" s="1512" t="s">
        <v>215</v>
      </c>
      <c r="D85" s="1512"/>
      <c r="E85" s="1512"/>
      <c r="F85" s="1512"/>
      <c r="G85" s="1512"/>
      <c r="H85" s="1512"/>
      <c r="I85" s="1512"/>
      <c r="J85" s="1512"/>
    </row>
    <row r="86" spans="2:10" ht="15" customHeight="1" x14ac:dyDescent="0.2">
      <c r="B86" s="112" t="s">
        <v>163</v>
      </c>
      <c r="C86" s="1512" t="s">
        <v>210</v>
      </c>
      <c r="D86" s="1512"/>
      <c r="E86" s="1512"/>
      <c r="F86" s="1512"/>
      <c r="G86" s="1512"/>
      <c r="H86" s="1512"/>
      <c r="I86" s="1512"/>
      <c r="J86" s="1512"/>
    </row>
    <row r="87" spans="2:10" ht="15" customHeight="1" x14ac:dyDescent="0.2">
      <c r="B87" s="112" t="s">
        <v>165</v>
      </c>
      <c r="C87" s="1512" t="s">
        <v>211</v>
      </c>
      <c r="D87" s="1512"/>
      <c r="E87" s="1512"/>
      <c r="F87" s="1512"/>
      <c r="G87" s="1512"/>
      <c r="H87" s="1512"/>
      <c r="I87" s="1512"/>
      <c r="J87" s="1512"/>
    </row>
    <row r="88" spans="2:10" ht="15" customHeight="1" x14ac:dyDescent="0.2">
      <c r="B88" s="112" t="s">
        <v>166</v>
      </c>
      <c r="C88" s="1512" t="s">
        <v>212</v>
      </c>
      <c r="D88" s="1512"/>
      <c r="E88" s="1512"/>
      <c r="F88" s="1512"/>
      <c r="G88" s="1512"/>
      <c r="H88" s="1512"/>
      <c r="I88" s="1512"/>
      <c r="J88" s="1512"/>
    </row>
    <row r="89" spans="2:10" ht="30" customHeight="1" x14ac:dyDescent="0.2">
      <c r="B89" s="112" t="s">
        <v>167</v>
      </c>
      <c r="C89" s="1512" t="s">
        <v>213</v>
      </c>
      <c r="D89" s="1512"/>
      <c r="E89" s="1512"/>
      <c r="F89" s="1512"/>
      <c r="G89" s="1512"/>
      <c r="H89" s="1512"/>
      <c r="I89" s="1512"/>
      <c r="J89" s="1512"/>
    </row>
    <row r="90" spans="2:10" ht="15" customHeight="1" x14ac:dyDescent="0.2">
      <c r="B90" s="112" t="s">
        <v>218</v>
      </c>
      <c r="C90" s="1512" t="s">
        <v>214</v>
      </c>
      <c r="D90" s="1512"/>
      <c r="E90" s="1512"/>
      <c r="F90" s="1512"/>
      <c r="G90" s="1512"/>
      <c r="H90" s="1512"/>
      <c r="I90" s="1512"/>
      <c r="J90" s="1512"/>
    </row>
    <row r="91" spans="2:10" ht="15" customHeight="1" x14ac:dyDescent="0.2">
      <c r="B91" s="112" t="s">
        <v>219</v>
      </c>
      <c r="C91" s="1512" t="s">
        <v>216</v>
      </c>
      <c r="D91" s="1512"/>
      <c r="E91" s="1512"/>
      <c r="F91" s="1512"/>
      <c r="G91" s="1512"/>
      <c r="H91" s="1512"/>
      <c r="I91" s="1512"/>
      <c r="J91" s="1512"/>
    </row>
    <row r="92" spans="2:10" ht="15" customHeight="1" x14ac:dyDescent="0.2">
      <c r="B92" s="113" t="s">
        <v>220</v>
      </c>
      <c r="C92" s="1513" t="s">
        <v>217</v>
      </c>
      <c r="D92" s="1513"/>
      <c r="E92" s="1513"/>
      <c r="F92" s="1513"/>
      <c r="G92" s="1513"/>
      <c r="H92" s="1513"/>
      <c r="I92" s="1513"/>
      <c r="J92" s="1513"/>
    </row>
    <row r="93" spans="2:10" x14ac:dyDescent="0.2">
      <c r="C93" s="111"/>
      <c r="D93" s="111"/>
      <c r="E93" s="111"/>
      <c r="F93" s="111"/>
      <c r="G93" s="111"/>
      <c r="H93" s="111"/>
      <c r="I93" s="111"/>
      <c r="J93" s="111"/>
    </row>
    <row r="94" spans="2:10" ht="27" customHeight="1" x14ac:dyDescent="0.2">
      <c r="B94" s="1510" t="s">
        <v>221</v>
      </c>
      <c r="C94" s="1510"/>
      <c r="D94" s="1510"/>
      <c r="E94" s="1510"/>
      <c r="F94" s="1510"/>
      <c r="G94" s="1510"/>
      <c r="H94" s="1510"/>
      <c r="I94" s="1510"/>
      <c r="J94" s="1510"/>
    </row>
    <row r="95" spans="2:10" ht="24.75" customHeight="1" x14ac:dyDescent="0.2">
      <c r="B95" s="112" t="s">
        <v>170</v>
      </c>
      <c r="C95" s="1511" t="s">
        <v>412</v>
      </c>
      <c r="D95" s="1512"/>
      <c r="E95" s="1512"/>
      <c r="F95" s="1512"/>
      <c r="G95" s="1512"/>
      <c r="H95" s="1512"/>
      <c r="I95" s="1512"/>
      <c r="J95" s="1512"/>
    </row>
    <row r="96" spans="2:10" ht="15" customHeight="1" x14ac:dyDescent="0.2">
      <c r="B96" s="113" t="s">
        <v>162</v>
      </c>
      <c r="C96" s="1514" t="s">
        <v>457</v>
      </c>
      <c r="D96" s="1513"/>
      <c r="E96" s="1513"/>
      <c r="F96" s="1513"/>
      <c r="G96" s="1513"/>
      <c r="H96" s="1513"/>
      <c r="I96" s="1513"/>
      <c r="J96" s="1513"/>
    </row>
    <row r="97" spans="1:10" ht="15" customHeight="1" x14ac:dyDescent="0.2">
      <c r="B97" s="532" t="s">
        <v>163</v>
      </c>
      <c r="C97" s="1516" t="s">
        <v>334</v>
      </c>
      <c r="D97" s="1516"/>
      <c r="E97" s="1516"/>
      <c r="F97" s="1516"/>
      <c r="G97" s="1516"/>
      <c r="H97" s="1516"/>
      <c r="I97" s="1516"/>
      <c r="J97" s="1516"/>
    </row>
    <row r="98" spans="1:10" ht="29.25" customHeight="1" x14ac:dyDescent="0.2">
      <c r="B98" s="532" t="s">
        <v>165</v>
      </c>
      <c r="C98" s="1517" t="s">
        <v>374</v>
      </c>
      <c r="D98" s="1517"/>
      <c r="E98" s="1517"/>
      <c r="F98" s="1517"/>
      <c r="G98" s="1517"/>
      <c r="H98" s="1517"/>
      <c r="I98" s="1517"/>
      <c r="J98" s="1517"/>
    </row>
    <row r="99" spans="1:10" s="552" customFormat="1" ht="15" customHeight="1" x14ac:dyDescent="0.2">
      <c r="A99" s="110"/>
      <c r="B99" s="533"/>
      <c r="C99" s="110"/>
      <c r="D99" s="110"/>
      <c r="E99" s="110"/>
      <c r="F99" s="110"/>
      <c r="G99" s="110"/>
      <c r="H99" s="110"/>
      <c r="I99" s="110"/>
      <c r="J99" s="110"/>
    </row>
    <row r="100" spans="1:10" ht="15" customHeight="1" x14ac:dyDescent="0.2">
      <c r="B100" s="533"/>
    </row>
    <row r="101" spans="1:10" s="552" customFormat="1" ht="15" customHeight="1" x14ac:dyDescent="0.2">
      <c r="A101" s="1520" t="s">
        <v>250</v>
      </c>
      <c r="B101" s="1520"/>
      <c r="C101" s="1520"/>
      <c r="D101" s="1520"/>
      <c r="E101" s="1520"/>
      <c r="F101" s="1520"/>
      <c r="G101" s="1520"/>
      <c r="H101" s="1520"/>
      <c r="I101" s="1520"/>
      <c r="J101" s="1520"/>
    </row>
    <row r="102" spans="1:10" s="552" customFormat="1" ht="15" customHeight="1" x14ac:dyDescent="0.2">
      <c r="A102" s="791"/>
      <c r="B102" s="910" t="s">
        <v>524</v>
      </c>
      <c r="C102" s="910"/>
      <c r="D102" s="910"/>
      <c r="E102" s="910"/>
      <c r="F102" s="791"/>
      <c r="G102" s="791"/>
      <c r="H102" s="791"/>
      <c r="I102" s="791"/>
      <c r="J102" s="791"/>
    </row>
    <row r="103" spans="1:10" s="552" customFormat="1" ht="15" customHeight="1" x14ac:dyDescent="0.2">
      <c r="A103" s="110"/>
      <c r="B103" s="551" t="s">
        <v>475</v>
      </c>
      <c r="C103" s="110"/>
      <c r="D103" s="110"/>
      <c r="E103" s="110"/>
      <c r="F103" s="110"/>
      <c r="G103" s="110"/>
      <c r="H103" s="110"/>
      <c r="I103" s="110"/>
      <c r="J103" s="110"/>
    </row>
    <row r="104" spans="1:10" s="552" customFormat="1" ht="15" customHeight="1" x14ac:dyDescent="0.2">
      <c r="B104" s="551" t="s">
        <v>455</v>
      </c>
    </row>
    <row r="105" spans="1:10" s="552" customFormat="1" ht="15" customHeight="1" x14ac:dyDescent="0.2">
      <c r="B105" s="551" t="s">
        <v>476</v>
      </c>
    </row>
    <row r="106" spans="1:10" s="552" customFormat="1" ht="15" customHeight="1" x14ac:dyDescent="0.2"/>
    <row r="107" spans="1:10" s="552" customFormat="1" ht="15" customHeight="1" x14ac:dyDescent="0.2">
      <c r="B107" s="799" t="s">
        <v>453</v>
      </c>
    </row>
    <row r="108" spans="1:10" s="552" customFormat="1" ht="15" customHeight="1" x14ac:dyDescent="0.2">
      <c r="B108" s="551" t="s">
        <v>454</v>
      </c>
    </row>
    <row r="109" spans="1:10" s="552" customFormat="1" ht="15" customHeight="1" x14ac:dyDescent="0.2">
      <c r="B109" s="551" t="s">
        <v>455</v>
      </c>
    </row>
    <row r="110" spans="1:10" s="552" customFormat="1" ht="15" customHeight="1" x14ac:dyDescent="0.2">
      <c r="B110" s="551" t="s">
        <v>456</v>
      </c>
    </row>
    <row r="111" spans="1:10" s="552" customFormat="1" ht="15" customHeight="1" x14ac:dyDescent="0.2"/>
    <row r="112" spans="1:10" s="552" customFormat="1" ht="15" customHeight="1" x14ac:dyDescent="0.2">
      <c r="B112" s="452" t="s">
        <v>415</v>
      </c>
    </row>
    <row r="113" spans="1:10" ht="15" customHeight="1" x14ac:dyDescent="0.2">
      <c r="A113" s="552"/>
      <c r="B113" s="551" t="s">
        <v>416</v>
      </c>
      <c r="C113" s="552"/>
      <c r="D113" s="552"/>
      <c r="E113" s="552"/>
      <c r="F113" s="552"/>
      <c r="G113" s="552"/>
      <c r="H113" s="552"/>
      <c r="I113" s="552"/>
      <c r="J113" s="552"/>
    </row>
    <row r="114" spans="1:10" ht="15" customHeight="1" x14ac:dyDescent="0.2">
      <c r="A114" s="552"/>
      <c r="B114" s="551" t="s">
        <v>418</v>
      </c>
      <c r="C114" s="552"/>
      <c r="D114" s="552"/>
      <c r="E114" s="552"/>
      <c r="F114" s="552"/>
      <c r="G114" s="552"/>
      <c r="H114" s="552"/>
      <c r="I114" s="552"/>
      <c r="J114" s="552"/>
    </row>
    <row r="115" spans="1:10" ht="15" customHeight="1" x14ac:dyDescent="0.2">
      <c r="A115" s="552"/>
      <c r="B115" s="552"/>
      <c r="C115" s="552"/>
      <c r="D115" s="552"/>
      <c r="E115" s="552"/>
      <c r="F115" s="552"/>
      <c r="G115" s="552"/>
      <c r="H115" s="552"/>
      <c r="I115" s="552"/>
      <c r="J115" s="552"/>
    </row>
    <row r="116" spans="1:10" ht="15" customHeight="1" x14ac:dyDescent="0.2">
      <c r="B116" s="452" t="s">
        <v>373</v>
      </c>
    </row>
    <row r="117" spans="1:10" ht="15" customHeight="1" x14ac:dyDescent="0.2">
      <c r="B117" s="12" t="s">
        <v>372</v>
      </c>
    </row>
    <row r="118" spans="1:10" ht="15" customHeight="1" x14ac:dyDescent="0.2">
      <c r="B118" s="12" t="s">
        <v>335</v>
      </c>
    </row>
    <row r="119" spans="1:10" ht="15" customHeight="1" x14ac:dyDescent="0.2"/>
    <row r="120" spans="1:10" ht="15" customHeight="1" x14ac:dyDescent="0.2">
      <c r="B120" s="452" t="s">
        <v>326</v>
      </c>
    </row>
    <row r="121" spans="1:10" ht="15" customHeight="1" x14ac:dyDescent="0.2">
      <c r="B121" s="12" t="s">
        <v>328</v>
      </c>
    </row>
    <row r="122" spans="1:10" ht="15" customHeight="1" x14ac:dyDescent="0.2">
      <c r="B122" s="12" t="s">
        <v>327</v>
      </c>
    </row>
    <row r="123" spans="1:10" ht="15" customHeight="1" x14ac:dyDescent="0.2"/>
    <row r="124" spans="1:10" ht="15" customHeight="1" x14ac:dyDescent="0.2">
      <c r="B124" s="452" t="s">
        <v>298</v>
      </c>
    </row>
    <row r="125" spans="1:10" ht="15" customHeight="1" x14ac:dyDescent="0.2">
      <c r="B125" s="12" t="s">
        <v>297</v>
      </c>
    </row>
    <row r="126" spans="1:10" ht="15" customHeight="1" x14ac:dyDescent="0.2">
      <c r="B126" s="12" t="s">
        <v>299</v>
      </c>
    </row>
    <row r="127" spans="1:10" ht="15" customHeight="1" x14ac:dyDescent="0.2"/>
    <row r="128" spans="1:10" ht="15" customHeight="1" x14ac:dyDescent="0.2">
      <c r="B128" s="452"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524" t="s">
        <v>286</v>
      </c>
      <c r="C132" s="1510"/>
      <c r="D132" s="1510"/>
      <c r="E132" s="1510"/>
      <c r="F132" s="1510"/>
      <c r="G132" s="1510"/>
      <c r="H132" s="1510"/>
      <c r="I132" s="1510"/>
      <c r="J132" s="1510"/>
    </row>
    <row r="133" spans="2:10" ht="15" customHeight="1" x14ac:dyDescent="0.2">
      <c r="B133" s="1512" t="s">
        <v>251</v>
      </c>
      <c r="C133" s="1512"/>
      <c r="D133" s="1512"/>
      <c r="E133" s="1512"/>
      <c r="F133" s="1512"/>
      <c r="G133" s="1512"/>
      <c r="H133" s="1512"/>
      <c r="I133" s="1512"/>
      <c r="J133" s="1512"/>
    </row>
    <row r="134" spans="2:10" ht="15" customHeight="1" x14ac:dyDescent="0.2">
      <c r="B134" s="1511" t="s">
        <v>287</v>
      </c>
      <c r="C134" s="1512"/>
      <c r="D134" s="1512"/>
      <c r="E134" s="1512"/>
      <c r="F134" s="1512"/>
      <c r="G134" s="1512"/>
      <c r="H134" s="1512"/>
      <c r="I134" s="1512"/>
      <c r="J134" s="1512"/>
    </row>
    <row r="135" spans="2:10" ht="15" customHeight="1" x14ac:dyDescent="0.2"/>
    <row r="136" spans="2:10" ht="15" customHeight="1" x14ac:dyDescent="0.2">
      <c r="B136" s="1515" t="s">
        <v>223</v>
      </c>
      <c r="C136" s="1510"/>
      <c r="D136" s="1510"/>
      <c r="E136" s="1510"/>
      <c r="F136" s="1510"/>
      <c r="G136" s="1510"/>
      <c r="H136" s="1510"/>
      <c r="I136" s="1510"/>
      <c r="J136" s="1510"/>
    </row>
    <row r="137" spans="2:10" ht="15" customHeight="1" x14ac:dyDescent="0.2">
      <c r="B137" s="1511" t="s">
        <v>256</v>
      </c>
      <c r="C137" s="1512"/>
      <c r="D137" s="1512"/>
      <c r="E137" s="1512"/>
      <c r="F137" s="1512"/>
      <c r="G137" s="1512"/>
      <c r="H137" s="1512"/>
      <c r="I137" s="1512"/>
      <c r="J137" s="1512"/>
    </row>
    <row r="138" spans="2:10" ht="15" customHeight="1" x14ac:dyDescent="0.2">
      <c r="B138" s="1512" t="s">
        <v>252</v>
      </c>
      <c r="C138" s="1512"/>
      <c r="D138" s="1512"/>
      <c r="E138" s="1512"/>
      <c r="F138" s="1512"/>
      <c r="G138" s="1512"/>
      <c r="H138" s="1512"/>
      <c r="I138" s="1512"/>
      <c r="J138" s="1512"/>
    </row>
    <row r="139" spans="2:10" ht="15" customHeight="1" x14ac:dyDescent="0.2"/>
    <row r="140" spans="2:10" ht="15" customHeight="1" x14ac:dyDescent="0.2">
      <c r="B140" s="1518" t="s">
        <v>232</v>
      </c>
      <c r="C140" s="1518"/>
      <c r="D140" s="1518"/>
      <c r="E140" s="1519">
        <v>40354</v>
      </c>
      <c r="F140" s="1519"/>
      <c r="G140" s="1512"/>
      <c r="H140" s="1512"/>
      <c r="I140" s="1512"/>
      <c r="J140" s="1512"/>
    </row>
    <row r="141" spans="2:10" ht="15" customHeight="1" x14ac:dyDescent="0.2">
      <c r="B141" s="1512" t="s">
        <v>222</v>
      </c>
      <c r="C141" s="1512"/>
      <c r="D141" s="1512"/>
      <c r="E141" s="1512"/>
      <c r="F141" s="1512"/>
      <c r="G141" s="1512"/>
      <c r="H141" s="1512"/>
      <c r="I141" s="1512"/>
      <c r="J141" s="1512"/>
    </row>
    <row r="142" spans="2:10" ht="15" customHeight="1" x14ac:dyDescent="0.2">
      <c r="B142" s="1512" t="s">
        <v>248</v>
      </c>
      <c r="C142" s="1512"/>
      <c r="D142" s="1512"/>
      <c r="E142" s="1512"/>
      <c r="F142" s="1512"/>
      <c r="G142" s="1512"/>
      <c r="H142" s="1512"/>
      <c r="I142" s="1512"/>
      <c r="J142" s="1512"/>
    </row>
    <row r="143" spans="2:10" ht="15" customHeight="1" x14ac:dyDescent="0.2"/>
    <row r="144" spans="2:10" ht="15" customHeight="1" x14ac:dyDescent="0.2">
      <c r="B144" s="1518" t="s">
        <v>233</v>
      </c>
      <c r="C144" s="1518"/>
      <c r="D144" s="1518"/>
      <c r="E144" s="1519">
        <v>40268</v>
      </c>
      <c r="F144" s="1519"/>
      <c r="G144" s="1512"/>
      <c r="H144" s="1512"/>
      <c r="I144" s="1512"/>
      <c r="J144" s="1512"/>
    </row>
    <row r="145" spans="2:10" ht="15" customHeight="1" x14ac:dyDescent="0.2">
      <c r="B145" s="1518" t="s">
        <v>230</v>
      </c>
      <c r="C145" s="1518"/>
      <c r="D145" s="1518"/>
      <c r="E145" s="1519">
        <v>40256</v>
      </c>
      <c r="F145" s="1519"/>
      <c r="G145" s="1512" t="s">
        <v>249</v>
      </c>
      <c r="H145" s="1512"/>
      <c r="I145" s="1512"/>
      <c r="J145" s="1512"/>
    </row>
    <row r="146" spans="2:10" ht="15" customHeight="1" x14ac:dyDescent="0.2">
      <c r="B146" s="1518" t="s">
        <v>234</v>
      </c>
      <c r="C146" s="1518"/>
      <c r="D146" s="1518"/>
      <c r="E146" s="1519">
        <v>40218</v>
      </c>
      <c r="F146" s="1519"/>
      <c r="G146" s="1512" t="s">
        <v>241</v>
      </c>
      <c r="H146" s="1512"/>
      <c r="I146" s="1512"/>
      <c r="J146" s="1512"/>
    </row>
    <row r="147" spans="2:10" ht="15" customHeight="1" x14ac:dyDescent="0.2">
      <c r="B147" s="1518" t="s">
        <v>228</v>
      </c>
      <c r="C147" s="1518"/>
      <c r="D147" s="1518"/>
      <c r="E147" s="1519">
        <v>40107</v>
      </c>
      <c r="F147" s="1519"/>
      <c r="G147" s="1512"/>
      <c r="H147" s="1512"/>
      <c r="I147" s="1512"/>
      <c r="J147" s="1512"/>
    </row>
    <row r="148" spans="2:10" ht="15" customHeight="1" x14ac:dyDescent="0.2">
      <c r="B148" s="1518" t="s">
        <v>235</v>
      </c>
      <c r="C148" s="1518"/>
      <c r="D148" s="1518"/>
      <c r="E148" s="1519">
        <v>40092</v>
      </c>
      <c r="F148" s="1519"/>
      <c r="G148" s="1512" t="s">
        <v>240</v>
      </c>
      <c r="H148" s="1512"/>
      <c r="I148" s="1512"/>
      <c r="J148" s="1512"/>
    </row>
    <row r="149" spans="2:10" ht="15" customHeight="1" x14ac:dyDescent="0.2">
      <c r="B149" s="1512" t="s">
        <v>222</v>
      </c>
      <c r="C149" s="1512"/>
      <c r="D149" s="1512"/>
      <c r="E149" s="1512"/>
      <c r="F149" s="1512"/>
      <c r="G149" s="1512"/>
      <c r="H149" s="1512"/>
      <c r="I149" s="1512"/>
      <c r="J149" s="1512"/>
    </row>
    <row r="150" spans="2:10" ht="45" customHeight="1" x14ac:dyDescent="0.2">
      <c r="B150" s="115"/>
      <c r="C150" s="115"/>
      <c r="D150" s="115"/>
      <c r="E150" s="116"/>
      <c r="F150" s="116"/>
      <c r="G150" s="114"/>
      <c r="H150" s="114"/>
      <c r="I150" s="114"/>
      <c r="J150" s="114"/>
    </row>
    <row r="151" spans="2:10" ht="15" customHeight="1" x14ac:dyDescent="0.2">
      <c r="B151" s="1518" t="s">
        <v>229</v>
      </c>
      <c r="C151" s="1518"/>
      <c r="D151" s="1518"/>
      <c r="E151" s="1519"/>
      <c r="F151" s="1519"/>
      <c r="G151" s="1512"/>
      <c r="H151" s="1512"/>
      <c r="I151" s="1512"/>
      <c r="J151" s="1512"/>
    </row>
    <row r="152" spans="2:10" ht="15" customHeight="1" x14ac:dyDescent="0.2">
      <c r="B152" s="1512" t="s">
        <v>236</v>
      </c>
      <c r="C152" s="1512"/>
      <c r="D152" s="1512"/>
      <c r="E152" s="1512"/>
      <c r="F152" s="1512"/>
      <c r="G152" s="1512"/>
      <c r="H152" s="1512"/>
      <c r="I152" s="1512"/>
      <c r="J152" s="1512"/>
    </row>
    <row r="153" spans="2:10" ht="15" customHeight="1" x14ac:dyDescent="0.2">
      <c r="B153" s="1523" t="s">
        <v>254</v>
      </c>
      <c r="C153" s="1522"/>
      <c r="D153" s="1522"/>
      <c r="E153" s="1522"/>
      <c r="F153" s="1522"/>
      <c r="G153" s="1522"/>
      <c r="H153" s="1522"/>
      <c r="I153" s="1522"/>
      <c r="J153" s="1522"/>
    </row>
    <row r="154" spans="2:10" ht="15" customHeight="1" x14ac:dyDescent="0.2"/>
    <row r="155" spans="2:10" ht="30" customHeight="1" x14ac:dyDescent="0.2">
      <c r="B155" s="1518" t="s">
        <v>231</v>
      </c>
      <c r="C155" s="1518"/>
      <c r="D155" s="1518"/>
      <c r="E155" s="1519"/>
      <c r="F155" s="1519"/>
      <c r="G155" s="1512"/>
      <c r="H155" s="1512"/>
      <c r="I155" s="1512"/>
      <c r="J155" s="1512"/>
    </row>
    <row r="156" spans="2:10" ht="15" customHeight="1" x14ac:dyDescent="0.2">
      <c r="B156" s="1518" t="s">
        <v>238</v>
      </c>
      <c r="C156" s="1518"/>
      <c r="D156" s="1518"/>
      <c r="E156" s="1519">
        <v>40034</v>
      </c>
      <c r="F156" s="1519"/>
      <c r="G156" s="1512"/>
      <c r="H156" s="1512"/>
      <c r="I156" s="1512"/>
      <c r="J156" s="1512"/>
    </row>
    <row r="157" spans="2:10" ht="15" customHeight="1" x14ac:dyDescent="0.2">
      <c r="B157" s="1512" t="s">
        <v>237</v>
      </c>
      <c r="C157" s="1512"/>
      <c r="D157" s="1512"/>
      <c r="E157" s="1512"/>
      <c r="F157" s="1512"/>
      <c r="G157" s="1512"/>
      <c r="H157" s="1512"/>
      <c r="I157" s="1512"/>
      <c r="J157" s="1512"/>
    </row>
    <row r="158" spans="2:10" ht="15" customHeight="1" x14ac:dyDescent="0.2">
      <c r="B158" s="1508" t="s">
        <v>253</v>
      </c>
      <c r="C158" s="1521"/>
      <c r="D158" s="1521"/>
      <c r="E158" s="1521"/>
      <c r="F158" s="1521"/>
      <c r="G158" s="1521"/>
      <c r="H158" s="1521"/>
      <c r="I158" s="1521"/>
      <c r="J158" s="1521"/>
    </row>
    <row r="159" spans="2:10" ht="60" customHeight="1" x14ac:dyDescent="0.2"/>
    <row r="160" spans="2:10" ht="15" customHeight="1" x14ac:dyDescent="0.2">
      <c r="B160" s="1518" t="s">
        <v>239</v>
      </c>
      <c r="C160" s="1518"/>
      <c r="D160" s="1518"/>
      <c r="E160" s="1519">
        <v>39898</v>
      </c>
      <c r="F160" s="1519"/>
      <c r="G160" s="1512"/>
      <c r="H160" s="1512"/>
      <c r="I160" s="1512"/>
      <c r="J160" s="1512"/>
    </row>
    <row r="161" spans="2:10" ht="15" customHeight="1" x14ac:dyDescent="0.2">
      <c r="B161" s="1512" t="s">
        <v>226</v>
      </c>
      <c r="C161" s="1512"/>
      <c r="D161" s="1512"/>
      <c r="E161" s="1512"/>
      <c r="F161" s="1512"/>
      <c r="G161" s="1512"/>
      <c r="H161" s="1512"/>
      <c r="I161" s="1512"/>
      <c r="J161" s="1512"/>
    </row>
    <row r="162" spans="2:10" ht="15" customHeight="1" x14ac:dyDescent="0.2">
      <c r="B162" s="1522" t="s">
        <v>247</v>
      </c>
      <c r="C162" s="1522"/>
      <c r="D162" s="1522"/>
      <c r="E162" s="1522"/>
      <c r="F162" s="1522"/>
      <c r="G162" s="1522"/>
      <c r="H162" s="1522"/>
      <c r="I162" s="1522"/>
      <c r="J162" s="1522"/>
    </row>
    <row r="163" spans="2:10" ht="15" customHeight="1" x14ac:dyDescent="0.2"/>
    <row r="164" spans="2:10" ht="15" customHeight="1" x14ac:dyDescent="0.2">
      <c r="B164" s="1518" t="s">
        <v>227</v>
      </c>
      <c r="C164" s="1518"/>
      <c r="D164" s="1518"/>
      <c r="E164" s="1519">
        <v>39720</v>
      </c>
      <c r="F164" s="1519"/>
      <c r="G164" s="1512"/>
      <c r="H164" s="1512"/>
      <c r="I164" s="1512"/>
      <c r="J164" s="1512"/>
    </row>
    <row r="165" spans="2:10" ht="15" customHeight="1" x14ac:dyDescent="0.2">
      <c r="B165" s="1512" t="s">
        <v>226</v>
      </c>
      <c r="C165" s="1512"/>
      <c r="D165" s="1512"/>
      <c r="E165" s="1512"/>
      <c r="F165" s="1512"/>
      <c r="G165" s="1512"/>
      <c r="H165" s="1512"/>
      <c r="I165" s="1512"/>
      <c r="J165" s="1512"/>
    </row>
    <row r="166" spans="2:10" ht="15" customHeight="1" x14ac:dyDescent="0.2">
      <c r="B166" s="1512" t="s">
        <v>242</v>
      </c>
      <c r="C166" s="1512"/>
      <c r="D166" s="1512"/>
      <c r="E166" s="1512"/>
      <c r="F166" s="1512"/>
      <c r="G166" s="1512"/>
      <c r="H166" s="1512"/>
      <c r="I166" s="1512"/>
      <c r="J166" s="1512"/>
    </row>
    <row r="167" spans="2:10" ht="15" customHeight="1" x14ac:dyDescent="0.2"/>
    <row r="168" spans="2:10" ht="15" customHeight="1" x14ac:dyDescent="0.2">
      <c r="B168" s="1518" t="s">
        <v>224</v>
      </c>
      <c r="C168" s="1518"/>
      <c r="D168" s="1518"/>
      <c r="E168" s="1519">
        <v>39692</v>
      </c>
      <c r="F168" s="1519"/>
      <c r="G168" s="1512"/>
      <c r="H168" s="1512"/>
      <c r="I168" s="1512"/>
      <c r="J168" s="1512"/>
    </row>
    <row r="169" spans="2:10" ht="15" customHeight="1" x14ac:dyDescent="0.2">
      <c r="B169" s="1512" t="s">
        <v>225</v>
      </c>
      <c r="C169" s="1512"/>
      <c r="D169" s="1512"/>
      <c r="E169" s="1512"/>
      <c r="F169" s="1512"/>
      <c r="G169" s="1512"/>
      <c r="H169" s="1512"/>
      <c r="I169" s="1512"/>
      <c r="J169" s="1512"/>
    </row>
    <row r="170" spans="2:10" ht="15" customHeight="1" x14ac:dyDescent="0.2">
      <c r="B170" s="1512" t="s">
        <v>246</v>
      </c>
      <c r="C170" s="1512"/>
      <c r="D170" s="1512"/>
      <c r="E170" s="1512"/>
      <c r="F170" s="1512"/>
      <c r="G170" s="1512"/>
      <c r="H170" s="1512"/>
      <c r="I170" s="1512"/>
      <c r="J170" s="1512"/>
    </row>
    <row r="171" spans="2:10" ht="15" customHeight="1" x14ac:dyDescent="0.2"/>
    <row r="172" spans="2:10" x14ac:dyDescent="0.2">
      <c r="B172" s="1518" t="s">
        <v>243</v>
      </c>
      <c r="C172" s="1518"/>
      <c r="D172" s="1518"/>
      <c r="E172" s="1519">
        <v>39118</v>
      </c>
      <c r="F172" s="1519"/>
      <c r="G172" s="1512"/>
      <c r="H172" s="1512"/>
      <c r="I172" s="1512"/>
      <c r="J172" s="1512"/>
    </row>
    <row r="173" spans="2:10" x14ac:dyDescent="0.2">
      <c r="B173" s="1512" t="s">
        <v>244</v>
      </c>
      <c r="C173" s="1512"/>
      <c r="D173" s="1512"/>
      <c r="E173" s="1512"/>
      <c r="F173" s="1512"/>
      <c r="G173" s="1512"/>
      <c r="H173" s="1512"/>
      <c r="I173" s="1512"/>
      <c r="J173" s="1512"/>
    </row>
    <row r="174" spans="2:10" x14ac:dyDescent="0.2">
      <c r="B174" s="1512" t="s">
        <v>245</v>
      </c>
      <c r="C174" s="1512"/>
      <c r="D174" s="1512"/>
      <c r="E174" s="1512"/>
      <c r="F174" s="1512"/>
      <c r="G174" s="1512"/>
      <c r="H174" s="1512"/>
      <c r="I174" s="1512"/>
      <c r="J174" s="1512"/>
    </row>
  </sheetData>
  <mergeCells count="89">
    <mergeCell ref="C8:J8"/>
    <mergeCell ref="B153:J153"/>
    <mergeCell ref="B132:J132"/>
    <mergeCell ref="B133:J133"/>
    <mergeCell ref="B134:J134"/>
    <mergeCell ref="B149:J149"/>
    <mergeCell ref="B146:D146"/>
    <mergeCell ref="E146:F146"/>
    <mergeCell ref="G146:J146"/>
    <mergeCell ref="B147:D147"/>
    <mergeCell ref="E147:F147"/>
    <mergeCell ref="G147:J147"/>
    <mergeCell ref="B145:D145"/>
    <mergeCell ref="E145:F145"/>
    <mergeCell ref="G145:J145"/>
    <mergeCell ref="B138:J138"/>
    <mergeCell ref="B155:D155"/>
    <mergeCell ref="E155:F155"/>
    <mergeCell ref="G155:J155"/>
    <mergeCell ref="B172:D172"/>
    <mergeCell ref="E172:F172"/>
    <mergeCell ref="G172:J172"/>
    <mergeCell ref="B168:D168"/>
    <mergeCell ref="E168:F168"/>
    <mergeCell ref="G168:J168"/>
    <mergeCell ref="B160:D160"/>
    <mergeCell ref="E160:F160"/>
    <mergeCell ref="G160:J160"/>
    <mergeCell ref="B164:D164"/>
    <mergeCell ref="E164:F164"/>
    <mergeCell ref="B173:J173"/>
    <mergeCell ref="B156:D156"/>
    <mergeCell ref="E156:F156"/>
    <mergeCell ref="G156:J156"/>
    <mergeCell ref="B170:J170"/>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41:J141"/>
    <mergeCell ref="B142:J142"/>
    <mergeCell ref="B140:D140"/>
    <mergeCell ref="E140:F140"/>
    <mergeCell ref="G140:J140"/>
    <mergeCell ref="B144:D144"/>
    <mergeCell ref="E144:F144"/>
    <mergeCell ref="G144:J144"/>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81:J81"/>
    <mergeCell ref="C22:J22"/>
    <mergeCell ref="B137:J137"/>
    <mergeCell ref="C92:J92"/>
    <mergeCell ref="C95:J95"/>
    <mergeCell ref="C96:J96"/>
    <mergeCell ref="B136:J136"/>
    <mergeCell ref="B94:J94"/>
    <mergeCell ref="C97:J97"/>
    <mergeCell ref="C98:J98"/>
    <mergeCell ref="C11:J11"/>
    <mergeCell ref="B76:J76"/>
    <mergeCell ref="C77:J77"/>
    <mergeCell ref="C78:J78"/>
    <mergeCell ref="C79:J79"/>
    <mergeCell ref="C35:J35"/>
  </mergeCells>
  <phoneticPr fontId="7" type="noConversion"/>
  <pageMargins left="0.75" right="0.75" top="1" bottom="1" header="0.42" footer="0.5"/>
  <pageSetup scale="79" orientation="portrait" horizontalDpi="200" verticalDpi="200" r:id="rId1"/>
  <headerFooter>
    <oddHeader><![CDATA[&L&"Calibri,Regular"&34&G&A&R&"Calibri,Regular"
‘&A’ revision 2404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f0d1fba5-b851-4fbb-ad26-6f3fee8e9285"/>
    <ds:schemaRef ds:uri="c201eecb-b093-46ba-b276-c6fd26ee6b78"/>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1650dc55-6804-4c8f-aa3c-5e816bdd9c3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2025-03-11T22:31:39Z</cp:lastPrinted>
  <dcterms:modified xsi:type="dcterms:W3CDTF">2025-03-11T22:31:43Z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